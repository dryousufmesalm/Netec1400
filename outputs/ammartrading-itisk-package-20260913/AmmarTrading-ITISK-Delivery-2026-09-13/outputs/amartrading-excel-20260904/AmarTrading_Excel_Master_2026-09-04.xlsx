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E96609BE-9B72-4276-9F5A-37720E2BA8E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ync Status" sheetId="6" r:id="rId1"/>
    <sheet name="Account Analysis" sheetId="1" r:id="rId2"/>
    <sheet name="Manual Fields" sheetId="2" r:id="rId3"/>
    <sheet name="Basket Data" sheetId="3" r:id="rId4"/>
    <sheet name="Data Quality" sheetId="4" r:id="rId5"/>
    <sheet name="Power Query Setup" sheetId="5" r:id="rId6"/>
  </sheets>
  <definedNames>
    <definedName name="ExternalData_1" localSheetId="3" hidden="1">'Basket Data'!$A$1:$BW$5</definedName>
    <definedName name="ExternalData_1" localSheetId="0" hidden="1">'Sync Status'!$A$1:$L$5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B97ED-8F5F-4AB6-8A7C-7A80BD238357}" keepAlive="1" name="Query - AmarTrading_Baskets" type="5" refreshedVersion="8" saveData="1">
    <dbPr connection="Provider=Microsoft.Mashup.OleDb.1;Data Source=$Workbook$;Location=AmarTrading_Baskets;Extended Properties=&quot;&quot;" command="SELECT * FROM [AmarTrading_Baskets]"/>
  </connection>
  <connection id="2" xr16:uid="{2AB3E50A-BF23-4019-B045-44A49F44AFF1}" keepAlive="1" name="Query - AmarTrading_SyncStatus" type="5" refreshedVersion="8" saveData="1">
    <dbPr connection="Provider=Microsoft.Mashup.OleDb.1;Data Source=$Workbook$;Location=AmarTrading_SyncStatus;Extended Properties=&quot;&quot;" command="SELECT * FROM [AmarTrading_SyncStatus]"/>
  </connection>
</connections>
</file>

<file path=xl/sharedStrings.xml><?xml version="1.0" encoding="utf-8"?>
<sst xmlns="http://schemas.openxmlformats.org/spreadsheetml/2006/main" count="357" uniqueCount="258">
  <si>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</si>
  <si>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</si>
  <si>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</si>
  <si>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</si>
  <si>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</si>
  <si>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</si>
  <si>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</si>
  <si>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</si>
  <si>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</si>
  <si>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</si>
  <si>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</si>
  <si>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</si>
  <si>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</si>
  <si>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</si>
  <si>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</si>
  <si>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</si>
  <si>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</si>
  <si>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</si>
  <si>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</si>
  <si>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</si>
  <si>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</si>
  <si>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</si>
  <si>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</si>
  <si>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</si>
  <si>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</si>
  <si>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</si>
  <si>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</si>
  <si>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</si>
  <si>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</si>
  <si>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</si>
  <si>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</si>
  <si>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</si>
  <si>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</si>
  <si>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</si>
  <si>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</si>
  <si>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</si>
  <si>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</si>
  <si>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</si>
  <si>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</si>
  <si>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</si>
  <si>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</si>
  <si>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</si>
  <si>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</si>
  <si>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</si>
  <si>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</si>
  <si>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</si>
  <si>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</si>
  <si>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</si>
  <si>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</si>
  <si>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</si>
  <si>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</si>
  <si>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</si>
  <si>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</si>
  <si>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</si>
  <si>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</si>
  <si>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</si>
  <si>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</si>
  <si>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</si>
  <si>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</si>
  <si>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</si>
  <si>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</si>
  <si>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</si>
  <si>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</si>
  <si>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</si>
  <si>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</si>
  <si>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</si>
  <si>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</si>
  <si>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</si>
  <si>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</si>
  <si>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</si>
  <si>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</si>
  <si>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</si>
  <si>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The current account/run is formula-driven below. Copy row 5 down after Power Query supplies additional account/run keys.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</si>
  <si>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</si>
  <si>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</si>
  <si>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</si>
  <si>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</si>
  <si>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</si>
  <si>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</si>
  <si>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</si>
  <si>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</si>
  <si>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</si>
  <si>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</si>
  <si>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</si>
  <si>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</si>
  <si>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</si>
  <si>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</si>
  <si>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</si>
  <si>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</si>
  <si>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</si>
  <si>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</si>
  <si>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</si>
  <si>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</si>
  <si>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</si>
  <si>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</si>
  <si>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</si>
  <si>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</si>
  <si>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</si>
  <si>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</si>
  <si>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</si>
  <si>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</si>
  <si>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</si>
  <si>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</si>
  <si>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</si>
  <si>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</si>
  <si>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</si>
  <si>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</si>
  <si>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</si>
  <si>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</si>
  <si>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</si>
  <si>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</si>
  <si>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</si>
  <si>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</si>
  <si>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</si>
  <si>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</si>
  <si>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</si>
  <si>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</si>
  <si>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</si>
  <si>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</si>
  <si>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</si>
  <si>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</si>
  <si>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</si>
  <si>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</si>
  <si>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</si>
  <si>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</si>
  <si>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</si>
  <si>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</si>
  <si>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</si>
  <si>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</si>
  <si>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</si>
  <si>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</si>
  <si>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</si>
  <si>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</si>
  <si>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</si>
  <si>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</si>
  <si>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</si>
  <si>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</si>
  <si>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</si>
  <si>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</si>
  <si>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</si>
  <si>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</si>
  <si>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</si>
  <si>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</si>
  <si>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</si>
  <si>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</si>
  <si>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</si>
  <si>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</si>
  <si>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</si>
  <si>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</si>
  <si>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</si>
  <si>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</si>
  <si>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Check</t>
  </si>
  <si>
    <t>Status</t>
  </si>
  <si>
    <t>Detail</t>
  </si>
  <si>
    <t>Sample rows loaded</t>
  </si>
  <si>
    <t>Current sample CSV is included as the initial Basket Data baseline.</t>
  </si>
  <si>
    <t>CSV schema</t>
  </si>
  <si>
    <t>Schema v2 sample</t>
  </si>
  <si>
    <t>Liquidity and full configuration auto-populate after schema-v3 CSV is received.</t>
  </si>
  <si>
    <t>Missing sample columns</t>
  </si>
  <si>
    <t>RunID, RunStartTime, RunStartBalance, EAName, EAVersion, Magic, PointsPerPip, Tral, TralStart, MaxSpread, TimeStart, TimeEnd, OpenTime, NewBasketDelaySeconds, SpeedEA, UseBasketTrailingTP, TrailingStart, TrailingStep, KillSwitchEnable, KillCooldownMinutes, RegimeEnable, RegimeAction, RegimeADXPeriod, RegimeADXLevel, RegimeADXBars, RegimeRangeBars, RegimeRecoveryBars, EnableTradingDaysFilter, TradeMonday, TradeTuesday, TradeWednesday, TradeThursday, TradeFriday, EnableRecoveryStepUp, RecoveryWaitMinutes, RecoveryMaxTotalLotsInBasket</t>
  </si>
  <si>
    <t>Folder/account mismatches</t>
  </si>
  <si>
    <t>Power Query flags FolderAccountMismatch when a OneDrive folder does not match AccountNumber.</t>
  </si>
  <si>
    <t>Configuration changes</t>
  </si>
  <si>
    <t>Formula monitored</t>
  </si>
  <si>
    <t>Account Analysis shows 'Configuration changed during run' when input snapshots differ.</t>
  </si>
  <si>
    <t>Defined by EA</t>
  </si>
  <si>
    <t>Counts separate entries into the near-kill zone: 12% threshold above kill point, re-armed after 2% recovery hysteresis.</t>
  </si>
  <si>
    <t>Count of basket rows where CloseReason = KILL.</t>
  </si>
  <si>
    <t>Refresh setup</t>
  </si>
  <si>
    <t>Required once</t>
  </si>
  <si>
    <t>Paste the supplied M code in Excel Data &gt; Get Data &gt; From Other Sources &gt; Blank Query &gt; Advanced Editor, then load to Basket Data.</t>
  </si>
  <si>
    <t>Power Query Setup — Editable Standard Excel Import</t>
  </si>
  <si>
    <t>Setting</t>
  </si>
  <si>
    <t>Value</t>
  </si>
  <si>
    <t>OneDrive root</t>
  </si>
  <si>
    <t>Expected folder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</si>
  <si>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</si>
  <si>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</si>
  <si>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</si>
  <si>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</si>
  <si>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</si>
  <si>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</si>
  <si>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</si>
  <si>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</si>
  <si>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C:\Users\User\OneDrive</t>
  </si>
  <si>
    <t>amartrading\Account_&lt;MT4Login&gt;\Baskets.csv and SyncStatus.json</t>
  </si>
  <si>
    <t>Embedded query names</t>
  </si>
  <si>
    <t>AmarTrading_Baskets; AmarTrading_SyncStatus</t>
  </si>
  <si>
    <t>The two AmarTrading queries are embedded in this workbook. Edit OneDrive root above, then choose Refresh All.</t>
  </si>
  <si>
    <t>shared AmarTrading_Baskets =</t>
  </si>
  <si>
    <t>let</t>
  </si>
  <si>
    <t xml:space="preserve">    OneDriveRoot = Text.Trim(Text.From(Excel.CurrentWorkbook(){[Name="OneDriveRoot"]}[Content]{0}[Column1])),</t>
  </si>
  <si>
    <t xml:space="preserve">    ExpectedColumns = {</t>
  </si>
  <si>
    <t xml:space="preserve">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</si>
  <si>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 xml:space="preserve">    },</t>
  </si>
  <si>
    <t xml:space="preserve">    FingerprintFields = {</t>
  </si>
  <si>
    <t xml:space="preserve">        "FixedLots","Magic","PointsPerPip","PipsStep","TakeProfit","Tral","TralStart","MaxSpread",</t>
  </si>
  <si>
    <t xml:space="preserve">        "TimeStart","TimeEnd","OpenTime","NewBasketDelaySeconds","SpeedEA","UseBasketTrailingTP",</t>
  </si>
  <si>
    <t xml:space="preserve">        "TrailingStart","TrailingStep","KillSwitchEnable","KillEquityLevel","KillCooldownMinutes",</t>
  </si>
  <si>
    <t xml:space="preserve">        "MaxOrdersInBasket","MaxTotalLotsInBasket","RegimeEnable","RegimeAction","RegimeADXPeriod",</t>
  </si>
  <si>
    <t xml:space="preserve">        "RegimeADXLevel","RegimeADXBars","RegimeRangeBars","RegimeRecoveryBars","EnableTradingDaysFilter",</t>
  </si>
  <si>
    <t xml:space="preserve">        "TradeMonday","TradeTuesday","TradeWednesday","TradeThursday","TradeFriday",</t>
  </si>
  <si>
    <t xml:space="preserve">        "EnableRecoveryStepUp","RecoveryWaitMinutes","RecoveryMaxTotalLotsInBasket"</t>
  </si>
  <si>
    <t xml:space="preserve">    GetFolderFiles = (FolderPath as text, Priority as number) as table =&gt;</t>
  </si>
  <si>
    <t xml:space="preserve">        let</t>
  </si>
  <si>
    <t xml:space="preserve">            Loaded = try Table.Buffer(Folder.Files(FolderPath)) otherwise #table(type table [Content = binary, Name = text, #"Folder Path" = text], {}),</t>
  </si>
  <si>
    <t xml:space="preserve">            WithPriority = Table.AddColumn(Loaded, "FolderPriority", each Priority, Int64.Type)</t>
  </si>
  <si>
    <t xml:space="preserve">        in</t>
  </si>
  <si>
    <t xml:space="preserve">            WithPriority,</t>
  </si>
  <si>
    <t xml:space="preserve">    CanonicalFiles = GetFolderFiles(OneDriveRoot &amp; "\amartrading", 0),</t>
  </si>
  <si>
    <t xml:space="preserve">    LegacyFiles = GetFolderFiles(OneDriveRoot &amp; "\AmmarTrading", 1),</t>
  </si>
  <si>
    <t xml:space="preserve">    Files = Table.Combine({CanonicalFiles, LegacyFiles}),</t>
  </si>
  <si>
    <t xml:space="preserve">    BasketFiles = Table.SelectRows(Files, each [Name] = "Baskets.csv" and Text.StartsWith(List.Last(Text.Split(Text.TrimEnd([Folder Path], "\"), "\")), "Account_")),</t>
  </si>
  <si>
    <t xml:space="preserve">    WithFolderLogin = Table.AddColumn(BasketFiles, "FolderAccountNumber", each Text.AfterDelimiter(List.Last(Text.Split(Text.TrimEnd([Folder Path], "\"), "\")), "Account_"), type text),</t>
  </si>
  <si>
    <t xml:space="preserve">    CanonicalAccounts = List.Buffer(Table.SelectRows(WithFolderLogin, each [FolderPriority] = 0)[FolderAccountNumber]),</t>
  </si>
  <si>
    <t xml:space="preserve">    PreferredFiles = Table.SelectRows(WithFolderLogin, each [FolderPriority] = 0 or not List.Contains(CanonicalAccounts, [FolderAccountNumber])),</t>
  </si>
  <si>
    <t xml:space="preserve">    WithCsv = Table.AddColumn(PreferredFiles, "Data", each Table.SelectColumns(Table.PromoteHeaders(Csv.Document([Content], [Delimiter=",", Encoding=65001, QuoteStyle=QuoteStyle.Csv]), [PromoteAllScalars=true]), ExpectedColumns, MissingField.UseNull)),</t>
  </si>
  <si>
    <t xml:space="preserve">    Keep = Table.SelectColumns(WithCsv, {"FolderAccountNumber","Data"}),</t>
  </si>
  <si>
    <t xml:space="preserve">    Expanded = Table.ExpandTableColumn(Keep, "Data", ExpectedColumns, ExpectedColumns),</t>
  </si>
  <si>
    <t xml:space="preserve">    Typed = Table.TransformColumnTypes(Expanded, {</t>
  </si>
  <si>
    <t xml:space="preserve">        {"FolderAccountNumber", type text},{"AccountNumber", type text},{"BasketID", Int64.Type},{"Timeframe", Int64.Type},</t>
  </si>
  <si>
    <t xml:space="preserve">        {"StartTime", type datetime},{"EndTime", type datetime},{"DurationSeconds", Int64.Type},{"OrdersCount", Int64.Type},</t>
  </si>
  <si>
    <t xml:space="preserve">        {"TotalLots", type number},{"FixedLots", type number},{"MaxOrdersConcurrent", Int64.Type},{"MaxTotalLots", type number},</t>
  </si>
  <si>
    <t xml:space="preserve">        {"MaxFloatingDrawdownAbs", type number},{"MaxFloatingProfit", type number},{"ClosePL", type number},{"SpreadAtEntry", type number},</t>
  </si>
  <si>
    <t xml:space="preserve">        {"EquityAtEntry", type number},{"HeadroomAtEntry", type number},{"MinHeadroom", type number},{"TimesNearKill", Int64.Type},</t>
  </si>
  <si>
    <t xml:space="preserve">        {"ExposureBlocks", Int64.Type},{"PipsStep", Int64.Type},{"TakeProfit", type number},{"KillEquityLevel", type number},</t>
  </si>
  <si>
    <t xml:space="preserve">        {"MaxOrdersInBasket", Int64.Type},{"MaxTotalLotsInBasket", type number},{"EquityAtExit", type number},{"BalanceAfter", type number},</t>
  </si>
  <si>
    <t xml:space="preserve">        {"TradeDate", type date},{"RunStartTime", type datetime},{"RunStartBalance", type number},{"Magic", Int64.Type},</t>
  </si>
  <si>
    <t xml:space="preserve">        {"PointsPerPip", Int64.Type},{"Tral", Int64.Type},{"TralStart", Int64.Type},{"MaxSpread", Int64.Type},</t>
  </si>
  <si>
    <t xml:space="preserve">        {"TimeStart", Int64.Type},{"TimeEnd", Int64.Type},{"OpenTime", Int64.Type},{"NewBasketDelaySeconds", Int64.Type},</t>
  </si>
  <si>
    <t xml:space="preserve">        {"SpeedEA", Int64.Type},{"UseBasketTrailingTP", Int64.Type},{"TrailingStart", type number},{"TrailingStep", type number},</t>
  </si>
  <si>
    <t xml:space="preserve">        {"KillSwitchEnable", Int64.Type},{"KillCooldownMinutes", Int64.Type},{"RegimeEnable", Int64.Type},{"RegimeAction", Int64.Type},</t>
  </si>
  <si>
    <t xml:space="preserve">        {"RegimeADXPeriod", Int64.Type},{"RegimeADXLevel", type number},{"RegimeADXBars", Int64.Type},{"RegimeRangeBars", Int64.Type},</t>
  </si>
  <si>
    <t xml:space="preserve">        {"RegimeRecoveryBars", Int64.Type},{"EnableTradingDaysFilter", Int64.Type},{"TradeMonday", Int64.Type},{"TradeTuesday", Int64.Type},</t>
  </si>
  <si>
    <t xml:space="preserve">        {"TradeWednesday", Int64.Type},{"TradeThursday", Int64.Type},{"TradeFriday", Int64.Type},{"EnableRecoveryStepUp", Int64.Type},</t>
  </si>
  <si>
    <t xml:space="preserve">        {"RecoveryWaitMinutes", Int64.Type},{"RecoveryMaxTotalLotsInBasket", type number},{"CsvSchemaVersion", Int64.Type}</t>
  </si>
  <si>
    <t xml:space="preserve">    }, "en-US"),</t>
  </si>
  <si>
    <t xml:space="preserve">    WithLegacyRunID = Table.ReplaceValue(Typed, null, "Legacy-v2", Replacer.ReplaceValue, {"RunID"}),</t>
  </si>
  <si>
    <t xml:space="preserve">    WithRunKey = Table.AddColumn(WithLegacyRunID, "RunKey", each [AccountNumber] &amp; "|" &amp; [RunID], type text),</t>
  </si>
  <si>
    <t xml:space="preserve">    WithMismatch = Table.AddColumn(WithRunKey, "FolderAccountMismatch", each [FolderAccountNumber] &lt;&gt; [AccountNumber], type logical),</t>
  </si>
  <si>
    <t xml:space="preserve">    WithConfigFingerprint = Table.AddColumn(WithMismatch, "ConfigFingerprint", (row) =&gt; Text.Combine(List.Transform(FingerprintFields, (field) =&gt; let value = Record.Field(row, field) in if value = null then "" else Text.From(value, "en-US")), "|"), type text),</t>
  </si>
  <si>
    <t xml:space="preserve">    FinalColumns = List.Combine({ExpectedColumns, {"FolderAccountNumber","RunKey","FolderAccountMismatch","ConfigFingerprint"}}),</t>
  </si>
  <si>
    <t xml:space="preserve">    Final = Table.ReorderColumns(WithConfigFingerprint, FinalColumns, MissingField.UseNull)</t>
  </si>
  <si>
    <t>in</t>
  </si>
  <si>
    <t xml:space="preserve">    Final</t>
  </si>
  <si>
    <t>shared AmarTrading_SyncStatus =</t>
  </si>
  <si>
    <t xml:space="preserve">    FreshnessHours = 26,</t>
  </si>
  <si>
    <t xml:space="preserve">    StatusFiles = Table.SelectRows(Files, each [Name] = "SyncStatus.json" and Text.StartsWith(List.Last(Text.Split(Text.TrimEnd([Folder Path], "\"), "\")), "Account_")),</t>
  </si>
  <si>
    <t xml:space="preserve">    WithFolderLogin = Table.AddColumn(StatusFiles, "FolderAccountNumber", each Text.AfterDelimiter(List.Last(Text.Split(Text.TrimEnd([Folder Path], "\"), "\")), "Account_"), type text),</t>
  </si>
  <si>
    <t xml:space="preserve">    WithJson = Table.AddColumn(PreferredFiles, "StatusRecord", each Json.Document([Content])),</t>
  </si>
  <si>
    <t xml:space="preserve">    Keep = Table.SelectColumns(WithJson, {"FolderAccountNumber","StatusRecord"}),</t>
  </si>
  <si>
    <t xml:space="preserve">    Expanded = Table.ExpandRecordColumn(Keep, "StatusRecord", {"AccountNumber","Status","RowCount","SourceHash","DestinationHash","SourceLastWriteUtc","PublishedUtc","CloudDeliveryVerified"}, {"AccountNumber","Status","RowCount","SourceHash","DestinationHash","SourceLastWriteUtc","PublishedUtc","CloudDeliveryVerified"}),</t>
  </si>
  <si>
    <t xml:space="preserve">    Typed = Table.TransformColumnTypes(Expanded, {{"FolderAccountNumber", type text},{"AccountNumber", type text},{"Status", type text},{"RowCount", Int64.Type},{"SourceHash", type text},{"DestinationHash", type text},{"SourceLastWriteUtc", type datetimezone},{"PublishedUtc", type datetimezone},{"CloudDeliveryVerified", type logical}}, "en-US"),</t>
  </si>
  <si>
    <t xml:space="preserve">    WithMismatch = Table.AddColumn(Typed, "FolderAccountMismatch", each [FolderAccountNumber] &lt;&gt; [AccountNumber], type logical),</t>
  </si>
  <si>
    <t xml:space="preserve">    WithAge = Table.AddColumn(WithMismatch, "HeartbeatAgeHours", each if [PublishedUtc] = null then null else Duration.TotalHours(DateTimeZone.UtcNow() - [PublishedUtc]), type number),</t>
  </si>
  <si>
    <t xml:space="preserve">    WithFreshness = Table.AddColumn(WithAge, "IsFresh", each [Status] = "Success" and [HeartbeatAgeHours] &lt;&gt; null and [HeartbeatAgeHours] &gt;= -0.0833 and [HeartbeatAgeHours] &lt;= FreshnessHours, type logical),</t>
  </si>
  <si>
    <t xml:space="preserve">    Final = Table.ReorderColumns(WithFreshness, {"AccountNumber","FolderAccountNumber","FolderAccountMismatch","Status","RowCount","SourceHash","DestinationHash","SourceLastWriteUtc","PublishedUtc","HeartbeatAgeHours","IsFresh","CloudDeliveryVerified"})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</si>
</sst>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9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22" fontId="0" fillId="0" borderId="0" xfId="0" applyNumberFormat="1"/>
    <xf numFmtId="14" fontId="0" fillId="0" borderId="0" xfId="0" applyNumberFormat="1"/>
    <xf numFmtId="0" fontId="4" fillId="4" borderId="0" xfId="0" applyFont="1" applyFill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  <xf numFmtId="0" fontId="7" fillId="0" borderId="0" xfId="0" quotePrefix="1" applyFont="1"/>
    <xf numFmtId="0" fontId="0" fillId="0" borderId="0" xfId="0" quotePrefix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328CE68-1D10-440A-863C-42AA5662DA66}" autoFormatId="0" applyNumberFormats="0" applyBorderFormats="0" applyFontFormats="1" applyPatternFormats="1" applyAlignmentFormats="0" applyWidthHeightFormats="0">
  <queryTableRefresh nextId="13">
    <queryTableFields count="12">
      <queryTableField id="1" name="AccountNumber" tableColumnId="13"/>
      <queryTableField id="2" name="FolderAccountNumber" tableColumnId="14"/>
      <queryTableField id="3" name="FolderAccountMismatch" tableColumnId="15"/>
      <queryTableField id="4" name="Status" tableColumnId="16"/>
      <queryTableField id="5" name="RowCount" tableColumnId="17"/>
      <queryTableField id="6" name="SourceHash" tableColumnId="18"/>
      <queryTableField id="7" name="DestinationHash" tableColumnId="19"/>
      <queryTableField id="8" name="SourceLastWriteUtc" tableColumnId="20"/>
      <queryTableField id="9" name="PublishedUtc" tableColumnId="21"/>
      <queryTableField id="10" name="HeartbeatAgeHours" tableColumnId="22"/>
      <queryTableField id="11" name="IsFresh" tableColumnId="23"/>
      <queryTableField id="12" name="CloudDeliveryVerifie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1469A43-CA2B-4A14-B086-F9D1F316172E}" autoFormatId="0" applyNumberFormats="0" applyBorderFormats="0" applyFontFormats="1" applyPatternFormats="1" applyAlignmentFormats="0" applyWidthHeightFormats="0">
  <queryTableRefresh nextId="76">
    <queryTableFields count="75">
      <queryTableField id="1" name="AccountNumber" tableColumnId="76"/>
      <queryTableField id="2" name="BrokerName" tableColumnId="77"/>
      <queryTableField id="3" name="BasketID" tableColumnId="78"/>
      <queryTableField id="4" name="Symbol" tableColumnId="79"/>
      <queryTableField id="5" name="SymbolNormalized" tableColumnId="80"/>
      <queryTableField id="6" name="Timeframe" tableColumnId="81"/>
      <queryTableField id="7" name="StartTime" tableColumnId="82"/>
      <queryTableField id="8" name="EndTime" tableColumnId="83"/>
      <queryTableField id="9" name="DurationSeconds" tableColumnId="84"/>
      <queryTableField id="10" name="Direction" tableColumnId="85"/>
      <queryTableField id="11" name="OrdersCount" tableColumnId="86"/>
      <queryTableField id="12" name="TotalLots" tableColumnId="87"/>
      <queryTableField id="13" name="FixedLots" tableColumnId="88"/>
      <queryTableField id="14" name="MaxOrdersConcurrent" tableColumnId="89"/>
      <queryTableField id="15" name="MaxTotalLots" tableColumnId="90"/>
      <queryTableField id="16" name="MaxFloatingDrawdownAbs" tableColumnId="91"/>
      <queryTableField id="17" name="MaxFloatingProfit" tableColumnId="92"/>
      <queryTableField id="18" name="ClosePL" tableColumnId="93"/>
      <queryTableField id="19" name="CloseReason" tableColumnId="94"/>
      <queryTableField id="20" name="OutcomeClass" tableColumnId="95"/>
      <queryTableField id="21" name="SpreadAtEntry" tableColumnId="96"/>
      <queryTableField id="22" name="EquityAtEntry" tableColumnId="97"/>
      <queryTableField id="23" name="HeadroomAtEntry" tableColumnId="98"/>
      <queryTableField id="24" name="MinHeadroom" tableColumnId="99"/>
      <queryTableField id="25" name="TimesNearKill" tableColumnId="100"/>
      <queryTableField id="26" name="ExposureBlocks" tableColumnId="101"/>
      <queryTableField id="27" name="PipsStep" tableColumnId="102"/>
      <queryTableField id="28" name="TakeProfit" tableColumnId="103"/>
      <queryTableField id="29" name="KillEquityLevel" tableColumnId="104"/>
      <queryTableField id="30" name="MaxOrdersInBasket" tableColumnId="105"/>
      <queryTableField id="31" name="MaxTotalLotsInBasket" tableColumnId="106"/>
      <queryTableField id="32" name="EquityAtExit" tableColumnId="107"/>
      <queryTableField id="33" name="BalanceAfter" tableColumnId="108"/>
      <queryTableField id="34" name="TradeDate" tableColumnId="109"/>
      <queryTableField id="35" name="RunID" tableColumnId="110"/>
      <queryTableField id="36" name="RunStartTime" tableColumnId="111"/>
      <queryTableField id="37" name="RunStartBalance" tableColumnId="112"/>
      <queryTableField id="38" name="EAName" tableColumnId="113"/>
      <queryTableField id="39" name="EAVersion" tableColumnId="114"/>
      <queryTableField id="40" name="Magic" tableColumnId="115"/>
      <queryTableField id="41" name="PointsPerPip" tableColumnId="116"/>
      <queryTableField id="42" name="Tral" tableColumnId="117"/>
      <queryTableField id="43" name="TralStart" tableColumnId="118"/>
      <queryTableField id="44" name="MaxSpread" tableColumnId="119"/>
      <queryTableField id="45" name="TimeStart" tableColumnId="120"/>
      <queryTableField id="46" name="TimeEnd" tableColumnId="121"/>
      <queryTableField id="47" name="OpenTime" tableColumnId="122"/>
      <queryTableField id="48" name="NewBasketDelaySeconds" tableColumnId="123"/>
      <queryTableField id="49" name="SpeedEA" tableColumnId="124"/>
      <queryTableField id="50" name="UseBasketTrailingTP" tableColumnId="125"/>
      <queryTableField id="51" name="TrailingStart" tableColumnId="126"/>
      <queryTableField id="52" name="TrailingStep" tableColumnId="127"/>
      <queryTableField id="53" name="KillSwitchEnable" tableColumnId="128"/>
      <queryTableField id="54" name="KillCooldownMinutes" tableColumnId="129"/>
      <queryTableField id="55" name="RegimeEnable" tableColumnId="130"/>
      <queryTableField id="56" name="RegimeAction" tableColumnId="131"/>
      <queryTableField id="57" name="RegimeADXPeriod" tableColumnId="132"/>
      <queryTableField id="58" name="RegimeADXLevel" tableColumnId="133"/>
      <queryTableField id="59" name="RegimeADXBars" tableColumnId="134"/>
      <queryTableField id="60" name="RegimeRangeBars" tableColumnId="135"/>
      <queryTableField id="61" name="RegimeRecoveryBars" tableColumnId="136"/>
      <queryTableField id="62" name="EnableTradingDaysFilter" tableColumnId="137"/>
      <queryTableField id="63" name="TradeMonday" tableColumnId="138"/>
      <queryTableField id="64" name="TradeTuesday" tableColumnId="139"/>
      <queryTableField id="65" name="TradeWednesday" tableColumnId="140"/>
      <queryTableField id="66" name="TradeThursday" tableColumnId="141"/>
      <queryTableField id="67" name="TradeFriday" tableColumnId="142"/>
      <queryTableField id="68" name="EnableRecoveryStepUp" tableColumnId="143"/>
      <queryTableField id="69" name="RecoveryWaitMinutes" tableColumnId="144"/>
      <queryTableField id="70" name="RecoveryMaxTotalLotsInBasket" tableColumnId="145"/>
      <queryTableField id="71" name="CsvSchemaVersion" tableColumnId="146"/>
      <queryTableField id="72" name="FolderAccountNumber" tableColumnId="147"/>
      <queryTableField id="73" name="RunKey" tableColumnId="148"/>
      <queryTableField id="74" name="FolderAccountMismatch" tableColumnId="149"/>
      <queryTableField id="75" name="ConfigFingerpri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728E3A-89B0-415C-B7B5-AB5C5F01E2E9}" name="SyncStatusTable" displayName="SyncStatusTable" ref="A1:L5" tableType="queryTable" totalsRowShown="0">
  <autoFilter ref="A1:L5" xr:uid="{03728E3A-89B0-415C-B7B5-AB5C5F01E2E9}"/>
  <tableColumns count="12">
    <tableColumn id="13" xr3:uid="{E0B2E4CF-2CE1-4AFF-A7FE-9C5AB2EF0E8E}" uniqueName="13" name="AccountNumber" queryTableFieldId="1" dataDxfId="14"/>
    <tableColumn id="14" xr3:uid="{7DCF0359-51F0-4C50-86D7-E1BDAA17FE20}" uniqueName="14" name="FolderAccountNumber" queryTableFieldId="2" dataDxfId="13"/>
    <tableColumn id="15" xr3:uid="{6ECBBCA5-0A5A-4303-BD6C-05304CEFF9CC}" uniqueName="15" name="FolderAccountMismatch" queryTableFieldId="3"/>
    <tableColumn id="16" xr3:uid="{33F7CDFB-FC2D-4567-8098-24EA5E24E7D4}" uniqueName="16" name="Status" queryTableFieldId="4" dataDxfId="12"/>
    <tableColumn id="17" xr3:uid="{9341A534-59FB-4967-B5AE-CEE30E96A8DF}" uniqueName="17" name="RowCount" queryTableFieldId="5"/>
    <tableColumn id="18" xr3:uid="{503EE8EB-16DF-4D9C-B579-8E793664B08A}" uniqueName="18" name="SourceHash" queryTableFieldId="6" dataDxfId="11"/>
    <tableColumn id="19" xr3:uid="{22C64E71-E121-4124-B0D5-4719EFB174B7}" uniqueName="19" name="DestinationHash" queryTableFieldId="7" dataDxfId="10"/>
    <tableColumn id="20" xr3:uid="{B1D8BA46-CF3C-4445-A0FA-8DD336F9933D}" uniqueName="20" name="SourceLastWriteUtc" queryTableFieldId="8" dataDxfId="9"/>
    <tableColumn id="21" xr3:uid="{0C74E712-D8DC-407E-9905-60C90DC8FB6F}" uniqueName="21" name="PublishedUtc" queryTableFieldId="9" dataDxfId="8"/>
    <tableColumn id="22" xr3:uid="{52952647-CDDF-4E69-A601-73218E91757F}" uniqueName="22" name="HeartbeatAgeHours" queryTableFieldId="10"/>
    <tableColumn id="23" xr3:uid="{9248976B-8DF0-41CC-9D78-BF312706CD26}" uniqueName="23" name="IsFresh" queryTableFieldId="11"/>
    <tableColumn id="24" xr3:uid="{FAC3B8F4-59E4-459B-BD99-A53DB1E56FEF}" uniqueName="24" name="CloudDeliveryVerifie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CDCA7-347D-40FB-9F91-4D905AE4787B}" name="BasketDataTable" displayName="BasketDataTable" ref="A1:BW5" tableType="queryTable" totalsRowShown="0">
  <autoFilter ref="A1:BW5" xr:uid="{250CDCA7-347D-40FB-9F91-4D905AE4787B}"/>
  <tableColumns count="75">
    <tableColumn id="76" xr3:uid="{CE6B1083-4BB1-45D6-8548-B018CB68EBEF}" uniqueName="76" name="AccountNumber" queryTableFieldId="1" dataDxfId="7"/>
    <tableColumn id="77" xr3:uid="{885DB414-E941-4FD9-B7DE-A22C09C4C449}" uniqueName="77" name="BrokerName" queryTableFieldId="2"/>
    <tableColumn id="78" xr3:uid="{ADA6418F-A3AF-4296-BA13-D4F40F07BAF7}" uniqueName="78" name="BasketID" queryTableFieldId="3"/>
    <tableColumn id="79" xr3:uid="{B2FBEA23-664D-4F73-990B-B1ED3EDED001}" uniqueName="79" name="Symbol" queryTableFieldId="4"/>
    <tableColumn id="80" xr3:uid="{6C019F2A-6E48-4B72-A7EA-9653650466D4}" uniqueName="80" name="SymbolNormalized" queryTableFieldId="5"/>
    <tableColumn id="81" xr3:uid="{140F78FF-56A0-4D72-9E24-D389F74ADA3A}" uniqueName="81" name="Timeframe" queryTableFieldId="6"/>
    <tableColumn id="82" xr3:uid="{FDFDC75F-02B1-4606-8C93-6F983D7209D5}" uniqueName="82" name="StartTime" queryTableFieldId="7" dataDxfId="6"/>
    <tableColumn id="83" xr3:uid="{EA24DB64-96E7-4F4E-99A5-80E66B15AA4D}" uniqueName="83" name="EndTime" queryTableFieldId="8" dataDxfId="5"/>
    <tableColumn id="84" xr3:uid="{24148E25-EF78-4EFD-BF87-76F268468855}" uniqueName="84" name="DurationSeconds" queryTableFieldId="9"/>
    <tableColumn id="85" xr3:uid="{6236C989-4BA6-4EE3-A699-FE12C06D65F8}" uniqueName="85" name="Direction" queryTableFieldId="10"/>
    <tableColumn id="86" xr3:uid="{6F47389A-07BF-40C1-9458-509FD1FD82B8}" uniqueName="86" name="OrdersCount" queryTableFieldId="11"/>
    <tableColumn id="87" xr3:uid="{A90C48A1-C675-4678-AFB8-C05B70042DF5}" uniqueName="87" name="TotalLots" queryTableFieldId="12"/>
    <tableColumn id="88" xr3:uid="{4F51DEF6-09FC-4327-ACC3-2F696F58EE50}" uniqueName="88" name="FixedLots" queryTableFieldId="13"/>
    <tableColumn id="89" xr3:uid="{CA68EFFA-8CB4-4B80-B21F-93F5BA6BC5DF}" uniqueName="89" name="MaxOrdersConcurrent" queryTableFieldId="14"/>
    <tableColumn id="90" xr3:uid="{31A79234-3D07-4946-9703-A6636EBC2F68}" uniqueName="90" name="MaxTotalLots" queryTableFieldId="15"/>
    <tableColumn id="91" xr3:uid="{879911BA-3527-4972-8A8E-53A7CD0A1AC2}" uniqueName="91" name="MaxFloatingDrawdownAbs" queryTableFieldId="16"/>
    <tableColumn id="92" xr3:uid="{67A82838-1C23-4776-8038-E54B7AE9A1DA}" uniqueName="92" name="MaxFloatingProfit" queryTableFieldId="17"/>
    <tableColumn id="93" xr3:uid="{5E69852C-89ED-4F89-9C44-F17480E9D9F1}" uniqueName="93" name="ClosePL" queryTableFieldId="18"/>
    <tableColumn id="94" xr3:uid="{A5994D33-5358-4934-A261-00ABF57E7D0F}" uniqueName="94" name="CloseReason" queryTableFieldId="19"/>
    <tableColumn id="95" xr3:uid="{4E2CC80E-865F-4AE6-9858-6E7D640EB0C4}" uniqueName="95" name="OutcomeClass" queryTableFieldId="20"/>
    <tableColumn id="96" xr3:uid="{25E5F310-2E3B-4287-AD25-1A96A7D1FA2E}" uniqueName="96" name="SpreadAtEntry" queryTableFieldId="21"/>
    <tableColumn id="97" xr3:uid="{64381515-39A6-4E35-8A2A-93EE03BFD4E5}" uniqueName="97" name="EquityAtEntry" queryTableFieldId="22"/>
    <tableColumn id="98" xr3:uid="{29C15F36-AAC3-486C-88EA-664E75F2B58A}" uniqueName="98" name="HeadroomAtEntry" queryTableFieldId="23"/>
    <tableColumn id="99" xr3:uid="{A3EBDF48-2242-4E7E-A0C0-9D2ACBE46EFB}" uniqueName="99" name="MinHeadroom" queryTableFieldId="24"/>
    <tableColumn id="100" xr3:uid="{7047C35F-CAA2-49E4-AB83-7F89D1351292}" uniqueName="100" name="TimesNearKill" queryTableFieldId="25"/>
    <tableColumn id="101" xr3:uid="{88B65318-42F2-4779-8CE2-1FF091D43511}" uniqueName="101" name="ExposureBlocks" queryTableFieldId="26"/>
    <tableColumn id="102" xr3:uid="{CCA245AF-DB4E-41B3-BD55-571930451346}" uniqueName="102" name="PipsStep" queryTableFieldId="27"/>
    <tableColumn id="103" xr3:uid="{B948D45D-4C3F-41C2-9035-C10C849C1E91}" uniqueName="103" name="TakeProfit" queryTableFieldId="28"/>
    <tableColumn id="104" xr3:uid="{C502F0B7-4589-4C49-90A5-110227689727}" uniqueName="104" name="KillEquityLevel" queryTableFieldId="29"/>
    <tableColumn id="105" xr3:uid="{1022E579-1FDF-4CE1-85BF-179D0C2B5A1C}" uniqueName="105" name="MaxOrdersInBasket" queryTableFieldId="30"/>
    <tableColumn id="106" xr3:uid="{E4980E5F-1D7B-43C5-AB58-DCBECA57049E}" uniqueName="106" name="MaxTotalLotsInBasket" queryTableFieldId="31"/>
    <tableColumn id="107" xr3:uid="{A28908EA-DD90-413B-9E5E-AE26FF7A2273}" uniqueName="107" name="EquityAtExit" queryTableFieldId="32"/>
    <tableColumn id="108" xr3:uid="{5EB19B24-DB59-4E8C-8633-EBBE8B98E638}" uniqueName="108" name="BalanceAfter" queryTableFieldId="33"/>
    <tableColumn id="109" xr3:uid="{D815DF08-2BD2-412D-B58D-2DAE283D5222}" uniqueName="109" name="TradeDate" queryTableFieldId="34" dataDxfId="4"/>
    <tableColumn id="110" xr3:uid="{6581F4C8-8D87-495D-9C43-1D8B05D40A05}" uniqueName="110" name="RunID" queryTableFieldId="35"/>
    <tableColumn id="111" xr3:uid="{2F061851-8078-496C-AF45-ACCD408FCDB8}" uniqueName="111" name="RunStartTime" queryTableFieldId="36" dataDxfId="3"/>
    <tableColumn id="112" xr3:uid="{5D82D02A-2397-40E9-AC9A-DE6914AAE604}" uniqueName="112" name="RunStartBalance" queryTableFieldId="37"/>
    <tableColumn id="113" xr3:uid="{8096A9FA-C98C-4523-A5AD-E4DFFCDF859C}" uniqueName="113" name="EAName" queryTableFieldId="38"/>
    <tableColumn id="114" xr3:uid="{2F5148DD-2E89-4755-8C89-C0063DEFD0A9}" uniqueName="114" name="EAVersion" queryTableFieldId="39"/>
    <tableColumn id="115" xr3:uid="{3AFE263A-5D97-4F84-A83C-5F0D232C1F59}" uniqueName="115" name="Magic" queryTableFieldId="40"/>
    <tableColumn id="116" xr3:uid="{E74BA369-8EC3-4B58-BC4B-48FA123C6040}" uniqueName="116" name="PointsPerPip" queryTableFieldId="41"/>
    <tableColumn id="117" xr3:uid="{11DE96E1-4917-4E8E-9B57-07DB5E313F8B}" uniqueName="117" name="Tral" queryTableFieldId="42"/>
    <tableColumn id="118" xr3:uid="{8D610903-F134-48B3-B948-14CEFF63DDA8}" uniqueName="118" name="TralStart" queryTableFieldId="43"/>
    <tableColumn id="119" xr3:uid="{6D596094-695D-4BDD-B6E8-5EC8174C37B0}" uniqueName="119" name="MaxSpread" queryTableFieldId="44"/>
    <tableColumn id="120" xr3:uid="{82463378-08AA-493F-B2F9-D556603A7552}" uniqueName="120" name="TimeStart" queryTableFieldId="45"/>
    <tableColumn id="121" xr3:uid="{015FFA5A-FA85-4FD3-8D62-BEB0FF7019E5}" uniqueName="121" name="TimeEnd" queryTableFieldId="46"/>
    <tableColumn id="122" xr3:uid="{CB7759D8-20E4-4D29-86FC-05F3585CD298}" uniqueName="122" name="OpenTime" queryTableFieldId="47"/>
    <tableColumn id="123" xr3:uid="{CB212F79-1548-4076-A2EC-32085E1AA995}" uniqueName="123" name="NewBasketDelaySeconds" queryTableFieldId="48"/>
    <tableColumn id="124" xr3:uid="{31FE8FC7-B042-4038-A6D3-777C8652D869}" uniqueName="124" name="SpeedEA" queryTableFieldId="49"/>
    <tableColumn id="125" xr3:uid="{6F2364CD-4C0A-4931-A367-12B49F702C3C}" uniqueName="125" name="UseBasketTrailingTP" queryTableFieldId="50"/>
    <tableColumn id="126" xr3:uid="{FA848E63-02E1-4190-88AB-C5590EF79116}" uniqueName="126" name="TrailingStart" queryTableFieldId="51"/>
    <tableColumn id="127" xr3:uid="{95A2F977-5BB0-452F-BD90-F5B2FE699E07}" uniqueName="127" name="TrailingStep" queryTableFieldId="52"/>
    <tableColumn id="128" xr3:uid="{77CCC998-A214-4FCB-9DBC-A2A3CDCDDABA}" uniqueName="128" name="KillSwitchEnable" queryTableFieldId="53"/>
    <tableColumn id="129" xr3:uid="{3FE3E5E0-4750-49C5-81AD-84F5EBE604C9}" uniqueName="129" name="KillCooldownMinutes" queryTableFieldId="54"/>
    <tableColumn id="130" xr3:uid="{FE8247AC-9E2F-4F02-AF94-EE98ED882CD7}" uniqueName="130" name="RegimeEnable" queryTableFieldId="55"/>
    <tableColumn id="131" xr3:uid="{9B773E92-0092-4B08-82A6-F38A50CEC312}" uniqueName="131" name="RegimeAction" queryTableFieldId="56"/>
    <tableColumn id="132" xr3:uid="{0A1E2B5D-D30C-4911-9229-6FF9F650D694}" uniqueName="132" name="RegimeADXPeriod" queryTableFieldId="57"/>
    <tableColumn id="133" xr3:uid="{F4E061B3-7868-4EBA-9B5C-F5A6C856573D}" uniqueName="133" name="RegimeADXLevel" queryTableFieldId="58"/>
    <tableColumn id="134" xr3:uid="{BDDD670A-70DB-480A-9DC9-DFB9DB04A187}" uniqueName="134" name="RegimeADXBars" queryTableFieldId="59"/>
    <tableColumn id="135" xr3:uid="{010AE00A-35FC-46BC-8234-7EA76A6B9CE4}" uniqueName="135" name="RegimeRangeBars" queryTableFieldId="60"/>
    <tableColumn id="136" xr3:uid="{43F36296-61E7-4A2E-9DE0-BD42F60403C3}" uniqueName="136" name="RegimeRecoveryBars" queryTableFieldId="61"/>
    <tableColumn id="137" xr3:uid="{E3B235D2-A5FE-4968-8169-0E366C1F694F}" uniqueName="137" name="EnableTradingDaysFilter" queryTableFieldId="62"/>
    <tableColumn id="138" xr3:uid="{0FA4A209-884A-4F99-9F83-483F7BB5DB71}" uniqueName="138" name="TradeMonday" queryTableFieldId="63"/>
    <tableColumn id="139" xr3:uid="{43629451-E0D5-44B5-B8A0-1A04198C1F33}" uniqueName="139" name="TradeTuesday" queryTableFieldId="64"/>
    <tableColumn id="140" xr3:uid="{34B95044-1E39-47A9-928C-7B5DBD835928}" uniqueName="140" name="TradeWednesday" queryTableFieldId="65"/>
    <tableColumn id="141" xr3:uid="{88FAE8F9-E4A6-4F45-B0C3-6AF7E116B28D}" uniqueName="141" name="TradeThursday" queryTableFieldId="66"/>
    <tableColumn id="142" xr3:uid="{B081BAFE-1372-4BF9-9477-B0703108AA2B}" uniqueName="142" name="TradeFriday" queryTableFieldId="67"/>
    <tableColumn id="143" xr3:uid="{CD58073D-57F2-4E1F-93FD-F22DCE73FF1D}" uniqueName="143" name="EnableRecoveryStepUp" queryTableFieldId="68"/>
    <tableColumn id="144" xr3:uid="{2D62E7D9-93B9-463B-9BD0-126B20403FF2}" uniqueName="144" name="RecoveryWaitMinutes" queryTableFieldId="69"/>
    <tableColumn id="145" xr3:uid="{2D6C58C6-6350-44E8-830B-C62B33C53CE3}" uniqueName="145" name="RecoveryMaxTotalLotsInBasket" queryTableFieldId="70"/>
    <tableColumn id="146" xr3:uid="{8A3DA9E4-2FF9-4527-A9A1-D27840958C3E}" uniqueName="146" name="CsvSchemaVersion" queryTableFieldId="71"/>
    <tableColumn id="147" xr3:uid="{A5E62291-5761-4186-A6F6-99CEF14D3538}" uniqueName="147" name="FolderAccountNumber" queryTableFieldId="72" dataDxfId="2"/>
    <tableColumn id="148" xr3:uid="{069264B2-4172-4C5D-AC88-27A96ABB9C9E}" uniqueName="148" name="RunKey" queryTableFieldId="73" dataDxfId="1"/>
    <tableColumn id="149" xr3:uid="{C606C6B7-585E-45E4-8AA5-1C742FDD12DA}" uniqueName="149" name="FolderAccountMismatch" queryTableFieldId="74"/>
    <tableColumn id="150" xr3:uid="{B8CCAAC3-0A19-45BB-8FA2-11B1D9A65D24}" uniqueName="150" name="ConfigFingerprint" queryTableFieldId="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L5"/>
  <sheetViews>
    <sheetView tabSelected="1" workbookViewId="0"/>
  </sheetViews>
  <sheetFormatPr defaultRowHeight="14.25"/>
  <cols>
    <col min="1" max="1" width="17.125" bestFit="1" customWidth="1"/>
    <col min="2" max="2" width="23" bestFit="1" customWidth="1"/>
    <col min="3" max="3" width="24.5" bestFit="1" customWidth="1"/>
    <col min="4" max="4" width="8.5" bestFit="1" customWidth="1"/>
    <col min="5" max="5" width="12.125" bestFit="1" customWidth="1"/>
    <col min="6" max="6" width="13.75" bestFit="1" customWidth="1"/>
    <col min="7" max="7" width="17.625" bestFit="1" customWidth="1"/>
    <col min="8" max="8" width="20.875" bestFit="1" customWidth="1"/>
    <col min="9" max="9" width="14.75" bestFit="1" customWidth="1"/>
    <col min="10" max="10" width="20.625" bestFit="1" customWidth="1"/>
    <col min="11" max="11" width="9.5" bestFit="1" customWidth="1"/>
    <col min="12" max="12" width="22.625" bestFit="1" customWidth="1"/>
  </cols>
  <sheetData>
    <row r="1" spans="1:12">
      <c r="A1" t="s">
        <v>77</v>
      </c>
      <c r="B1" t="s">
        <v>147</v>
      </c>
      <c r="C1" t="s">
        <v>149</v>
      </c>
      <c r="D1" t="s">
        <v>152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</row>
    <row r="2" spans="1:12">
      <c r="H2" s="13"/>
      <c r="I2" s="13"/>
    </row>
    <row r="3" spans="1:12">
      <c r="H3" s="13"/>
      <c r="I3" s="13"/>
    </row>
    <row r="4" spans="1:12">
      <c r="H4" s="13"/>
      <c r="I4" s="13"/>
    </row>
    <row r="5" spans="1:12">
      <c r="H5" s="13"/>
      <c r="I5" s="13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4"/>
  <sheetViews>
    <sheetView showGridLines="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</cols>
  <sheetData>
    <row r="1" spans="1:67" ht="27.9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2</v>
      </c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 t="s">
        <v>3</v>
      </c>
      <c r="AX2" s="17"/>
      <c r="AY2" s="17"/>
      <c r="AZ2" s="17"/>
      <c r="BA2" s="17"/>
      <c r="BB2" s="17"/>
      <c r="BC2" s="17"/>
      <c r="BD2" s="17"/>
      <c r="BE2" s="17"/>
      <c r="BF2" s="17"/>
      <c r="BG2" s="17" t="s">
        <v>4</v>
      </c>
      <c r="BH2" s="17"/>
      <c r="BI2" s="17"/>
      <c r="BJ2" s="17"/>
      <c r="BK2" s="17"/>
      <c r="BL2" s="17"/>
      <c r="BM2" s="17"/>
      <c r="BN2" s="17"/>
      <c r="BO2" s="17"/>
    </row>
    <row r="3" spans="1:6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67">
      <c r="A4" s="15" t="s">
        <v>72</v>
      </c>
      <c r="B4" s="15" t="s">
        <v>72</v>
      </c>
      <c r="C4" s="15" t="s">
        <v>72</v>
      </c>
      <c r="D4" s="15" t="s">
        <v>72</v>
      </c>
      <c r="E4" s="15" t="s">
        <v>72</v>
      </c>
      <c r="F4" s="15" t="s">
        <v>72</v>
      </c>
      <c r="G4" s="15" t="s">
        <v>72</v>
      </c>
      <c r="H4" s="15" t="s">
        <v>72</v>
      </c>
      <c r="I4" s="15" t="s">
        <v>72</v>
      </c>
      <c r="J4" s="15" t="s">
        <v>72</v>
      </c>
      <c r="K4" s="15" t="s">
        <v>72</v>
      </c>
      <c r="L4" s="15" t="s">
        <v>72</v>
      </c>
      <c r="M4" s="15" t="s">
        <v>72</v>
      </c>
      <c r="N4" s="15" t="s">
        <v>72</v>
      </c>
      <c r="O4" s="15" t="s">
        <v>72</v>
      </c>
      <c r="P4" s="15" t="s">
        <v>72</v>
      </c>
      <c r="Q4" s="15" t="s">
        <v>72</v>
      </c>
      <c r="R4" s="15" t="s">
        <v>72</v>
      </c>
      <c r="S4" s="15" t="s">
        <v>72</v>
      </c>
      <c r="T4" s="15" t="s">
        <v>72</v>
      </c>
      <c r="U4" s="15" t="s">
        <v>72</v>
      </c>
      <c r="V4" s="15" t="s">
        <v>72</v>
      </c>
      <c r="W4" s="15" t="s">
        <v>72</v>
      </c>
      <c r="X4" s="15" t="s">
        <v>72</v>
      </c>
      <c r="Y4" s="15" t="s">
        <v>72</v>
      </c>
      <c r="Z4" s="15" t="s">
        <v>72</v>
      </c>
      <c r="AA4" s="15" t="s">
        <v>72</v>
      </c>
      <c r="AB4" s="15" t="s">
        <v>72</v>
      </c>
      <c r="AC4" s="15" t="s">
        <v>72</v>
      </c>
      <c r="AD4" s="15" t="s">
        <v>72</v>
      </c>
      <c r="AE4" s="15" t="s">
        <v>72</v>
      </c>
      <c r="AF4" s="15" t="s">
        <v>72</v>
      </c>
      <c r="AG4" s="15" t="s">
        <v>72</v>
      </c>
      <c r="AH4" s="15" t="s">
        <v>72</v>
      </c>
      <c r="AI4" s="15" t="s">
        <v>72</v>
      </c>
      <c r="AJ4" s="15" t="s">
        <v>72</v>
      </c>
      <c r="AK4" s="15" t="s">
        <v>72</v>
      </c>
      <c r="AL4" s="15" t="s">
        <v>72</v>
      </c>
      <c r="AM4" s="15" t="s">
        <v>72</v>
      </c>
      <c r="AN4" s="15" t="s">
        <v>72</v>
      </c>
      <c r="AO4" s="15" t="s">
        <v>72</v>
      </c>
      <c r="AP4" s="15" t="s">
        <v>72</v>
      </c>
      <c r="AQ4" s="15" t="s">
        <v>72</v>
      </c>
      <c r="AR4" s="15" t="s">
        <v>72</v>
      </c>
      <c r="AS4" s="15" t="s">
        <v>72</v>
      </c>
      <c r="AT4" s="15" t="s">
        <v>72</v>
      </c>
      <c r="AU4" s="15" t="s">
        <v>72</v>
      </c>
      <c r="AV4" s="15" t="s">
        <v>72</v>
      </c>
      <c r="AW4" s="15" t="s">
        <v>72</v>
      </c>
      <c r="AX4" s="15" t="s">
        <v>72</v>
      </c>
      <c r="AY4" s="15" t="s">
        <v>72</v>
      </c>
      <c r="AZ4" s="15" t="s">
        <v>72</v>
      </c>
      <c r="BA4" s="15" t="s">
        <v>72</v>
      </c>
      <c r="BB4" s="15" t="s">
        <v>72</v>
      </c>
      <c r="BC4" s="15" t="s">
        <v>72</v>
      </c>
      <c r="BD4" s="15" t="s">
        <v>72</v>
      </c>
      <c r="BE4" s="15" t="s">
        <v>72</v>
      </c>
      <c r="BF4" s="15" t="s">
        <v>72</v>
      </c>
      <c r="BG4" s="15" t="s">
        <v>72</v>
      </c>
      <c r="BH4" s="15" t="s">
        <v>72</v>
      </c>
      <c r="BI4" s="15" t="s">
        <v>72</v>
      </c>
      <c r="BJ4" s="15" t="s">
        <v>72</v>
      </c>
      <c r="BK4" s="15" t="s">
        <v>72</v>
      </c>
      <c r="BL4" s="15" t="s">
        <v>72</v>
      </c>
      <c r="BM4" s="15" t="s">
        <v>72</v>
      </c>
      <c r="BN4" s="15" t="s">
        <v>72</v>
      </c>
      <c r="BO4" s="15" t="s">
        <v>72</v>
      </c>
    </row>
    <row r="5" spans="1:67">
      <c r="A5" s="5" t="s">
        <v>73</v>
      </c>
      <c r="B5" s="5" t="s">
        <v>74</v>
      </c>
      <c r="C5" s="5">
        <f>IFERROR(VLOOKUP($A5&amp;"|"&amp;$B5,'Manual Fields'!$A$2:$H$101,4,FALSE),"")</f>
        <v>0</v>
      </c>
      <c r="D5" s="6" t="str">
        <f>IFERROR(INDEX(_xlfn._xlws.FILTER('Basket Data'!$G$2:$G$2000,('Basket Data'!$A$2:$A$2000=$A5)*('Basket Data'!$AI$2:$AI$2000=$B5)),1),"")</f>
        <v/>
      </c>
      <c r="E5" s="5">
        <f>IFERROR(VLOOKUP($A5&amp;"|"&amp;$B5,'Manual Fields'!$A$2:$H$101,5,FALSE),"")</f>
        <v>0</v>
      </c>
      <c r="F5" s="8" t="str">
        <f>IFERROR(LOOKUP(2,1/('Basket Data'!$A$2:$A$2000=$A5)*('Basket Data'!$AI$2:$AI$2000=$B5),'Basket Data'!$AK$2:$AK$2000),"")</f>
        <v/>
      </c>
      <c r="G5" s="5">
        <f>IFERROR(VLOOKUP($A5&amp;"|"&amp;$B5,'Manual Fields'!$A$2:$H$101,6,FALSE),"")</f>
        <v>0</v>
      </c>
      <c r="H5" s="5">
        <f>IFERROR(VLOOKUP($A5&amp;"|"&amp;$B5,'Manual Fields'!$A$2:$H$101,7,FALSE),"")</f>
        <v>0</v>
      </c>
      <c r="I5" s="5" t="str">
        <f>IFERROR(LOOKUP(2,1/('Basket Data'!$A$2:$A$2000=$A5)*('Basket Data'!$AI$2:$AI$2000=$B5),'Basket Data'!$M$2:$M$2000),"")</f>
        <v/>
      </c>
      <c r="J5" s="5" t="str">
        <f>IFERROR(LOOKUP(2,1/('Basket Data'!$A$2:$A$2000=$A5)*('Basket Data'!$AI$2:$AI$2000=$B5),'Basket Data'!$AA$2:$AA$2000),"")</f>
        <v/>
      </c>
      <c r="K5" s="8" t="str">
        <f>IFERROR(LOOKUP(2,1/('Basket Data'!$A$2:$A$2000=$A5)*('Basket Data'!$AI$2:$AI$2000=$B5),'Basket Data'!$AB$2:$AB$2000),"")</f>
        <v/>
      </c>
      <c r="L5" s="5" t="str">
        <f>IFERROR(LOOKUP(2,1/('Basket Data'!$A$2:$A$2000=$A5)*('Basket Data'!$AI$2:$AI$2000=$B5),'Basket Data'!$AP$2:$AP$2000),"")</f>
        <v/>
      </c>
      <c r="M5" s="5" t="str">
        <f>IFERROR(LOOKUP(2,1/('Basket Data'!$A$2:$A$2000=$A5)*('Basket Data'!$AI$2:$AI$2000=$B5),'Basket Data'!$AQ$2:$AQ$2000),"")</f>
        <v/>
      </c>
      <c r="N5" s="5" t="str">
        <f>IFERROR(LOOKUP(2,1/('Basket Data'!$A$2:$A$2000=$A5)*('Basket Data'!$AI$2:$AI$2000=$B5),'Basket Data'!$AR$2:$AR$2000),"")</f>
        <v/>
      </c>
      <c r="O5" s="5" t="str">
        <f>IFERROR(LOOKUP(2,1/('Basket Data'!$A$2:$A$2000=$A5)*('Basket Data'!$AI$2:$AI$2000=$B5),'Basket Data'!$AS$2:$AS$2000),"")</f>
        <v/>
      </c>
      <c r="P5" s="5" t="str">
        <f>IFERROR(LOOKUP(2,1/('Basket Data'!$A$2:$A$2000=$A5)*('Basket Data'!$AI$2:$AI$2000=$B5),'Basket Data'!$AT$2:$AT$2000),"")</f>
        <v/>
      </c>
      <c r="Q5" s="5" t="str">
        <f>IFERROR(LOOKUP(2,1/('Basket Data'!$A$2:$A$2000=$A5)*('Basket Data'!$AI$2:$AI$2000=$B5),'Basket Data'!$AU$2:$AU$2000),"")</f>
        <v/>
      </c>
      <c r="R5" s="5" t="str">
        <f>IFERROR(LOOKUP(2,1/('Basket Data'!$A$2:$A$2000=$A5)*('Basket Data'!$AI$2:$AI$2000=$B5),'Basket Data'!$AW$2:$AW$2000),"")</f>
        <v/>
      </c>
      <c r="S5" s="5" t="str">
        <f>IFERROR(LOOKUP(2,1/('Basket Data'!$A$2:$A$2000=$A5)*('Basket Data'!$AI$2:$AI$2000=$B5),'Basket Data'!$AV$2:$AV$2000),"")</f>
        <v/>
      </c>
      <c r="T5" s="5" t="str">
        <f>IFERROR(LOOKUP(2,1/('Basket Data'!$A$2:$A$2000=$A5)*('Basket Data'!$AI$2:$AI$2000=$B5),'Basket Data'!$AX$2:$AX$2000),"")</f>
        <v/>
      </c>
      <c r="U5" s="8" t="str">
        <f>IFERROR(LOOKUP(2,1/('Basket Data'!$A$2:$A$2000=$A5)*('Basket Data'!$AI$2:$AI$2000=$B5),'Basket Data'!$AY$2:$AY$2000),"")</f>
        <v/>
      </c>
      <c r="V5" s="8" t="str">
        <f>IFERROR(LOOKUP(2,1/('Basket Data'!$A$2:$A$2000=$A5)*('Basket Data'!$AI$2:$AI$2000=$B5),'Basket Data'!$AZ$2:$AZ$2000),"")</f>
        <v/>
      </c>
      <c r="W5" s="5" t="str">
        <f>IFERROR(LOOKUP(2,1/('Basket Data'!$A$2:$A$2000=$A5)*('Basket Data'!$AI$2:$AI$2000=$B5),'Basket Data'!$BA$2:$BA$2000),"")</f>
        <v/>
      </c>
      <c r="X5" s="8" t="str">
        <f>IFERROR(LOOKUP(2,1/('Basket Data'!$A$2:$A$2000=$A5)*('Basket Data'!$AI$2:$AI$2000=$B5),'Basket Data'!$AC$2:$AC$2000),"")</f>
        <v/>
      </c>
      <c r="Y5" s="5" t="str">
        <f>IFERROR(LOOKUP(2,1/('Basket Data'!$A$2:$A$2000=$A5)*('Basket Data'!$AI$2:$AI$2000=$B5),'Basket Data'!$BB$2:$BB$2000),"")</f>
        <v/>
      </c>
      <c r="Z5" s="5" t="str">
        <f>IFERROR(LOOKUP(2,1/('Basket Data'!$A$2:$A$2000=$A5)*('Basket Data'!$AI$2:$AI$2000=$B5),'Basket Data'!$AD$2:$AD$2000),"")</f>
        <v/>
      </c>
      <c r="AA5" s="8" t="str">
        <f>IFERROR(LOOKUP(2,1/('Basket Data'!$A$2:$A$2000=$A5)*('Basket Data'!$AI$2:$AI$2000=$B5),'Basket Data'!$AE$2:$AE$2000),"")</f>
        <v/>
      </c>
      <c r="AB5" s="5" t="str">
        <f>IFERROR(LOOKUP(2,1/('Basket Data'!$A$2:$A$2000=$A5)*('Basket Data'!$AI$2:$AI$2000=$B5),'Basket Data'!$BC$2:$BC$2000),"")</f>
        <v/>
      </c>
      <c r="AC5" s="5" t="str">
        <f>IFERROR(LOOKUP(2,1/('Basket Data'!$A$2:$A$2000=$A5)*('Basket Data'!$AI$2:$AI$2000=$B5),'Basket Data'!$BD$2:$BD$2000),"")</f>
        <v/>
      </c>
      <c r="AD5" s="5" t="str">
        <f>IFERROR(LOOKUP(2,1/('Basket Data'!$A$2:$A$2000=$A5)*('Basket Data'!$AI$2:$AI$2000=$B5),'Basket Data'!$BP$2:$BP$2000),"")</f>
        <v/>
      </c>
      <c r="AE5" s="5" t="str">
        <f>IFERROR(LOOKUP(2,1/('Basket Data'!$A$2:$A$2000=$A5)*('Basket Data'!$AI$2:$AI$2000=$B5),'Basket Data'!$BQ$2:$BQ$2000),"")</f>
        <v/>
      </c>
      <c r="AF5" s="8" t="str">
        <f>IFERROR(LOOKUP(2,1/('Basket Data'!$A$2:$A$2000=$A5)*('Basket Data'!$AI$2:$AI$2000=$B5),'Basket Data'!$BR$2:$BR$2000),"")</f>
        <v/>
      </c>
      <c r="AG5" s="5">
        <f>IFERROR(VLOOKUP($A5&amp;"|"&amp;$B5,'Manual Fields'!$A$2:$H$101,8,FALSE),"")</f>
        <v>0</v>
      </c>
      <c r="AH5" s="8">
        <f>IFERROR(SUMIFS('Basket Data'!$R$2:$R$2000,'Basket Data'!$A$2:$A$2000,$A5,'Basket Data'!$AI$2:$AI$2000,$B5),0)</f>
        <v>0</v>
      </c>
      <c r="AI5" s="5">
        <f>IFERROR(COUNTA(_xlfn.UNIQUE(_xlfn._xlws.FILTER('Basket Data'!$AH$2:$AH$2000,('Basket Data'!$A$2:$A$2000=$A5)*('Basket Data'!$AI$2:$AI$2000=$B5)))),0)</f>
        <v>1</v>
      </c>
      <c r="AJ5" s="8">
        <f>IFERROR(AH5/AI5,0)</f>
        <v>0</v>
      </c>
      <c r="AK5" s="8">
        <f>IFERROR(LARGE(_xlfn._xlws.FILTER('Basket Data'!$P$2:$P$2000,('Basket Data'!$A$2:$A$2000=$A5)*('Basket Data'!$AI$2:$AI$2000=$B5)),1),0)</f>
        <v>0</v>
      </c>
      <c r="AL5" s="8">
        <f>IFERROR(LARGE(_xlfn._xlws.FILTER('Basket Data'!$P$2:$P$2000,('Basket Data'!$A$2:$A$2000=$A5)*('Basket Data'!$AI$2:$AI$2000=$B5)),2),0)</f>
        <v>0</v>
      </c>
      <c r="AM5" s="8">
        <f>IFERROR(LARGE(_xlfn._xlws.FILTER('Basket Data'!$P$2:$P$2000,('Basket Data'!$A$2:$A$2000=$A5)*('Basket Data'!$AI$2:$AI$2000=$B5)),3),0)</f>
        <v>0</v>
      </c>
      <c r="AN5" s="8">
        <f>IFERROR((LARGE(_xlfn._xlws.FILTER('Basket Data'!$P$2:$P$2000,('Basket Data'!$A$2:$A$2000=$A5)*('Basket Data'!$AI$2:$AI$2000=$B5)),1)+LARGE(_xlfn._xlws.FILTER('Basket Data'!$P$2:$P$2000,('Basket Data'!$A$2:$A$2000=$A5)*('Basket Data'!$AI$2:$AI$2000=$B5)),2)+LARGE(_xlfn._xlws.FILTER('Basket Data'!$P$2:$P$2000,('Basket Data'!$A$2:$A$2000=$A5)*('Basket Data'!$AI$2:$AI$2000=$B5)),3)+LARGE(_xlfn._xlws.FILTER('Basket Data'!$P$2:$P$2000,('Basket Data'!$A$2:$A$2000=$A5)*('Basket Data'!$AI$2:$AI$2000=$B5)),4)+LARGE(_xlfn._xlws.FILTER('Basket Data'!$P$2:$P$2000,('Basket Data'!$A$2:$A$2000=$A5)*('Basket Data'!$AI$2:$AI$2000=$B5)),5)+LARGE(_xlfn._xlws.FILTER('Basket Data'!$P$2:$P$2000,('Basket Data'!$A$2:$A$2000=$A5)*('Basket Data'!$AI$2:$AI$2000=$B5)),6)+LARGE(_xlfn._xlws.FILTER('Basket Data'!$P$2:$P$2000,('Basket Data'!$A$2:$A$2000=$A5)*('Basket Data'!$AI$2:$AI$2000=$B5)),7)+LARGE(_xlfn._xlws.FILTER('Basket Data'!$P$2:$P$2000,('Basket Data'!$A$2:$A$2000=$A5)*('Basket Data'!$AI$2:$AI$2000=$B5)),8)+LARGE(_xlfn._xlws.FILTER('Basket Data'!$P$2:$P$2000,('Basket Data'!$A$2:$A$2000=$A5)*('Basket Data'!$AI$2:$AI$2000=$B5)),9)+LARGE(_xlfn._xlws.FILTER('Basket Data'!$P$2:$P$2000,('Basket Data'!$A$2:$A$2000=$A5)*('Basket Data'!$AI$2:$AI$2000=$B5)),10))/MIN(10,AO5),0)</f>
        <v>0</v>
      </c>
      <c r="AO5" s="5">
        <f>COUNTIFS('Basket Data'!$A$2:$A$2000,$A5,'Basket Data'!$AI$2:$AI$2000,$B5)</f>
        <v>0</v>
      </c>
      <c r="AP5" s="5">
        <f>COUNTIFS('Basket Data'!$A$2:$A$2000,$A5,'Basket Data'!$AI$2:$AI$2000,$B5,'Basket Data'!$R$2:$R$2000,"&gt;0")</f>
        <v>0</v>
      </c>
      <c r="AQ5" s="8">
        <f>SUMIFS('Basket Data'!$R$2:$R$2000,'Basket Data'!$A$2:$A$2000,$A5,'Basket Data'!$AI$2:$AI$2000,$B5,'Basket Data'!$R$2:$R$2000,"&gt;0")</f>
        <v>0</v>
      </c>
      <c r="AR5" s="5">
        <f>COUNTIFS('Basket Data'!$A$2:$A$2000,$A5,'Basket Data'!$AI$2:$AI$2000,$B5,'Basket Data'!$R$2:$R$2000,"&lt;0")</f>
        <v>0</v>
      </c>
      <c r="AS5" s="8">
        <f>-SUMIFS('Basket Data'!$R$2:$R$2000,'Basket Data'!$A$2:$A$2000,$A5,'Basket Data'!$AI$2:$AI$2000,$B5,'Basket Data'!$R$2:$R$2000,"&lt;0")</f>
        <v>0</v>
      </c>
      <c r="AT5" s="8">
        <f>IFERROR(AH5/AO5,0)</f>
        <v>0</v>
      </c>
      <c r="AU5" s="5">
        <f>SUMIFS('Basket Data'!$Y$2:$Y$2000,'Basket Data'!$A$2:$A$2000,$A5,'Basket Data'!$AI$2:$AI$2000,$B5)</f>
        <v>0</v>
      </c>
      <c r="AV5" s="5">
        <f>COUNTIFS('Basket Data'!$A$2:$A$2000,$A5,'Basket Data'!$AI$2:$AI$2000,$B5,'Basket Data'!$S$2:$S$2000,"KILL")</f>
        <v>0</v>
      </c>
      <c r="AW5" s="5">
        <f>COUNTIFS('Basket Data'!$A$2:$A$2000,$A5,'Basket Data'!$AI$2:$AI$2000,$B5,'Basket Data'!$N$2:$N$2000,"&gt;=1")</f>
        <v>0</v>
      </c>
      <c r="AX5" s="5">
        <f>COUNTIFS('Basket Data'!$A$2:$A$2000,$A5,'Basket Data'!$AI$2:$AI$2000,$B5,'Basket Data'!$N$2:$N$2000,"&gt;=2")</f>
        <v>0</v>
      </c>
      <c r="AY5" s="5">
        <f>COUNTIFS('Basket Data'!$A$2:$A$2000,$A5,'Basket Data'!$AI$2:$AI$2000,$B5,'Basket Data'!$N$2:$N$2000,"&gt;=3")</f>
        <v>0</v>
      </c>
      <c r="AZ5" s="5">
        <f>COUNTIFS('Basket Data'!$A$2:$A$2000,$A5,'Basket Data'!$AI$2:$AI$2000,$B5,'Basket Data'!$N$2:$N$2000,"&gt;=4")</f>
        <v>0</v>
      </c>
      <c r="BA5" s="5">
        <f>COUNTIFS('Basket Data'!$A$2:$A$2000,$A5,'Basket Data'!$AI$2:$AI$2000,$B5,'Basket Data'!$N$2:$N$2000,"&gt;=5")</f>
        <v>0</v>
      </c>
      <c r="BB5" s="5">
        <f>COUNTIFS('Basket Data'!$A$2:$A$2000,$A5,'Basket Data'!$AI$2:$AI$2000,$B5,'Basket Data'!$N$2:$N$2000,"&gt;=6")</f>
        <v>0</v>
      </c>
      <c r="BC5" s="5">
        <f>COUNTIFS('Basket Data'!$A$2:$A$2000,$A5,'Basket Data'!$AI$2:$AI$2000,$B5,'Basket Data'!$N$2:$N$2000,"&gt;=7")</f>
        <v>0</v>
      </c>
      <c r="BD5" s="5">
        <f>COUNTIFS('Basket Data'!$A$2:$A$2000,$A5,'Basket Data'!$AI$2:$AI$2000,$B5,'Basket Data'!$N$2:$N$2000,"&gt;=8")</f>
        <v>0</v>
      </c>
      <c r="BE5" s="5">
        <f>COUNTIFS('Basket Data'!$A$2:$A$2000,$A5,'Basket Data'!$AI$2:$AI$2000,$B5,'Basket Data'!$N$2:$N$2000,"&gt;=9")</f>
        <v>0</v>
      </c>
      <c r="BF5" s="5">
        <f>COUNTIFS('Basket Data'!$A$2:$A$2000,$A5,'Basket Data'!$AI$2:$AI$2000,$B5,'Basket Data'!$N$2:$N$2000,"&gt;=10")</f>
        <v>0</v>
      </c>
      <c r="BG5" s="5">
        <f>SUMPRODUCT(('Basket Data'!$A$2:$A$2000=$A5)*('Basket Data'!$AI$2:$AI$2000=$B5)*('Basket Data'!$AE$2:$AE$2000&gt;0)*('Basket Data'!$O$2:$O$2000&gt;='Basket Data'!$AE$2:$AE$2000))</f>
        <v>0</v>
      </c>
      <c r="BH5" s="8">
        <f>IFERROR(AH5/AN5,0)</f>
        <v>0</v>
      </c>
      <c r="BI5" s="8">
        <f>IFERROR(AQ5/AP5,0)</f>
        <v>0</v>
      </c>
      <c r="BJ5" s="8">
        <f>IFERROR(AS5/AR5,0)</f>
        <v>0</v>
      </c>
      <c r="BK5" s="10">
        <f>IFERROR(AP5/AO5,0)</f>
        <v>0</v>
      </c>
      <c r="BL5" s="10">
        <f>IFERROR(AR5/AO5,0)</f>
        <v>0</v>
      </c>
      <c r="BM5" s="8">
        <f>(BI5*BK5)-(BJ5*BL5)</f>
        <v>0</v>
      </c>
      <c r="BN5" s="8">
        <f>IFERROR(AJ5/AN5,0)</f>
        <v>0</v>
      </c>
      <c r="BO5" s="5" t="str">
        <f>IF(AO5=0,"No basket data",IF(COUNTA(_xlfn.UNIQUE(_xlfn._xlws.FILTER('Basket Data'!$BW$2:$BW$2000,('Basket Data'!$A$2:$A$2000=$A5)*('Basket Data'!$AI$2:$AI$2000=$B5))))&gt;1,"Configuration changed during run","OK"))</f>
        <v>No basket data</v>
      </c>
    </row>
    <row r="6" spans="1:67">
      <c r="A6" s="3"/>
      <c r="B6" s="3"/>
      <c r="C6" s="4"/>
      <c r="D6" s="7"/>
      <c r="E6" s="4"/>
      <c r="F6" s="9"/>
      <c r="G6" s="4"/>
      <c r="H6" s="4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3"/>
      <c r="X6" s="9"/>
      <c r="Y6" s="3"/>
      <c r="Z6" s="3"/>
      <c r="AA6" s="9"/>
      <c r="AB6" s="3"/>
      <c r="AC6" s="3"/>
      <c r="AD6" s="3"/>
      <c r="AE6" s="3"/>
      <c r="AF6" s="9"/>
      <c r="AG6" s="4"/>
      <c r="AH6" s="9"/>
      <c r="AI6" s="3"/>
      <c r="AJ6" s="9"/>
      <c r="AK6" s="9"/>
      <c r="AL6" s="9"/>
      <c r="AM6" s="9"/>
      <c r="AN6" s="9"/>
      <c r="AO6" s="3"/>
      <c r="AP6" s="3"/>
      <c r="AQ6" s="9"/>
      <c r="AR6" s="3"/>
      <c r="AS6" s="9"/>
      <c r="AT6" s="9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11"/>
      <c r="BL6" s="11"/>
      <c r="BM6" s="9"/>
      <c r="BN6" s="9"/>
      <c r="BO6" s="3"/>
    </row>
    <row r="7" spans="1:67">
      <c r="A7" s="3"/>
      <c r="B7" s="3"/>
      <c r="C7" s="4"/>
      <c r="D7" s="7"/>
      <c r="E7" s="4"/>
      <c r="F7" s="9"/>
      <c r="G7" s="4"/>
      <c r="H7" s="4"/>
      <c r="I7" s="3"/>
      <c r="J7" s="3"/>
      <c r="K7" s="9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3"/>
      <c r="X7" s="9"/>
      <c r="Y7" s="3"/>
      <c r="Z7" s="3"/>
      <c r="AA7" s="9"/>
      <c r="AB7" s="3"/>
      <c r="AC7" s="3"/>
      <c r="AD7" s="3"/>
      <c r="AE7" s="3"/>
      <c r="AF7" s="9"/>
      <c r="AG7" s="4"/>
      <c r="AH7" s="9"/>
      <c r="AI7" s="3"/>
      <c r="AJ7" s="9"/>
      <c r="AK7" s="9"/>
      <c r="AL7" s="9"/>
      <c r="AM7" s="9"/>
      <c r="AN7" s="9"/>
      <c r="AO7" s="3"/>
      <c r="AP7" s="3"/>
      <c r="AQ7" s="9"/>
      <c r="AR7" s="3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9"/>
      <c r="BI7" s="9"/>
      <c r="BJ7" s="9"/>
      <c r="BK7" s="11"/>
      <c r="BL7" s="11"/>
      <c r="BM7" s="9"/>
      <c r="BN7" s="9"/>
      <c r="BO7" s="3"/>
    </row>
    <row r="8" spans="1:67">
      <c r="A8" s="3"/>
      <c r="B8" s="3"/>
      <c r="C8" s="4"/>
      <c r="D8" s="7"/>
      <c r="E8" s="4"/>
      <c r="F8" s="9"/>
      <c r="G8" s="4"/>
      <c r="H8" s="4"/>
      <c r="I8" s="3"/>
      <c r="J8" s="3"/>
      <c r="K8" s="9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3"/>
      <c r="X8" s="9"/>
      <c r="Y8" s="3"/>
      <c r="Z8" s="3"/>
      <c r="AA8" s="9"/>
      <c r="AB8" s="3"/>
      <c r="AC8" s="3"/>
      <c r="AD8" s="3"/>
      <c r="AE8" s="3"/>
      <c r="AF8" s="9"/>
      <c r="AG8" s="4"/>
      <c r="AH8" s="9"/>
      <c r="AI8" s="3"/>
      <c r="AJ8" s="9"/>
      <c r="AK8" s="9"/>
      <c r="AL8" s="9"/>
      <c r="AM8" s="9"/>
      <c r="AN8" s="9"/>
      <c r="AO8" s="3"/>
      <c r="AP8" s="3"/>
      <c r="AQ8" s="9"/>
      <c r="AR8" s="3"/>
      <c r="AS8" s="9"/>
      <c r="AT8" s="9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9"/>
      <c r="BI8" s="9"/>
      <c r="BJ8" s="9"/>
      <c r="BK8" s="11"/>
      <c r="BL8" s="11"/>
      <c r="BM8" s="9"/>
      <c r="BN8" s="9"/>
      <c r="BO8" s="3"/>
    </row>
    <row r="9" spans="1:6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6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6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6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6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6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6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6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75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76</v>
      </c>
      <c r="B2" s="3" t="s">
        <v>73</v>
      </c>
      <c r="C2" s="3" t="s">
        <v>74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5"/>
  <sheetViews>
    <sheetView showGridLines="0" workbookViewId="0"/>
  </sheetViews>
  <sheetFormatPr defaultRowHeight="14.25"/>
  <cols>
    <col min="1" max="1" width="17.125" bestFit="1" customWidth="1"/>
    <col min="2" max="2" width="14" bestFit="1" customWidth="1"/>
    <col min="3" max="3" width="10.875" bestFit="1" customWidth="1"/>
    <col min="4" max="4" width="9.25" bestFit="1" customWidth="1"/>
    <col min="5" max="5" width="19.5" bestFit="1" customWidth="1"/>
    <col min="6" max="6" width="12.25" bestFit="1" customWidth="1"/>
    <col min="7" max="8" width="13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6.37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4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23" bestFit="1" customWidth="1"/>
    <col min="73" max="73" width="43.625" bestFit="1" customWidth="1"/>
    <col min="74" max="74" width="24.5" bestFit="1" customWidth="1"/>
    <col min="75" max="75" width="78.375" bestFit="1" customWidth="1"/>
  </cols>
  <sheetData>
    <row r="1" spans="1:7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51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139</v>
      </c>
      <c r="BM1" t="s">
        <v>140</v>
      </c>
      <c r="BN1" t="s">
        <v>141</v>
      </c>
      <c r="BO1" t="s">
        <v>142</v>
      </c>
      <c r="BP1" t="s">
        <v>143</v>
      </c>
      <c r="BQ1" t="s">
        <v>144</v>
      </c>
      <c r="BR1" t="s">
        <v>145</v>
      </c>
      <c r="BS1" t="s">
        <v>146</v>
      </c>
      <c r="BT1" t="s">
        <v>147</v>
      </c>
      <c r="BU1" t="s">
        <v>148</v>
      </c>
      <c r="BV1" t="s">
        <v>149</v>
      </c>
      <c r="BW1" t="s">
        <v>150</v>
      </c>
    </row>
    <row r="2" spans="1:75">
      <c r="G2" s="13"/>
      <c r="H2" s="13"/>
      <c r="AH2" s="14"/>
      <c r="AJ2" s="13"/>
    </row>
    <row r="3" spans="1:75">
      <c r="G3" s="13"/>
      <c r="H3" s="13"/>
      <c r="AH3" s="14"/>
      <c r="AJ3" s="13"/>
    </row>
    <row r="4" spans="1:75">
      <c r="G4" s="13"/>
      <c r="H4" s="13"/>
      <c r="AH4" s="14"/>
      <c r="AJ4" s="13"/>
    </row>
    <row r="5" spans="1:75">
      <c r="G5" s="13"/>
      <c r="H5" s="13"/>
      <c r="AH5" s="14"/>
      <c r="AJ5" s="13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151</v>
      </c>
      <c r="B1" s="1" t="s">
        <v>152</v>
      </c>
      <c r="C1" s="1" t="s">
        <v>153</v>
      </c>
    </row>
    <row r="2" spans="1:3">
      <c r="A2" s="2" t="s">
        <v>154</v>
      </c>
      <c r="B2" s="2">
        <v>543</v>
      </c>
      <c r="C2" s="3" t="s">
        <v>155</v>
      </c>
    </row>
    <row r="3" spans="1:3">
      <c r="A3" s="2" t="s">
        <v>156</v>
      </c>
      <c r="B3" s="2" t="s">
        <v>157</v>
      </c>
      <c r="C3" s="3" t="s">
        <v>158</v>
      </c>
    </row>
    <row r="4" spans="1:3" ht="85.5">
      <c r="A4" s="2" t="s">
        <v>159</v>
      </c>
      <c r="B4" s="2">
        <v>36</v>
      </c>
      <c r="C4" s="3" t="s">
        <v>160</v>
      </c>
    </row>
    <row r="5" spans="1:3">
      <c r="A5" s="2" t="s">
        <v>161</v>
      </c>
      <c r="B5" s="2">
        <v>0</v>
      </c>
      <c r="C5" s="3" t="s">
        <v>162</v>
      </c>
    </row>
    <row r="6" spans="1:3">
      <c r="A6" s="2" t="s">
        <v>163</v>
      </c>
      <c r="B6" s="2" t="s">
        <v>164</v>
      </c>
      <c r="C6" s="3" t="s">
        <v>165</v>
      </c>
    </row>
    <row r="7" spans="1:3">
      <c r="A7" s="2" t="s">
        <v>51</v>
      </c>
      <c r="B7" s="2" t="s">
        <v>166</v>
      </c>
      <c r="C7" s="3" t="s">
        <v>167</v>
      </c>
    </row>
    <row r="8" spans="1:3">
      <c r="A8" s="2" t="s">
        <v>52</v>
      </c>
      <c r="B8" s="2" t="s">
        <v>164</v>
      </c>
      <c r="C8" s="3" t="s">
        <v>168</v>
      </c>
    </row>
    <row r="9" spans="1:3" ht="28.5">
      <c r="A9" s="2" t="s">
        <v>169</v>
      </c>
      <c r="B9" s="2" t="s">
        <v>170</v>
      </c>
      <c r="C9" s="3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workbookViewId="0"/>
  </sheetViews>
  <sheetFormatPr defaultRowHeight="14.25"/>
  <cols>
    <col min="1" max="1" width="120" customWidth="1"/>
    <col min="2" max="2" width="45" customWidth="1"/>
  </cols>
  <sheetData>
    <row r="1" spans="1:6" ht="20.25">
      <c r="A1" s="16" t="s">
        <v>172</v>
      </c>
      <c r="B1" s="16"/>
      <c r="C1" s="16"/>
      <c r="D1" s="16"/>
      <c r="E1" s="16"/>
      <c r="F1" s="16"/>
    </row>
    <row r="3" spans="1:6" ht="15">
      <c r="A3" s="1" t="s">
        <v>173</v>
      </c>
      <c r="B3" s="1" t="s">
        <v>174</v>
      </c>
    </row>
    <row r="4" spans="1:6">
      <c r="A4" s="2" t="s">
        <v>175</v>
      </c>
      <c r="B4" s="12" t="s">
        <v>185</v>
      </c>
    </row>
    <row r="5" spans="1:6">
      <c r="A5" s="2" t="s">
        <v>176</v>
      </c>
      <c r="B5" s="2" t="s">
        <v>186</v>
      </c>
    </row>
    <row r="6" spans="1:6">
      <c r="A6" s="2" t="s">
        <v>187</v>
      </c>
      <c r="B6" s="2" t="s">
        <v>188</v>
      </c>
    </row>
    <row r="8" spans="1:6">
      <c r="A8" s="18" t="s">
        <v>189</v>
      </c>
      <c r="B8" s="18"/>
      <c r="C8" s="18"/>
      <c r="D8" s="18"/>
      <c r="E8" s="18"/>
      <c r="F8" s="18"/>
    </row>
    <row r="10" spans="1:6">
      <c r="A10" s="19" t="s">
        <v>190</v>
      </c>
    </row>
    <row r="11" spans="1:6">
      <c r="A11" s="19" t="s">
        <v>191</v>
      </c>
    </row>
    <row r="12" spans="1:6">
      <c r="A12" s="19" t="s">
        <v>192</v>
      </c>
    </row>
    <row r="13" spans="1:6">
      <c r="A13" s="19" t="s">
        <v>193</v>
      </c>
    </row>
    <row r="14" spans="1:6">
      <c r="A14" s="19" t="s">
        <v>194</v>
      </c>
    </row>
    <row r="15" spans="1:6">
      <c r="A15" s="19" t="s">
        <v>195</v>
      </c>
    </row>
    <row r="16" spans="1:6">
      <c r="A16" s="19" t="s">
        <v>196</v>
      </c>
    </row>
    <row r="17" spans="1:1">
      <c r="A17" s="19" t="s">
        <v>197</v>
      </c>
    </row>
    <row r="18" spans="1:1">
      <c r="A18" s="19" t="s">
        <v>198</v>
      </c>
    </row>
    <row r="19" spans="1:1">
      <c r="A19" s="19" t="s">
        <v>199</v>
      </c>
    </row>
    <row r="20" spans="1:1">
      <c r="A20" s="19" t="s">
        <v>200</v>
      </c>
    </row>
    <row r="21" spans="1:1">
      <c r="A21" s="19" t="s">
        <v>201</v>
      </c>
    </row>
    <row r="22" spans="1:1">
      <c r="A22" s="19" t="s">
        <v>202</v>
      </c>
    </row>
    <row r="23" spans="1:1">
      <c r="A23" s="19" t="s">
        <v>203</v>
      </c>
    </row>
    <row r="24" spans="1:1">
      <c r="A24" s="19" t="s">
        <v>195</v>
      </c>
    </row>
    <row r="25" spans="1:1">
      <c r="A25" s="19" t="s">
        <v>204</v>
      </c>
    </row>
    <row r="26" spans="1:1">
      <c r="A26" s="19" t="s">
        <v>205</v>
      </c>
    </row>
    <row r="27" spans="1:1">
      <c r="A27" s="19" t="s">
        <v>206</v>
      </c>
    </row>
    <row r="28" spans="1:1">
      <c r="A28" s="19" t="s">
        <v>207</v>
      </c>
    </row>
    <row r="29" spans="1:1">
      <c r="A29" s="19" t="s">
        <v>208</v>
      </c>
    </row>
    <row r="30" spans="1:1">
      <c r="A30" s="19" t="s">
        <v>209</v>
      </c>
    </row>
    <row r="31" spans="1:1">
      <c r="A31" s="19" t="s">
        <v>210</v>
      </c>
    </row>
    <row r="32" spans="1:1">
      <c r="A32" s="19" t="s">
        <v>211</v>
      </c>
    </row>
    <row r="33" spans="1:1">
      <c r="A33" s="20" t="s">
        <v>212</v>
      </c>
    </row>
    <row r="34" spans="1:1">
      <c r="A34" s="20" t="s">
        <v>213</v>
      </c>
    </row>
    <row r="35" spans="1:1">
      <c r="A35" s="20" t="s">
        <v>214</v>
      </c>
    </row>
    <row r="36" spans="1:1">
      <c r="A36" s="20" t="s">
        <v>215</v>
      </c>
    </row>
    <row r="37" spans="1:1">
      <c r="A37" s="20" t="s">
        <v>216</v>
      </c>
    </row>
    <row r="38" spans="1:1">
      <c r="A38" s="20" t="s">
        <v>217</v>
      </c>
    </row>
    <row r="39" spans="1:1">
      <c r="A39" s="20" t="s">
        <v>218</v>
      </c>
    </row>
    <row r="40" spans="1:1">
      <c r="A40" s="20" t="s">
        <v>219</v>
      </c>
    </row>
    <row r="41" spans="1:1">
      <c r="A41" s="20" t="s">
        <v>220</v>
      </c>
    </row>
    <row r="42" spans="1:1">
      <c r="A42" s="20" t="s">
        <v>221</v>
      </c>
    </row>
    <row r="43" spans="1:1">
      <c r="A43" s="20" t="s">
        <v>222</v>
      </c>
    </row>
    <row r="44" spans="1:1">
      <c r="A44" s="20" t="s">
        <v>223</v>
      </c>
    </row>
    <row r="45" spans="1:1">
      <c r="A45" s="20" t="s">
        <v>224</v>
      </c>
    </row>
    <row r="46" spans="1:1">
      <c r="A46" s="20" t="s">
        <v>225</v>
      </c>
    </row>
    <row r="47" spans="1:1">
      <c r="A47" s="20" t="s">
        <v>226</v>
      </c>
    </row>
    <row r="48" spans="1:1">
      <c r="A48" s="20" t="s">
        <v>227</v>
      </c>
    </row>
    <row r="49" spans="1:1">
      <c r="A49" s="20" t="s">
        <v>228</v>
      </c>
    </row>
    <row r="50" spans="1:1">
      <c r="A50" s="20" t="s">
        <v>229</v>
      </c>
    </row>
    <row r="51" spans="1:1">
      <c r="A51" s="20" t="s">
        <v>230</v>
      </c>
    </row>
    <row r="52" spans="1:1">
      <c r="A52" s="20" t="s">
        <v>231</v>
      </c>
    </row>
    <row r="53" spans="1:1">
      <c r="A53" s="20" t="s">
        <v>232</v>
      </c>
    </row>
    <row r="54" spans="1:1">
      <c r="A54" s="20" t="s">
        <v>233</v>
      </c>
    </row>
    <row r="55" spans="1:1">
      <c r="A55" s="20" t="s">
        <v>234</v>
      </c>
    </row>
    <row r="56" spans="1:1">
      <c r="A56" s="20" t="s">
        <v>235</v>
      </c>
    </row>
    <row r="57" spans="1:1">
      <c r="A57" s="20" t="s">
        <v>236</v>
      </c>
    </row>
    <row r="58" spans="1:1">
      <c r="A58" s="20" t="s">
        <v>237</v>
      </c>
    </row>
    <row r="59" spans="1:1">
      <c r="A59" s="20" t="s">
        <v>238</v>
      </c>
    </row>
    <row r="60" spans="1:1">
      <c r="A60" s="20" t="s">
        <v>239</v>
      </c>
    </row>
    <row r="61" spans="1:1">
      <c r="A61" s="20" t="s">
        <v>240</v>
      </c>
    </row>
    <row r="62" spans="1:1">
      <c r="A62" s="20" t="s">
        <v>241</v>
      </c>
    </row>
    <row r="63" spans="1:1">
      <c r="A63" s="20" t="s">
        <v>242</v>
      </c>
    </row>
    <row r="64" spans="1:1">
      <c r="A64" s="20" t="s">
        <v>243</v>
      </c>
    </row>
    <row r="65" spans="1:1">
      <c r="A65" s="20" t="s">
        <v>244</v>
      </c>
    </row>
    <row r="66" spans="1:1">
      <c r="A66" s="20" t="s">
        <v>245</v>
      </c>
    </row>
    <row r="68" spans="1:1">
      <c r="A68" s="20" t="s">
        <v>246</v>
      </c>
    </row>
    <row r="69" spans="1:1">
      <c r="A69" s="20" t="s">
        <v>191</v>
      </c>
    </row>
    <row r="70" spans="1:1">
      <c r="A70" s="20" t="s">
        <v>192</v>
      </c>
    </row>
    <row r="71" spans="1:1">
      <c r="A71" s="20" t="s">
        <v>247</v>
      </c>
    </row>
    <row r="72" spans="1:1">
      <c r="A72" s="20" t="s">
        <v>204</v>
      </c>
    </row>
    <row r="73" spans="1:1">
      <c r="A73" s="20" t="s">
        <v>205</v>
      </c>
    </row>
    <row r="74" spans="1:1">
      <c r="A74" s="20" t="s">
        <v>206</v>
      </c>
    </row>
    <row r="75" spans="1:1">
      <c r="A75" s="20" t="s">
        <v>207</v>
      </c>
    </row>
    <row r="76" spans="1:1">
      <c r="A76" s="20" t="s">
        <v>208</v>
      </c>
    </row>
    <row r="77" spans="1:1">
      <c r="A77" s="20" t="s">
        <v>209</v>
      </c>
    </row>
    <row r="78" spans="1:1">
      <c r="A78" s="20" t="s">
        <v>210</v>
      </c>
    </row>
    <row r="79" spans="1:1">
      <c r="A79" s="20" t="s">
        <v>211</v>
      </c>
    </row>
    <row r="80" spans="1:1">
      <c r="A80" s="20" t="s">
        <v>212</v>
      </c>
    </row>
    <row r="81" spans="1:1">
      <c r="A81" s="20" t="s">
        <v>248</v>
      </c>
    </row>
    <row r="82" spans="1:1">
      <c r="A82" s="20" t="s">
        <v>249</v>
      </c>
    </row>
    <row r="83" spans="1:1">
      <c r="A83" s="20" t="s">
        <v>215</v>
      </c>
    </row>
    <row r="84" spans="1:1">
      <c r="A84" s="20" t="s">
        <v>216</v>
      </c>
    </row>
    <row r="85" spans="1:1">
      <c r="A85" s="20" t="s">
        <v>250</v>
      </c>
    </row>
    <row r="86" spans="1:1">
      <c r="A86" s="20" t="s">
        <v>251</v>
      </c>
    </row>
    <row r="87" spans="1:1">
      <c r="A87" s="20" t="s">
        <v>252</v>
      </c>
    </row>
    <row r="88" spans="1:1">
      <c r="A88" s="20" t="s">
        <v>253</v>
      </c>
    </row>
    <row r="89" spans="1:1">
      <c r="A89" s="20" t="s">
        <v>254</v>
      </c>
    </row>
    <row r="90" spans="1:1">
      <c r="A90" s="20" t="s">
        <v>255</v>
      </c>
    </row>
    <row r="91" spans="1:1">
      <c r="A91" s="20" t="s">
        <v>256</v>
      </c>
    </row>
    <row r="92" spans="1:1">
      <c r="A92" s="20" t="s">
        <v>257</v>
      </c>
    </row>
    <row r="93" spans="1:1">
      <c r="A93" s="20" t="s">
        <v>244</v>
      </c>
    </row>
    <row r="94" spans="1:1">
      <c r="A94" s="20" t="s">
        <v>245</v>
      </c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2026-09-04T21:07:06Z</dcterms:modified>
</cp:coreProperties>
</file>