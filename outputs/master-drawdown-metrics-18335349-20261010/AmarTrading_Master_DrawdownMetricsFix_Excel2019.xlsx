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xWorker\master-dd-metrics-39ce\out\"/>
    </mc:Choice>
  </mc:AlternateContent>
  <xr:revisionPtr revIDLastSave="0" documentId="13_ncr:1_{7F270578-A3A2-4514-B63B-F4016130DA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VPS Verification" sheetId="7" r:id="rId1"/>
    <sheet name="Sync Status" sheetId="6" r:id="rId2"/>
    <sheet name="Account Analysis" sheetId="1" r:id="rId3"/>
    <sheet name="Manual Fields" sheetId="2" r:id="rId4"/>
    <sheet name="Basket Data" sheetId="3" r:id="rId5"/>
    <sheet name="Data Quality" sheetId="4" r:id="rId6"/>
    <sheet name="Power Query Setup" sheetId="5" r:id="rId7"/>
  </sheets>
  <definedNames>
    <definedName name="ExternalData_1" localSheetId="4" hidden="1">'Basket Data'!$A$1:$BZ$26</definedName>
    <definedName name="ExternalData_1" localSheetId="1" hidden="1">'Sync Status'!$A$1:$O$2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4" i="4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S5" i="1"/>
  <c r="BJ5" i="1" s="1"/>
  <c r="AR5" i="1"/>
  <c r="BL5" i="1" s="1"/>
  <c r="AQ5" i="1"/>
  <c r="BI5" i="1" s="1"/>
  <c r="AP5" i="1"/>
  <c r="BK5" i="1" s="1"/>
  <c r="AO5" i="1"/>
  <c r="BY5" i="1" s="1"/>
  <c r="AI5" i="1"/>
  <c r="AH5" i="1"/>
  <c r="AT5" i="1" s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8" i="4"/>
  <c r="B7" i="4"/>
  <c r="B5" i="4"/>
  <c r="B3" i="4"/>
  <c r="B2" i="4"/>
  <c r="BM5" i="1" l="1"/>
  <c r="AJ5" i="1"/>
  <c r="BO5" i="1"/>
  <c r="BU5" i="1"/>
  <c r="BP5" i="1"/>
  <c r="BQ5" i="1"/>
  <c r="AL5" i="1" s="1"/>
  <c r="BR5" i="1"/>
  <c r="AM5" i="1" s="1"/>
  <c r="BS5" i="1"/>
  <c r="BT5" i="1"/>
  <c r="BV5" i="1"/>
  <c r="BW5" i="1"/>
  <c r="BX5" i="1"/>
  <c r="BN5" i="1" l="1"/>
  <c r="AN5" i="1"/>
  <c r="BH5" i="1" s="1"/>
  <c r="AK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773CF-800A-4DF3-B86F-80C0219550DF}" keepAlive="1" name="Connection" type="5" refreshedVersion="8" saveData="1">
    <dbPr connection="Provider=Microsoft.Mashup.OleDb.1;Data Source=$Workbook$;Location=AmarTrading_Baskets;Extended Properties=&quot;&quot;" command="SELECT * FROM [AmarTrading_Baskets]"/>
  </connection>
  <connection id="2" xr16:uid="{7EC3A507-9E87-4049-B34F-B61EFA49F76C}" keepAlive="1" name="Connection1" type="5" refreshedVersion="8" saveData="1">
    <dbPr connection="Provider=Microsoft.Mashup.OleDb.1;Data Source=$Workbook$;Location=AmarTrading_SyncStatus;Extended Properties=&quot;&quot;" command="SELECT * FROM [AmarTrading_SyncStatus]"/>
  </connection>
</connections>
</file>

<file path=xl/sharedStrings.xml><?xml version="1.0" encoding="utf-8"?>
<sst xmlns="http://schemas.openxmlformats.org/spreadsheetml/2006/main" count="700" uniqueCount="299">
  <si>
    <t>AmarTrading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</si>
  <si>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</si>
  <si>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</si>
  <si>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</si>
  <si>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</si>
  <si>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</si>
  <si>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</si>
  <si>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</si>
  <si>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</si>
  <si>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</si>
  <si>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</si>
  <si>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</si>
  <si>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</si>
  <si>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</si>
  <si>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</si>
  <si>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</si>
  <si>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</si>
  <si>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</si>
  <si>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</si>
  <si>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</si>
  <si>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</si>
  <si>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</si>
  <si>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</si>
  <si>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</si>
  <si>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</si>
  <si>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</si>
  <si>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</si>
  <si>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</si>
  <si>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</si>
  <si>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</si>
  <si>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</si>
  <si>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</si>
  <si>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</si>
  <si>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</si>
  <si>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</si>
  <si>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</si>
  <si>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</si>
  <si>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</si>
  <si>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</si>
  <si>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</si>
  <si>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</si>
  <si>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</si>
  <si>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</si>
  <si>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</si>
  <si>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</si>
  <si>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</si>
  <si>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</si>
  <si>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</si>
  <si>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</si>
  <si>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</si>
  <si>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</si>
  <si>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</si>
  <si>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</si>
  <si>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</si>
  <si>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</si>
  <si>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</si>
  <si>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</si>
  <si>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</si>
  <si>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</si>
  <si>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</si>
  <si>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</si>
  <si>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</si>
  <si>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</si>
  <si>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</si>
  <si>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</si>
  <si>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</si>
  <si>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</si>
  <si>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</si>
  <si>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</si>
  <si>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</si>
  <si>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</si>
  <si>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</si>
  <si>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</si>
  <si>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</si>
  <si>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</si>
  <si>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</si>
  <si>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</si>
  <si>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</si>
  <si>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</si>
  <si>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</si>
  <si>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</si>
  <si>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</si>
  <si>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</si>
  <si>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</si>
  <si>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</si>
  <si>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</si>
  <si>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</si>
  <si>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</si>
  <si>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</si>
  <si>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</si>
  <si>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</si>
  <si>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</si>
  <si>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</si>
  <si>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</si>
  <si>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</si>
  <si>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</si>
  <si>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</si>
  <si>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</si>
  <si>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</si>
  <si>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</si>
  <si>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</si>
  <si>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</si>
  <si>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</si>
  <si>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</si>
  <si>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</si>
  <si>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</si>
  <si>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</si>
  <si>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</si>
  <si>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</si>
  <si>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</si>
  <si>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</si>
  <si>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</si>
  <si>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</si>
  <si>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</si>
  <si>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</si>
  <si>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</si>
  <si>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</si>
  <si>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</si>
  <si>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</si>
  <si>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</si>
  <si>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</si>
  <si>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</si>
  <si>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</si>
  <si>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</si>
  <si>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</si>
  <si>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</si>
  <si>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</si>
  <si>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</si>
  <si>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</si>
  <si>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</si>
  <si>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</si>
  <si>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</si>
  <si>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</si>
  <si>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</si>
  <si>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</si>
  <si>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</si>
  <si>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</si>
  <si>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</si>
  <si>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</si>
  <si>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</si>
  <si>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</si>
  <si>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</si>
  <si>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</si>
  <si>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</si>
  <si>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</si>
  <si>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</si>
  <si>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</si>
  <si>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</si>
  <si>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</si>
  <si>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</si>
  <si>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Check</t>
  </si>
  <si>
    <t>Status</t>
  </si>
  <si>
    <t>CSV schema</t>
  </si>
  <si>
    <t>Folder/account mismatches</t>
  </si>
  <si>
    <t>Configuration changes</t>
  </si>
  <si>
    <t>Formula monitored</t>
  </si>
  <si>
    <t>Refresh setup</t>
  </si>
  <si>
    <t>Power Query Setup — Editable Standard Excel Import</t>
  </si>
  <si>
    <t>Setting</t>
  </si>
  <si>
    <t>Value</t>
  </si>
  <si>
    <t>OneDrive root</t>
  </si>
  <si>
    <t>Expected folder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</si>
  <si>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</si>
  <si>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</si>
  <si>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</si>
  <si>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</si>
  <si>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</si>
  <si>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</si>
  <si>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</si>
  <si>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</si>
  <si>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Embedded query names</t>
  </si>
  <si>
    <t>AmarTrading_Baskets; AmarTrading_SyncStatus</t>
  </si>
  <si>
    <t>The two AmarTrading queries are embedded in this workbook. Edit OneDrive root above, then choose Refresh All.</t>
  </si>
  <si>
    <t>shared AmarTrading_Baskets =</t>
  </si>
  <si>
    <t>let</t>
  </si>
  <si>
    <t xml:space="preserve">    OneDriveRoot = Text.Trim(Text.From(Excel.CurrentWorkbook(){[Name="OneDriveRoot"]}[Content]{0}[Column1])),</t>
  </si>
  <si>
    <t xml:space="preserve">    ExpectedColumns = {</t>
  </si>
  <si>
    <t xml:space="preserve">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</si>
  <si>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 xml:space="preserve">    },</t>
  </si>
  <si>
    <t xml:space="preserve">    FingerprintFields = {</t>
  </si>
  <si>
    <t xml:space="preserve">        "FixedLots","Magic","PointsPerPip","PipsStep","TakeProfit","Tral","TralStart","MaxSpread",</t>
  </si>
  <si>
    <t xml:space="preserve">        "TimeStart","TimeEnd","OpenTime","NewBasketDelaySeconds","SpeedEA","UseBasketTrailingTP",</t>
  </si>
  <si>
    <t xml:space="preserve">        "TrailingStart","TrailingStep","KillSwitchEnable","KillEquityLevel","KillCooldownMinutes",</t>
  </si>
  <si>
    <t xml:space="preserve">        "MaxOrdersInBasket","MaxTotalLotsInBasket","RegimeEnable","RegimeAction","RegimeADXPeriod",</t>
  </si>
  <si>
    <t xml:space="preserve">        "RegimeADXLevel","RegimeADXBars","RegimeRangeBars","RegimeRecoveryBars","EnableTradingDaysFilter",</t>
  </si>
  <si>
    <t xml:space="preserve">        "TradeMonday","TradeTuesday","TradeWednesday","TradeThursday","TradeFriday",</t>
  </si>
  <si>
    <t xml:space="preserve">        "EnableRecoveryStepUp","RecoveryWaitMinutes","RecoveryMaxTotalLotsInBasket"</t>
  </si>
  <si>
    <t xml:space="preserve">    GetFolderFiles = (FolderPath as text, Priority as number) as table =&gt;</t>
  </si>
  <si>
    <t xml:space="preserve">        let</t>
  </si>
  <si>
    <t xml:space="preserve">            Loaded = try Table.Buffer(Folder.Files(FolderPath)) otherwise #table(type table [Content = binary, Name = text, #"Folder Path" = text], {}),</t>
  </si>
  <si>
    <t xml:space="preserve">            WithPriority = Table.AddColumn(Loaded, "FolderPriority", each Priority, Int64.Type)</t>
  </si>
  <si>
    <t xml:space="preserve">        in</t>
  </si>
  <si>
    <t xml:space="preserve">            WithPriority,</t>
  </si>
  <si>
    <t xml:space="preserve">    CanonicalFiles = GetFolderFiles(OneDriveRoot &amp; "\amartrading", 0),</t>
  </si>
  <si>
    <t xml:space="preserve">    LegacyFiles = GetFolderFiles(OneDriveRoot &amp; "\AmmarTrading", 1),</t>
  </si>
  <si>
    <t xml:space="preserve">    Files = Table.Combine({CanonicalFiles, LegacyFiles}),</t>
  </si>
  <si>
    <t xml:space="preserve">    BasketFiles = Table.SelectRows(Files, each [Name] = "Baskets.csv" and Text.StartsWith(List.Last(Text.Split(Text.TrimEnd([Folder Path], "\"), "\")), "Account_")),</t>
  </si>
  <si>
    <t xml:space="preserve">    WithFolderLogin = Table.AddColumn(BasketFiles, "FolderAccountNumber", each Text.AfterDelimiter(List.Last(Text.Split(Text.TrimEnd([Folder Path], "\"), "\")), "Account_"), type text),</t>
  </si>
  <si>
    <t xml:space="preserve">    CanonicalAccounts = List.Buffer(Table.SelectRows(WithFolderLogin, each [FolderPriority] = 0)[FolderAccountNumber]),</t>
  </si>
  <si>
    <t xml:space="preserve">    PreferredFiles = Table.SelectRows(WithFolderLogin, each [FolderPriority] = 0 or not List.Contains(CanonicalAccounts, [FolderAccountNumber])),</t>
  </si>
  <si>
    <t xml:space="preserve">    WithCsv = Table.AddColumn(PreferredFiles, "Data", each Table.SelectColumns(Table.PromoteHeaders(Csv.Document([Content], [Delimiter=",", Encoding=65001, QuoteStyle=QuoteStyle.Csv]), [PromoteAllScalars=true]), ExpectedColumns, MissingField.UseNull)),</t>
  </si>
  <si>
    <t xml:space="preserve">    Keep = Table.SelectColumns(WithCsv, {"FolderAccountNumber","Data"}),</t>
  </si>
  <si>
    <t xml:space="preserve">    Expanded = Table.ExpandTableColumn(Keep, "Data", ExpectedColumns, ExpectedColumns),</t>
  </si>
  <si>
    <t xml:space="preserve">    Typed = Table.TransformColumnTypes(Expanded, {</t>
  </si>
  <si>
    <t xml:space="preserve">        {"FolderAccountNumber", type text},{"AccountNumber", type text},{"BasketID", Int64.Type},{"Timeframe", Int64.Type},</t>
  </si>
  <si>
    <t xml:space="preserve">        {"StartTime", type datetime},{"EndTime", type datetime},{"DurationSeconds", Int64.Type},{"OrdersCount", Int64.Type},</t>
  </si>
  <si>
    <t xml:space="preserve">        {"TotalLots", type number},{"FixedLots", type number},{"MaxOrdersConcurrent", Int64.Type},{"MaxTotalLots", type number},</t>
  </si>
  <si>
    <t xml:space="preserve">        {"MaxFloatingDrawdownAbs", type number},{"MaxFloatingProfit", type number},{"ClosePL", type number},{"SpreadAtEntry", type number},</t>
  </si>
  <si>
    <t xml:space="preserve">        {"EquityAtEntry", type number},{"HeadroomAtEntry", type number},{"MinHeadroom", type number},{"TimesNearKill", Int64.Type},</t>
  </si>
  <si>
    <t xml:space="preserve">        {"ExposureBlocks", Int64.Type},{"PipsStep", Int64.Type},{"TakeProfit", type number},{"KillEquityLevel", type number},</t>
  </si>
  <si>
    <t xml:space="preserve">        {"MaxOrdersInBasket", Int64.Type},{"MaxTotalLotsInBasket", type number},{"EquityAtExit", type number},{"BalanceAfter", type number},</t>
  </si>
  <si>
    <t xml:space="preserve">        {"TradeDate", type date},{"RunStartTime", type datetime},{"RunStartBalance", type number},{"Magic", Int64.Type},</t>
  </si>
  <si>
    <t xml:space="preserve">        {"PointsPerPip", Int64.Type},{"Tral", Int64.Type},{"TralStart", Int64.Type},{"MaxSpread", Int64.Type},</t>
  </si>
  <si>
    <t xml:space="preserve">        {"TimeStart", Int64.Type},{"TimeEnd", Int64.Type},{"OpenTime", Int64.Type},{"NewBasketDelaySeconds", Int64.Type},</t>
  </si>
  <si>
    <t xml:space="preserve">        {"SpeedEA", Int64.Type},{"UseBasketTrailingTP", Int64.Type},{"TrailingStart", type number},{"TrailingStep", type number},</t>
  </si>
  <si>
    <t xml:space="preserve">        {"KillSwitchEnable", Int64.Type},{"KillCooldownMinutes", Int64.Type},{"RegimeEnable", Int64.Type},{"RegimeAction", Int64.Type},</t>
  </si>
  <si>
    <t xml:space="preserve">        {"RegimeADXPeriod", Int64.Type},{"RegimeADXLevel", type number},{"RegimeADXBars", Int64.Type},{"RegimeRangeBars", Int64.Type},</t>
  </si>
  <si>
    <t xml:space="preserve">        {"RegimeRecoveryBars", Int64.Type},{"EnableTradingDaysFilter", Int64.Type},{"TradeMonday", Int64.Type},{"TradeTuesday", Int64.Type},</t>
  </si>
  <si>
    <t xml:space="preserve">        {"TradeWednesday", Int64.Type},{"TradeThursday", Int64.Type},{"TradeFriday", Int64.Type},{"EnableRecoveryStepUp", Int64.Type},</t>
  </si>
  <si>
    <t xml:space="preserve">        {"RecoveryWaitMinutes", Int64.Type},{"RecoveryMaxTotalLotsInBasket", type number},{"CsvSchemaVersion", Int64.Type}</t>
  </si>
  <si>
    <t xml:space="preserve">    }, "en-US"),</t>
  </si>
  <si>
    <t xml:space="preserve">    WithLegacyRunID = Table.ReplaceValue(Typed, null, "Legacy-v2", Replacer.ReplaceValue, {"RunID"}),</t>
  </si>
  <si>
    <t xml:space="preserve">    WithRunKey = Table.AddColumn(WithLegacyRunID, "RunKey", each [AccountNumber] &amp; "|" &amp; [RunID], type text),</t>
  </si>
  <si>
    <t xml:space="preserve">    WithMismatch = Table.AddColumn(WithRunKey, "FolderAccountMismatch", each [FolderAccountNumber] &lt;&gt; [AccountNumber], type logical),</t>
  </si>
  <si>
    <t xml:space="preserve">    WithConfigFingerprint = Table.AddColumn(WithMismatch, "ConfigFingerprint", (row) =&gt; Text.Combine(List.Transform(FingerprintFields, (field) =&gt; let value = Record.Field(row, field) in if value = null then "" else Text.From(value, "en-US")), "|"), type text),</t>
  </si>
  <si>
    <t xml:space="preserve">    FinalColumns = List.Combine({ExpectedColumns, {"FolderAccountNumber","RunKey","FolderAccountMismatch","ConfigFingerprint"}}),</t>
  </si>
  <si>
    <t xml:space="preserve">    Final = Table.ReorderColumns(WithConfigFingerprint, FinalColumns, MissingField.UseNull)</t>
  </si>
  <si>
    <t>in</t>
  </si>
  <si>
    <t xml:space="preserve">    Final</t>
  </si>
  <si>
    <t>shared AmarTrading_SyncStatus =</t>
  </si>
  <si>
    <t xml:space="preserve">    FreshnessHours = 26,</t>
  </si>
  <si>
    <t xml:space="preserve">    StatusFiles = Table.SelectRows(Files, each [Name] = "SyncStatus.json" and Text.StartsWith(List.Last(Text.Split(Text.TrimEnd([Folder Path], "\"), "\")), "Account_")),</t>
  </si>
  <si>
    <t xml:space="preserve">    WithFolderLogin = Table.AddColumn(StatusFiles, "FolderAccountNumber", each Text.AfterDelimiter(List.Last(Text.Split(Text.TrimEnd([Folder Path], "\"), "\")), "Account_"), type text),</t>
  </si>
  <si>
    <t xml:space="preserve">    WithJson = Table.AddColumn(PreferredFiles, "StatusRecord", each Json.Document([Content])),</t>
  </si>
  <si>
    <t xml:space="preserve">    Keep = Table.SelectColumns(WithJson, {"FolderAccountNumber","StatusRecord"}),</t>
  </si>
  <si>
    <t xml:space="preserve">    Expanded = Table.ExpandRecordColumn(Keep, "StatusRecord", {"AccountNumber","Status","RowCount","SourceHash","DestinationHash","SourceLastWriteUtc","PublishedUtc","CloudDeliveryVerified"}, {"AccountNumber","Status","RowCount","SourceHash","DestinationHash","SourceLastWriteUtc","PublishedUtc","CloudDeliveryVerified"}),</t>
  </si>
  <si>
    <t xml:space="preserve">    Typed = Table.TransformColumnTypes(Expanded, {{"FolderAccountNumber", type text},{"AccountNumber", type text},{"Status", type text},{"RowCount", Int64.Type},{"SourceHash", type text},{"DestinationHash", type text},{"SourceLastWriteUtc", type datetimezone},{"PublishedUtc", type datetimezone},{"CloudDeliveryVerified", type logical}}, "en-US"),</t>
  </si>
  <si>
    <t xml:space="preserve">    WithMismatch = Table.AddColumn(Typed, "FolderAccountMismatch", each [FolderAccountNumber] &lt;&gt; [AccountNumber], type logical),</t>
  </si>
  <si>
    <t xml:space="preserve">    WithAge = Table.AddColumn(WithMismatch, "HeartbeatAgeHours", each if [PublishedUtc] = null then null else Duration.TotalHours(DateTimeZone.UtcNow() - [PublishedUtc]), type number),</t>
  </si>
  <si>
    <t xml:space="preserve">    WithFreshness = Table.AddColumn(WithAge, "IsFresh", each [Status] = "Success" and [HeartbeatAgeHours] &lt;&gt; null and [HeartbeatAgeHours] &gt;= -0.0833 and [HeartbeatAgeHours] &lt;= FreshnessHours, type logical),</t>
  </si>
  <si>
    <t xml:space="preserve">    Final = Table.ReorderColumns(WithFreshness, {"AccountNumber","FolderAccountNumber","FolderAccountMismatch","Status","RowCount","SourceHash","DestinationHash","SourceLastWriteUtc","PublishedUtc","HeartbeatAgeHours","IsFresh","CloudDeliveryVerified"})</t>
  </si>
  <si>
    <t>Success</t>
  </si>
  <si>
    <t>BUY</t>
  </si>
  <si>
    <t>AmmarTradingGoldEA</t>
  </si>
  <si>
    <t>3.00</t>
  </si>
  <si>
    <t>TP</t>
  </si>
  <si>
    <t>NORMAL_PROFIT</t>
  </si>
  <si>
    <t>AmarTrading - REAL VPS verification</t>
  </si>
  <si>
    <t>Source VPS: fxut8768197</t>
  </si>
  <si>
    <t>Snapshot UTC: 2026-09-04T21:47:16.2806658Z</t>
  </si>
  <si>
    <t>Local OneDrive: C:\Users\Dryou\OneDrive</t>
  </si>
  <si>
    <t>Account</t>
  </si>
  <si>
    <t>CSV rows</t>
  </si>
  <si>
    <t>Excel rows</t>
  </si>
  <si>
    <t>CSV ClosePL</t>
  </si>
  <si>
    <t>Excel ClosePL</t>
  </si>
  <si>
    <t>Result</t>
  </si>
  <si>
    <t>PASS</t>
  </si>
  <si>
    <t>PASS: Refresh All matches all 1,062 CSV rows across four real accounts.</t>
  </si>
  <si>
    <t>PASS: 8 copied file hashes match the VPS snapshot.</t>
  </si>
  <si>
    <t>Cloud sync on VPS needs OneDrive sign-in. This test uses a copied snapshot.</t>
  </si>
  <si>
    <t>Current result</t>
  </si>
  <si>
    <t>Meaning</t>
  </si>
  <si>
    <t>Imported basket rows</t>
  </si>
  <si>
    <t>Live table row count after Refresh All; no sample baseline.</t>
  </si>
  <si>
    <t>Derived from the imported CsvSchemaVersion column.</t>
  </si>
  <si>
    <t>Account/run groups</t>
  </si>
  <si>
    <t>Zero means imported account identifiers agree with their folders.</t>
  </si>
  <si>
    <t>Account Analysis compares configuration fingerprints within each run.</t>
  </si>
  <si>
    <t>Status records</t>
  </si>
  <si>
    <t>Local heartbeat records; cloud delivery requires separate verification.</t>
  </si>
  <si>
    <t>Fresh heartbeats</t>
  </si>
  <si>
    <t>Derived from heartbeat timestamps and status.</t>
  </si>
  <si>
    <t>Queries embedded</t>
  </si>
  <si>
    <t>Set OneDriveRoot on Power Query Setup, then Data &gt; Refresh All. No M code pasting is needed.</t>
  </si>
  <si>
    <t>PASS: Account Analysis and Data Quality also match the real CSV data.</t>
  </si>
  <si>
    <t>Account/run analysis (Excel 2019 compatible). Refresh All updates imported data; current account/run groups are listed below.</t>
  </si>
  <si>
    <t>Count of populated Account Analysis rows; no dynamic spill reference.</t>
  </si>
  <si>
    <t>Analysis group coverage</t>
  </si>
  <si>
    <t>Every imported account/run pair must have a matching Account Analysis row.</t>
  </si>
  <si>
    <t>Duplicate analysis keys</t>
  </si>
  <si>
    <t>Account and Run ID together must be unique.</t>
  </si>
  <si>
    <t>Excel compatibility</t>
  </si>
  <si>
    <t>Excel 2019 formulas</t>
  </si>
  <si>
    <t>Analysis rows are prefilled for current groups; copy a complete row through hidden drawdown helpers for a new group.</t>
  </si>
  <si>
    <t>VpsId</t>
  </si>
  <si>
    <t>VpsName</t>
  </si>
  <si>
    <t>AccountKey</t>
  </si>
  <si>
    <t>18335349</t>
  </si>
  <si>
    <t>FXCM</t>
  </si>
  <si>
    <t>AGOLD</t>
  </si>
  <si>
    <t>newvps01</t>
  </si>
  <si>
    <t>newvps01|18335349</t>
  </si>
  <si>
    <t>0.1|1400|0|80|15|60|110|200|3|23|0|10|25|0|3|1.5|1|1500|1440|0|0|0|0|14|25|3|8|3|0|1|1|1|1|1|0|60|0</t>
  </si>
  <si>
    <t>amartrading\VPS_&lt;id&gt;\Account_&lt;MT4Login&gt;\Baskets.csv (flat Account_* kept only when no newer VPS copy exists)</t>
  </si>
  <si>
    <t>D:\CodexWorker\master-dd-metrics-39ce\fixture</t>
  </si>
  <si>
    <t>18335349_1400_XAUUSD_1790000000</t>
  </si>
  <si>
    <t>18335349|18335349_1400_XAUUSD_1790000000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</si>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</sst>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10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B7B7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22" fontId="0" fillId="0" borderId="0" xfId="0" applyNumberFormat="1"/>
    <xf numFmtId="14" fontId="0" fillId="0" borderId="0" xfId="0" applyNumberFormat="1"/>
    <xf numFmtId="0" fontId="7" fillId="0" borderId="0" xfId="0" quotePrefix="1" applyFont="1"/>
    <xf numFmtId="0" fontId="0" fillId="0" borderId="0" xfId="0" quotePrefix="1"/>
    <xf numFmtId="0" fontId="9" fillId="0" borderId="0" xfId="0" applyFont="1"/>
    <xf numFmtId="0" fontId="9" fillId="0" borderId="3" xfId="0" applyFont="1" applyBorder="1"/>
    <xf numFmtId="0" fontId="0" fillId="0" borderId="3" xfId="0" applyBorder="1"/>
    <xf numFmtId="4" fontId="0" fillId="0" borderId="3" xfId="0" applyNumberFormat="1" applyBorder="1"/>
    <xf numFmtId="49" fontId="5" fillId="5" borderId="2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wrapText="1"/>
    </xf>
    <xf numFmtId="0" fontId="4" fillId="4" borderId="4" xfId="0" applyFont="1" applyFill="1" applyBorder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2AA95627-AB6A-440C-A4F8-633951CCCA96}" autoFormatId="0" applyNumberFormats="0" applyBorderFormats="0" applyFontFormats="1" applyPatternFormats="1" applyAlignmentFormats="0" applyWidthHeightFormats="0">
  <queryTableRefresh nextId="16">
    <queryTableFields count="15">
      <queryTableField id="1" name="VpsId" tableColumnId="16"/>
      <queryTableField id="2" name="VpsName" tableColumnId="17"/>
      <queryTableField id="3" name="AccountKey" tableColumnId="18"/>
      <queryTableField id="4" name="AccountNumber" tableColumnId="19"/>
      <queryTableField id="5" name="FolderAccountNumber" tableColumnId="20"/>
      <queryTableField id="6" name="FolderAccountMismatch" tableColumnId="21"/>
      <queryTableField id="7" name="Status" tableColumnId="22"/>
      <queryTableField id="8" name="RowCount" tableColumnId="23"/>
      <queryTableField id="9" name="SourceHash" tableColumnId="24"/>
      <queryTableField id="10" name="DestinationHash" tableColumnId="25"/>
      <queryTableField id="11" name="SourceLastWriteUtc" tableColumnId="26"/>
      <queryTableField id="12" name="PublishedUtc" tableColumnId="27"/>
      <queryTableField id="13" name="HeartbeatAgeHours" tableColumnId="28"/>
      <queryTableField id="14" name="IsFresh" tableColumnId="29"/>
      <queryTableField id="15" name="CloudDeliveryVerified" tableColumnId="3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4ECB7CF4-99AF-4C78-A1BB-2B25B1823908}" autoFormatId="0" applyNumberFormats="0" applyBorderFormats="0" applyFontFormats="1" applyPatternFormats="1" applyAlignmentFormats="0" applyWidthHeightFormats="0">
  <queryTableRefresh nextId="79">
    <queryTableFields count="78">
      <queryTableField id="1" name="AccountNumber" tableColumnId="79"/>
      <queryTableField id="2" name="BrokerName" tableColumnId="80"/>
      <queryTableField id="3" name="BasketID" tableColumnId="81"/>
      <queryTableField id="4" name="Symbol" tableColumnId="82"/>
      <queryTableField id="5" name="SymbolNormalized" tableColumnId="83"/>
      <queryTableField id="6" name="Timeframe" tableColumnId="84"/>
      <queryTableField id="7" name="StartTime" tableColumnId="85"/>
      <queryTableField id="8" name="EndTime" tableColumnId="86"/>
      <queryTableField id="9" name="DurationSeconds" tableColumnId="87"/>
      <queryTableField id="10" name="Direction" tableColumnId="88"/>
      <queryTableField id="11" name="OrdersCount" tableColumnId="89"/>
      <queryTableField id="12" name="TotalLots" tableColumnId="90"/>
      <queryTableField id="13" name="FixedLots" tableColumnId="91"/>
      <queryTableField id="14" name="MaxOrdersConcurrent" tableColumnId="92"/>
      <queryTableField id="15" name="MaxTotalLots" tableColumnId="93"/>
      <queryTableField id="16" name="MaxFloatingDrawdownAbs" tableColumnId="94"/>
      <queryTableField id="17" name="MaxFloatingProfit" tableColumnId="95"/>
      <queryTableField id="18" name="ClosePL" tableColumnId="96"/>
      <queryTableField id="19" name="CloseReason" tableColumnId="97"/>
      <queryTableField id="20" name="OutcomeClass" tableColumnId="98"/>
      <queryTableField id="21" name="SpreadAtEntry" tableColumnId="99"/>
      <queryTableField id="22" name="EquityAtEntry" tableColumnId="100"/>
      <queryTableField id="23" name="HeadroomAtEntry" tableColumnId="101"/>
      <queryTableField id="24" name="MinHeadroom" tableColumnId="102"/>
      <queryTableField id="25" name="TimesNearKill" tableColumnId="103"/>
      <queryTableField id="26" name="ExposureBlocks" tableColumnId="104"/>
      <queryTableField id="27" name="PipsStep" tableColumnId="105"/>
      <queryTableField id="28" name="TakeProfit" tableColumnId="106"/>
      <queryTableField id="29" name="KillEquityLevel" tableColumnId="107"/>
      <queryTableField id="30" name="MaxOrdersInBasket" tableColumnId="108"/>
      <queryTableField id="31" name="MaxTotalLotsInBasket" tableColumnId="109"/>
      <queryTableField id="32" name="EquityAtExit" tableColumnId="110"/>
      <queryTableField id="33" name="BalanceAfter" tableColumnId="111"/>
      <queryTableField id="34" name="TradeDate" tableColumnId="112"/>
      <queryTableField id="35" name="RunID" tableColumnId="113"/>
      <queryTableField id="36" name="RunStartTime" tableColumnId="114"/>
      <queryTableField id="37" name="RunStartBalance" tableColumnId="115"/>
      <queryTableField id="38" name="EAName" tableColumnId="116"/>
      <queryTableField id="39" name="EAVersion" tableColumnId="117"/>
      <queryTableField id="40" name="Magic" tableColumnId="118"/>
      <queryTableField id="41" name="PointsPerPip" tableColumnId="119"/>
      <queryTableField id="42" name="Tral" tableColumnId="120"/>
      <queryTableField id="43" name="TralStart" tableColumnId="121"/>
      <queryTableField id="44" name="MaxSpread" tableColumnId="122"/>
      <queryTableField id="45" name="TimeStart" tableColumnId="123"/>
      <queryTableField id="46" name="TimeEnd" tableColumnId="124"/>
      <queryTableField id="47" name="OpenTime" tableColumnId="125"/>
      <queryTableField id="48" name="NewBasketDelaySeconds" tableColumnId="126"/>
      <queryTableField id="49" name="SpeedEA" tableColumnId="127"/>
      <queryTableField id="50" name="UseBasketTrailingTP" tableColumnId="128"/>
      <queryTableField id="51" name="TrailingStart" tableColumnId="129"/>
      <queryTableField id="52" name="TrailingStep" tableColumnId="130"/>
      <queryTableField id="53" name="KillSwitchEnable" tableColumnId="131"/>
      <queryTableField id="54" name="KillCooldownMinutes" tableColumnId="132"/>
      <queryTableField id="55" name="RegimeEnable" tableColumnId="133"/>
      <queryTableField id="56" name="RegimeAction" tableColumnId="134"/>
      <queryTableField id="57" name="RegimeADXPeriod" tableColumnId="135"/>
      <queryTableField id="58" name="RegimeADXLevel" tableColumnId="136"/>
      <queryTableField id="59" name="RegimeADXBars" tableColumnId="137"/>
      <queryTableField id="60" name="RegimeRangeBars" tableColumnId="138"/>
      <queryTableField id="61" name="RegimeRecoveryBars" tableColumnId="139"/>
      <queryTableField id="62" name="EnableTradingDaysFilter" tableColumnId="140"/>
      <queryTableField id="63" name="TradeMonday" tableColumnId="141"/>
      <queryTableField id="64" name="TradeTuesday" tableColumnId="142"/>
      <queryTableField id="65" name="TradeWednesday" tableColumnId="143"/>
      <queryTableField id="66" name="TradeThursday" tableColumnId="144"/>
      <queryTableField id="67" name="TradeFriday" tableColumnId="145"/>
      <queryTableField id="68" name="EnableRecoveryStepUp" tableColumnId="146"/>
      <queryTableField id="69" name="RecoveryWaitMinutes" tableColumnId="147"/>
      <queryTableField id="70" name="RecoveryMaxTotalLotsInBasket" tableColumnId="148"/>
      <queryTableField id="71" name="CsvSchemaVersion" tableColumnId="149"/>
      <queryTableField id="72" name="VpsId" tableColumnId="150"/>
      <queryTableField id="73" name="VpsName" tableColumnId="151"/>
      <queryTableField id="74" name="FolderAccountNumber" tableColumnId="152"/>
      <queryTableField id="75" name="AccountKey" tableColumnId="153"/>
      <queryTableField id="76" name="RunKey" tableColumnId="154"/>
      <queryTableField id="77" name="FolderAccountMismatch" tableColumnId="155"/>
      <queryTableField id="78" name="ConfigFingerprint" tableColumnId="1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9A1136-A0C2-4AF6-9816-6C47884020EC}" name="SyncStatusTable" displayName="SyncStatusTable" ref="A1:O2" tableType="queryTable" totalsRowShown="0">
  <autoFilter ref="A1:O2" xr:uid="{BF9A1136-A0C2-4AF6-9816-6C47884020EC}"/>
  <tableColumns count="15">
    <tableColumn id="16" xr3:uid="{4340AF7E-C79C-4430-BA96-AA31CE469927}" uniqueName="16" name="VpsId" queryTableFieldId="1"/>
    <tableColumn id="17" xr3:uid="{78830ED8-61F2-48C4-ACAE-C7B887092ACC}" uniqueName="17" name="VpsName" queryTableFieldId="2" dataDxfId="19"/>
    <tableColumn id="18" xr3:uid="{AAB6BA6F-8F2D-4790-A09B-86F92CDFC11F}" uniqueName="18" name="AccountKey" queryTableFieldId="3" dataDxfId="18"/>
    <tableColumn id="19" xr3:uid="{F8FC9FCD-CC1B-4A46-9725-8DA6D575CA1C}" uniqueName="19" name="AccountNumber" queryTableFieldId="4" dataDxfId="17"/>
    <tableColumn id="20" xr3:uid="{9E7E7223-B5AF-4F98-9A6E-A8135B297AC8}" uniqueName="20" name="FolderAccountNumber" queryTableFieldId="5" dataDxfId="16"/>
    <tableColumn id="21" xr3:uid="{C208D490-F972-46EA-9700-E633EB4F401C}" uniqueName="21" name="FolderAccountMismatch" queryTableFieldId="6"/>
    <tableColumn id="22" xr3:uid="{D3931FB9-617B-4845-A9EC-CD1ADC94E887}" uniqueName="22" name="Status" queryTableFieldId="7" dataDxfId="15"/>
    <tableColumn id="23" xr3:uid="{050C8FF4-D418-42B4-B3D8-F7DFE8181862}" uniqueName="23" name="RowCount" queryTableFieldId="8"/>
    <tableColumn id="24" xr3:uid="{3EA92C92-0B99-4DEC-83D8-C943915443DA}" uniqueName="24" name="SourceHash" queryTableFieldId="9" dataDxfId="14"/>
    <tableColumn id="25" xr3:uid="{48C9897C-8786-47FA-86D6-901B1EC0C355}" uniqueName="25" name="DestinationHash" queryTableFieldId="10" dataDxfId="13"/>
    <tableColumn id="26" xr3:uid="{ABC437EE-B4B1-4DBB-B159-A2EBAAA2BF36}" uniqueName="26" name="SourceLastWriteUtc" queryTableFieldId="11" dataDxfId="12"/>
    <tableColumn id="27" xr3:uid="{29AF6DDB-9E24-4B3D-AD77-CDDD0A25A5BC}" uniqueName="27" name="PublishedUtc" queryTableFieldId="12" dataDxfId="11"/>
    <tableColumn id="28" xr3:uid="{0613EC83-C035-4F60-BD86-89E962B83B3D}" uniqueName="28" name="HeartbeatAgeHours" queryTableFieldId="13"/>
    <tableColumn id="29" xr3:uid="{6EE9A7D1-F741-4FAE-890D-52B2457F1173}" uniqueName="29" name="IsFresh" queryTableFieldId="14"/>
    <tableColumn id="30" xr3:uid="{ABBC68DA-B5E7-4ADE-9691-85ADA42AD333}" uniqueName="30" name="CloudDeliveryVerifie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B9C91-14AE-4E78-AE15-82E9BA7A8483}" name="BasketDataTable" displayName="BasketDataTable" ref="A1:BZ26" tableType="queryTable" totalsRowShown="0">
  <autoFilter ref="A1:BZ26" xr:uid="{066B9C91-14AE-4E78-AE15-82E9BA7A8483}"/>
  <tableColumns count="78">
    <tableColumn id="79" xr3:uid="{1211CBD7-8C79-4913-8558-D8A1EEE5F2BA}" uniqueName="79" name="AccountNumber" queryTableFieldId="1" dataDxfId="10"/>
    <tableColumn id="80" xr3:uid="{ACF8CD32-A768-4C9F-B39E-7BF182B3161A}" uniqueName="80" name="BrokerName" queryTableFieldId="2"/>
    <tableColumn id="81" xr3:uid="{053BA143-3FE9-43BB-AFB6-9028F750AD71}" uniqueName="81" name="BasketID" queryTableFieldId="3"/>
    <tableColumn id="82" xr3:uid="{BB523790-F75F-482C-8C6E-1720B1F005AE}" uniqueName="82" name="Symbol" queryTableFieldId="4"/>
    <tableColumn id="83" xr3:uid="{923AF2AB-2763-4FF4-8DFB-56A449307701}" uniqueName="83" name="SymbolNormalized" queryTableFieldId="5"/>
    <tableColumn id="84" xr3:uid="{4FCC395D-FF3E-4582-A115-3E9EA380A90C}" uniqueName="84" name="Timeframe" queryTableFieldId="6"/>
    <tableColumn id="85" xr3:uid="{190C4580-ECE7-4541-8E76-29C27C96DF13}" uniqueName="85" name="StartTime" queryTableFieldId="7" dataDxfId="9"/>
    <tableColumn id="86" xr3:uid="{32DDD515-BE00-4F93-9771-2A10EECF4371}" uniqueName="86" name="EndTime" queryTableFieldId="8" dataDxfId="8"/>
    <tableColumn id="87" xr3:uid="{7CC4F641-AEF4-46AA-B206-E36E562722E5}" uniqueName="87" name="DurationSeconds" queryTableFieldId="9"/>
    <tableColumn id="88" xr3:uid="{18B082EA-48FC-459D-9C8B-41E984864D0B}" uniqueName="88" name="Direction" queryTableFieldId="10"/>
    <tableColumn id="89" xr3:uid="{B8F0CC75-034E-483C-9E87-966EBEDB4372}" uniqueName="89" name="OrdersCount" queryTableFieldId="11"/>
    <tableColumn id="90" xr3:uid="{D860D437-0B3E-4C35-A612-D4897A2FDD68}" uniqueName="90" name="TotalLots" queryTableFieldId="12"/>
    <tableColumn id="91" xr3:uid="{252DAE61-E291-4601-BF98-85486BB46B62}" uniqueName="91" name="FixedLots" queryTableFieldId="13"/>
    <tableColumn id="92" xr3:uid="{4D6C550D-C330-4EB8-BA4B-33649DB476F8}" uniqueName="92" name="MaxOrdersConcurrent" queryTableFieldId="14"/>
    <tableColumn id="93" xr3:uid="{CA1F1612-2848-42B2-AB3E-D35F1F2F889A}" uniqueName="93" name="MaxTotalLots" queryTableFieldId="15"/>
    <tableColumn id="94" xr3:uid="{C0160775-A0CA-400B-B27C-3D0C194B6EA7}" uniqueName="94" name="MaxFloatingDrawdownAbs" queryTableFieldId="16"/>
    <tableColumn id="95" xr3:uid="{54CEC8E2-1787-4BCE-B1E0-B3F525760910}" uniqueName="95" name="MaxFloatingProfit" queryTableFieldId="17"/>
    <tableColumn id="96" xr3:uid="{20855232-932D-45BA-A6E2-B5C372EC274B}" uniqueName="96" name="ClosePL" queryTableFieldId="18"/>
    <tableColumn id="97" xr3:uid="{861F5A92-D3C2-4600-8451-34E3DEB04993}" uniqueName="97" name="CloseReason" queryTableFieldId="19"/>
    <tableColumn id="98" xr3:uid="{73D0E370-4D8F-48D7-9555-38D952D91462}" uniqueName="98" name="OutcomeClass" queryTableFieldId="20"/>
    <tableColumn id="99" xr3:uid="{A43FC36B-AD6B-4CE2-9432-A0BAAF5D3718}" uniqueName="99" name="SpreadAtEntry" queryTableFieldId="21"/>
    <tableColumn id="100" xr3:uid="{F8C99EC1-D473-48CB-99C3-C61B450CB209}" uniqueName="100" name="EquityAtEntry" queryTableFieldId="22"/>
    <tableColumn id="101" xr3:uid="{A5C9B583-62B7-4527-8376-CA0A6570149D}" uniqueName="101" name="HeadroomAtEntry" queryTableFieldId="23"/>
    <tableColumn id="102" xr3:uid="{5EB49AD9-8BCD-4E63-B0BD-D22393CE32EC}" uniqueName="102" name="MinHeadroom" queryTableFieldId="24"/>
    <tableColumn id="103" xr3:uid="{3DA883B8-AB17-4978-82AE-027B29710EFB}" uniqueName="103" name="TimesNearKill" queryTableFieldId="25"/>
    <tableColumn id="104" xr3:uid="{6B1CACFA-1F28-476F-95BB-5BD2D1843F41}" uniqueName="104" name="ExposureBlocks" queryTableFieldId="26"/>
    <tableColumn id="105" xr3:uid="{C660A776-59AB-42E9-AF1D-6B4C851754DF}" uniqueName="105" name="PipsStep" queryTableFieldId="27"/>
    <tableColumn id="106" xr3:uid="{61463B2A-8ED4-401D-965B-383EB2F1AA5C}" uniqueName="106" name="TakeProfit" queryTableFieldId="28"/>
    <tableColumn id="107" xr3:uid="{6E7A6655-D2E9-4E9F-B8D0-F95580C12FFA}" uniqueName="107" name="KillEquityLevel" queryTableFieldId="29"/>
    <tableColumn id="108" xr3:uid="{158EA748-7267-43C2-A4FC-E2AEBF5E033A}" uniqueName="108" name="MaxOrdersInBasket" queryTableFieldId="30"/>
    <tableColumn id="109" xr3:uid="{82E1C310-9628-4CA4-8E5F-91D96D65A587}" uniqueName="109" name="MaxTotalLotsInBasket" queryTableFieldId="31"/>
    <tableColumn id="110" xr3:uid="{191670B4-E1B3-4C97-A178-39A74B1F59F7}" uniqueName="110" name="EquityAtExit" queryTableFieldId="32"/>
    <tableColumn id="111" xr3:uid="{52FA4F4C-69BF-4EF3-A677-2CAF588BF0AE}" uniqueName="111" name="BalanceAfter" queryTableFieldId="33"/>
    <tableColumn id="112" xr3:uid="{A0232A83-DADF-4CF0-BA4F-8D3EDEE1E89C}" uniqueName="112" name="TradeDate" queryTableFieldId="34" dataDxfId="7"/>
    <tableColumn id="113" xr3:uid="{2F136C2C-DD3A-4361-84F2-E6B5D94CC927}" uniqueName="113" name="RunID" queryTableFieldId="35" dataDxfId="6"/>
    <tableColumn id="114" xr3:uid="{9B820D81-B102-4ACA-8BB9-27924B9B2937}" uniqueName="114" name="RunStartTime" queryTableFieldId="36" dataDxfId="5"/>
    <tableColumn id="115" xr3:uid="{CF39249D-25C6-4889-98C6-D1E2CF21C0E0}" uniqueName="115" name="RunStartBalance" queryTableFieldId="37"/>
    <tableColumn id="116" xr3:uid="{C6875DE6-7800-40B5-955D-19193A76352C}" uniqueName="116" name="EAName" queryTableFieldId="38"/>
    <tableColumn id="117" xr3:uid="{56FCF4A5-26F9-4DBE-82E0-26F500E92564}" uniqueName="117" name="EAVersion" queryTableFieldId="39"/>
    <tableColumn id="118" xr3:uid="{BF0F824E-DDCE-40DB-A70F-A0522885B74B}" uniqueName="118" name="Magic" queryTableFieldId="40"/>
    <tableColumn id="119" xr3:uid="{43F82662-9E22-4936-8FBB-2A7F6FD546B6}" uniqueName="119" name="PointsPerPip" queryTableFieldId="41"/>
    <tableColumn id="120" xr3:uid="{44DC81A7-C01B-45D6-A440-1EAC95D66052}" uniqueName="120" name="Tral" queryTableFieldId="42"/>
    <tableColumn id="121" xr3:uid="{42882D0F-0A50-452C-A21D-50448FCF0BBD}" uniqueName="121" name="TralStart" queryTableFieldId="43"/>
    <tableColumn id="122" xr3:uid="{0617F330-CBE8-44E3-BC54-B25750ADC337}" uniqueName="122" name="MaxSpread" queryTableFieldId="44"/>
    <tableColumn id="123" xr3:uid="{AB4BC457-3C6A-4CDF-BDC6-C07176EC8448}" uniqueName="123" name="TimeStart" queryTableFieldId="45"/>
    <tableColumn id="124" xr3:uid="{A43207DD-89E8-4F8D-83BE-1B197E92807A}" uniqueName="124" name="TimeEnd" queryTableFieldId="46"/>
    <tableColumn id="125" xr3:uid="{B4367C67-F3E5-465D-AD88-D00903D168C1}" uniqueName="125" name="OpenTime" queryTableFieldId="47"/>
    <tableColumn id="126" xr3:uid="{1AA093CC-6DAD-4AFB-9DF6-9323C0FFED0B}" uniqueName="126" name="NewBasketDelaySeconds" queryTableFieldId="48"/>
    <tableColumn id="127" xr3:uid="{7F1ABB43-79D9-4AFF-98B7-4E84958B61DF}" uniqueName="127" name="SpeedEA" queryTableFieldId="49"/>
    <tableColumn id="128" xr3:uid="{CBD7EE9E-3FDA-469E-A5DB-DA8BD4596F27}" uniqueName="128" name="UseBasketTrailingTP" queryTableFieldId="50"/>
    <tableColumn id="129" xr3:uid="{36D35BDE-0F93-433E-B672-420BA170CE20}" uniqueName="129" name="TrailingStart" queryTableFieldId="51"/>
    <tableColumn id="130" xr3:uid="{8E6FCB7C-AC52-4C01-B32C-6497A5CA3D46}" uniqueName="130" name="TrailingStep" queryTableFieldId="52"/>
    <tableColumn id="131" xr3:uid="{5F97E8F2-C921-420D-9A22-30BA0816F058}" uniqueName="131" name="KillSwitchEnable" queryTableFieldId="53"/>
    <tableColumn id="132" xr3:uid="{FDAF7EF0-2428-4C12-A7AB-1F3A9C08E16B}" uniqueName="132" name="KillCooldownMinutes" queryTableFieldId="54"/>
    <tableColumn id="133" xr3:uid="{1D49CB2D-5667-4261-B9B5-301E01BC3002}" uniqueName="133" name="RegimeEnable" queryTableFieldId="55"/>
    <tableColumn id="134" xr3:uid="{D85353F4-2E35-49E2-B4AA-E11E1E0684D6}" uniqueName="134" name="RegimeAction" queryTableFieldId="56"/>
    <tableColumn id="135" xr3:uid="{7FC8E36B-9EBE-4BD6-AA0A-653C4D1F23C0}" uniqueName="135" name="RegimeADXPeriod" queryTableFieldId="57"/>
    <tableColumn id="136" xr3:uid="{F7AA3E3D-66FC-4F35-93E5-6EB65CCAEE74}" uniqueName="136" name="RegimeADXLevel" queryTableFieldId="58"/>
    <tableColumn id="137" xr3:uid="{C927E86E-C981-447C-A42B-9F57E6E978E1}" uniqueName="137" name="RegimeADXBars" queryTableFieldId="59"/>
    <tableColumn id="138" xr3:uid="{7F15D533-4AAB-442E-9F67-1D8961EEF3AE}" uniqueName="138" name="RegimeRangeBars" queryTableFieldId="60"/>
    <tableColumn id="139" xr3:uid="{426F28DF-7FFD-46A4-9008-72DCBC65D783}" uniqueName="139" name="RegimeRecoveryBars" queryTableFieldId="61"/>
    <tableColumn id="140" xr3:uid="{35EEA332-159A-4DDC-BEAE-41171EE71016}" uniqueName="140" name="EnableTradingDaysFilter" queryTableFieldId="62"/>
    <tableColumn id="141" xr3:uid="{8ADF3B3F-3DB3-44C1-A4D9-F0503DDB075B}" uniqueName="141" name="TradeMonday" queryTableFieldId="63"/>
    <tableColumn id="142" xr3:uid="{5CF09F2E-9B28-40A5-A4EA-4D49D1FA6674}" uniqueName="142" name="TradeTuesday" queryTableFieldId="64"/>
    <tableColumn id="143" xr3:uid="{AFA6EE75-E88E-4464-BDBD-8C7B007F3F7A}" uniqueName="143" name="TradeWednesday" queryTableFieldId="65"/>
    <tableColumn id="144" xr3:uid="{4D18F6D7-1041-4CE5-A8B1-222638FF60D3}" uniqueName="144" name="TradeThursday" queryTableFieldId="66"/>
    <tableColumn id="145" xr3:uid="{4486D747-178B-4CD9-8144-8E5B70DDD3F5}" uniqueName="145" name="TradeFriday" queryTableFieldId="67"/>
    <tableColumn id="146" xr3:uid="{6036411B-210D-4431-BD03-7BB692C2F571}" uniqueName="146" name="EnableRecoveryStepUp" queryTableFieldId="68"/>
    <tableColumn id="147" xr3:uid="{FA7A6C51-6236-4DF0-8669-8D8B883C1E66}" uniqueName="147" name="RecoveryWaitMinutes" queryTableFieldId="69"/>
    <tableColumn id="148" xr3:uid="{DD2AB62E-12D0-4888-98F7-A61E3F9EAFA8}" uniqueName="148" name="RecoveryMaxTotalLotsInBasket" queryTableFieldId="70"/>
    <tableColumn id="149" xr3:uid="{7850A1E9-02B2-4790-B8D3-D548790CAF9D}" uniqueName="149" name="CsvSchemaVersion" queryTableFieldId="71"/>
    <tableColumn id="150" xr3:uid="{8A6236BF-DF0B-481E-9E9E-58FB0D7B319E}" uniqueName="150" name="VpsId" queryTableFieldId="72"/>
    <tableColumn id="151" xr3:uid="{A7002D61-C08F-4E4E-A976-D6681675ED20}" uniqueName="151" name="VpsName" queryTableFieldId="73" dataDxfId="4"/>
    <tableColumn id="152" xr3:uid="{EBED9DD2-3A52-4EF0-B9AC-2756F1A55FED}" uniqueName="152" name="FolderAccountNumber" queryTableFieldId="74" dataDxfId="3"/>
    <tableColumn id="153" xr3:uid="{C66AB882-F226-4494-A39E-7DCAD7C2DF13}" uniqueName="153" name="AccountKey" queryTableFieldId="75" dataDxfId="2"/>
    <tableColumn id="154" xr3:uid="{D7DE35C2-7DF0-48CA-A06A-94016C64BA0A}" uniqueName="154" name="RunKey" queryTableFieldId="76" dataDxfId="1"/>
    <tableColumn id="155" xr3:uid="{7553B025-ABB3-4436-ABFA-EA4E605F3E36}" uniqueName="155" name="FolderAccountMismatch" queryTableFieldId="77"/>
    <tableColumn id="156" xr3:uid="{3A775F2E-7641-4684-AF79-C5C4D7B30EA8}" uniqueName="156" name="ConfigFingerprint" queryTableFieldId="7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1210-A85F-4BDB-BA0D-6A62D1F3D05B}">
  <dimension ref="A1:F15"/>
  <sheetViews>
    <sheetView tabSelected="1" zoomScale="60" zoomScaleNormal="60" workbookViewId="0"/>
  </sheetViews>
  <sheetFormatPr defaultRowHeight="14.25"/>
  <cols>
    <col min="1" max="1" width="25.625" customWidth="1"/>
    <col min="2" max="6" width="18.625" customWidth="1"/>
  </cols>
  <sheetData>
    <row r="1" spans="1:6" ht="15">
      <c r="A1" s="17" t="s">
        <v>247</v>
      </c>
      <c r="B1" s="17"/>
      <c r="C1" s="17"/>
      <c r="D1" s="17"/>
      <c r="E1" s="17"/>
      <c r="F1" s="17"/>
    </row>
    <row r="2" spans="1:6">
      <c r="A2" t="s">
        <v>248</v>
      </c>
    </row>
    <row r="3" spans="1:6">
      <c r="A3" t="s">
        <v>249</v>
      </c>
    </row>
    <row r="4" spans="1:6">
      <c r="A4" t="s">
        <v>250</v>
      </c>
    </row>
    <row r="6" spans="1:6" ht="15">
      <c r="A6" s="18" t="s">
        <v>251</v>
      </c>
      <c r="B6" s="18" t="s">
        <v>252</v>
      </c>
      <c r="C6" s="18" t="s">
        <v>253</v>
      </c>
      <c r="D6" s="18" t="s">
        <v>254</v>
      </c>
      <c r="E6" s="18" t="s">
        <v>255</v>
      </c>
      <c r="F6" s="18" t="s">
        <v>256</v>
      </c>
    </row>
    <row r="7" spans="1:6">
      <c r="A7" s="19">
        <v>892525830</v>
      </c>
      <c r="B7" s="19">
        <v>323</v>
      </c>
      <c r="C7" s="19">
        <v>323</v>
      </c>
      <c r="D7" s="20">
        <v>-2127.4899999999998</v>
      </c>
      <c r="E7" s="20">
        <v>-2127.4899999999998</v>
      </c>
      <c r="F7" s="19" t="s">
        <v>257</v>
      </c>
    </row>
    <row r="8" spans="1:6">
      <c r="A8" s="19">
        <v>892525831</v>
      </c>
      <c r="B8" s="19">
        <v>327</v>
      </c>
      <c r="C8" s="19">
        <v>327</v>
      </c>
      <c r="D8" s="20">
        <v>794.31</v>
      </c>
      <c r="E8" s="20">
        <v>794.31</v>
      </c>
      <c r="F8" s="19" t="s">
        <v>257</v>
      </c>
    </row>
    <row r="9" spans="1:6">
      <c r="A9" s="19">
        <v>892525833</v>
      </c>
      <c r="B9" s="19">
        <v>261</v>
      </c>
      <c r="C9" s="19">
        <v>261</v>
      </c>
      <c r="D9" s="20">
        <v>-3328.87</v>
      </c>
      <c r="E9" s="20">
        <v>-3328.87</v>
      </c>
      <c r="F9" s="19" t="s">
        <v>257</v>
      </c>
    </row>
    <row r="10" spans="1:6">
      <c r="A10" s="19">
        <v>892525834</v>
      </c>
      <c r="B10" s="19">
        <v>151</v>
      </c>
      <c r="C10" s="19">
        <v>151</v>
      </c>
      <c r="D10" s="20">
        <v>223.81</v>
      </c>
      <c r="E10" s="20">
        <v>223.81</v>
      </c>
      <c r="F10" s="19" t="s">
        <v>257</v>
      </c>
    </row>
    <row r="12" spans="1:6">
      <c r="A12" t="s">
        <v>258</v>
      </c>
    </row>
    <row r="13" spans="1:6">
      <c r="A13" t="s">
        <v>259</v>
      </c>
    </row>
    <row r="14" spans="1:6">
      <c r="A14" t="s">
        <v>260</v>
      </c>
    </row>
    <row r="15" spans="1:6">
      <c r="A15" t="s">
        <v>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O2"/>
  <sheetViews>
    <sheetView workbookViewId="0"/>
  </sheetViews>
  <sheetFormatPr defaultRowHeight="14.25"/>
  <cols>
    <col min="1" max="1" width="9.125" bestFit="1" customWidth="1"/>
    <col min="2" max="2" width="11.125" bestFit="1" customWidth="1"/>
    <col min="3" max="3" width="17.75" bestFit="1" customWidth="1"/>
    <col min="4" max="4" width="17.125" bestFit="1" customWidth="1"/>
    <col min="5" max="5" width="23" bestFit="1" customWidth="1"/>
    <col min="6" max="6" width="24.5" bestFit="1" customWidth="1"/>
    <col min="7" max="7" width="8.5" bestFit="1" customWidth="1"/>
    <col min="8" max="8" width="12.125" bestFit="1" customWidth="1"/>
    <col min="9" max="9" width="13.75" bestFit="1" customWidth="1"/>
    <col min="10" max="10" width="17.625" bestFit="1" customWidth="1"/>
    <col min="11" max="11" width="20.875" bestFit="1" customWidth="1"/>
    <col min="12" max="12" width="14.75" bestFit="1" customWidth="1"/>
    <col min="13" max="13" width="20.625" bestFit="1" customWidth="1"/>
    <col min="14" max="14" width="9.5" bestFit="1" customWidth="1"/>
    <col min="15" max="15" width="22.625" bestFit="1" customWidth="1"/>
  </cols>
  <sheetData>
    <row r="1" spans="1:15">
      <c r="A1" t="s">
        <v>285</v>
      </c>
      <c r="B1" t="s">
        <v>286</v>
      </c>
      <c r="C1" t="s">
        <v>287</v>
      </c>
      <c r="D1" t="s">
        <v>76</v>
      </c>
      <c r="E1" t="s">
        <v>146</v>
      </c>
      <c r="F1" t="s">
        <v>148</v>
      </c>
      <c r="G1" t="s">
        <v>151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</row>
    <row r="2" spans="1:15">
      <c r="A2" t="s">
        <v>291</v>
      </c>
      <c r="B2" t="s">
        <v>298</v>
      </c>
      <c r="C2" t="s">
        <v>292</v>
      </c>
      <c r="D2" t="s">
        <v>288</v>
      </c>
      <c r="E2" t="s">
        <v>288</v>
      </c>
      <c r="F2" t="b">
        <v>0</v>
      </c>
      <c r="G2" t="s">
        <v>241</v>
      </c>
      <c r="K2" s="13"/>
      <c r="L2" s="13"/>
      <c r="N2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04"/>
  <sheetViews>
    <sheetView showGridLines="0" zoomScale="70" zoomScaleNormal="7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  <col min="68" max="77" width="0" hidden="1" customWidth="1"/>
  </cols>
  <sheetData>
    <row r="1" spans="1:77" ht="27.9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</row>
    <row r="2" spans="1:77" ht="1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 t="s">
        <v>2</v>
      </c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 t="s">
        <v>3</v>
      </c>
      <c r="AX2" s="25"/>
      <c r="AY2" s="25"/>
      <c r="AZ2" s="25"/>
      <c r="BA2" s="25"/>
      <c r="BB2" s="25"/>
      <c r="BC2" s="25"/>
      <c r="BD2" s="25"/>
      <c r="BE2" s="25"/>
      <c r="BF2" s="25"/>
      <c r="BG2" s="25" t="s">
        <v>4</v>
      </c>
      <c r="BH2" s="25"/>
      <c r="BI2" s="25"/>
      <c r="BJ2" s="25"/>
      <c r="BK2" s="25"/>
      <c r="BL2" s="25"/>
      <c r="BM2" s="25"/>
      <c r="BN2" s="25"/>
      <c r="BO2" s="25"/>
    </row>
    <row r="3" spans="1:7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77">
      <c r="A4" s="23" t="s">
        <v>276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spans="1:77" ht="42.75">
      <c r="A5" s="21" t="s">
        <v>288</v>
      </c>
      <c r="B5" s="21" t="s">
        <v>296</v>
      </c>
      <c r="C5" s="5" t="str">
        <f>IFERROR(VLOOKUP($A5&amp;"|"&amp;$B5,ManualFieldsTable[],4,FALSE),"")</f>
        <v/>
      </c>
      <c r="D5" s="6">
        <f>IFERROR(INDEX(BasketDataTable[StartTime],MATCH($A5&amp;"|"&amp;$B5,BasketDataTable[RunKey],0)),"")</f>
        <v>46266.416666666664</v>
      </c>
      <c r="E5" s="5" t="str">
        <f>IFERROR(VLOOKUP($A5&amp;"|"&amp;$B5,ManualFieldsTable[],5,FALSE),"")</f>
        <v/>
      </c>
      <c r="F5" s="8">
        <f>IFERROR(LOOKUP(2,1/((BasketDataTable[AccountNumber]=$A5)*(BasketDataTable[RunID]=$B5)),BasketDataTable[RunStartBalance]),"")</f>
        <v>1500</v>
      </c>
      <c r="G5" s="5" t="str">
        <f>IFERROR(VLOOKUP($A5&amp;"|"&amp;$B5,ManualFieldsTable[],6,FALSE),"")</f>
        <v/>
      </c>
      <c r="H5" s="5" t="str">
        <f>IFERROR(VLOOKUP($A5&amp;"|"&amp;$B5,ManualFieldsTable[],7,FALSE),"")</f>
        <v/>
      </c>
      <c r="I5" s="5">
        <f>IFERROR(LOOKUP(2,1/((BasketDataTable[AccountNumber]=$A5)*(BasketDataTable[RunID]=$B5)),BasketDataTable[FixedLots]),"")</f>
        <v>0.1</v>
      </c>
      <c r="J5" s="5">
        <f>IFERROR(LOOKUP(2,1/((BasketDataTable[AccountNumber]=$A5)*(BasketDataTable[RunID]=$B5)),BasketDataTable[PipsStep]),"")</f>
        <v>80</v>
      </c>
      <c r="K5" s="8">
        <f>IFERROR(LOOKUP(2,1/((BasketDataTable[AccountNumber]=$A5)*(BasketDataTable[RunID]=$B5)),BasketDataTable[TakeProfit]),"")</f>
        <v>15</v>
      </c>
      <c r="L5" s="5">
        <f>IFERROR(LOOKUP(2,1/((BasketDataTable[AccountNumber]=$A5)*(BasketDataTable[RunID]=$B5)),BasketDataTable[Tral]),"")</f>
        <v>60</v>
      </c>
      <c r="M5" s="5">
        <f>IFERROR(LOOKUP(2,1/((BasketDataTable[AccountNumber]=$A5)*(BasketDataTable[RunID]=$B5)),BasketDataTable[TralStart]),"")</f>
        <v>110</v>
      </c>
      <c r="N5" s="5">
        <f>IFERROR(LOOKUP(2,1/((BasketDataTable[AccountNumber]=$A5)*(BasketDataTable[RunID]=$B5)),BasketDataTable[MaxSpread]),"")</f>
        <v>200</v>
      </c>
      <c r="O5" s="5">
        <f>IFERROR(LOOKUP(2,1/((BasketDataTable[AccountNumber]=$A5)*(BasketDataTable[RunID]=$B5)),BasketDataTable[TimeStart]),"")</f>
        <v>3</v>
      </c>
      <c r="P5" s="5">
        <f>IFERROR(LOOKUP(2,1/((BasketDataTable[AccountNumber]=$A5)*(BasketDataTable[RunID]=$B5)),BasketDataTable[TimeEnd]),"")</f>
        <v>23</v>
      </c>
      <c r="Q5" s="5">
        <f>IFERROR(LOOKUP(2,1/((BasketDataTable[AccountNumber]=$A5)*(BasketDataTable[RunID]=$B5)),BasketDataTable[OpenTime]),"")</f>
        <v>0</v>
      </c>
      <c r="R5" s="5">
        <f>IFERROR(LOOKUP(2,1/((BasketDataTable[AccountNumber]=$A5)*(BasketDataTable[RunID]=$B5)),BasketDataTable[SpeedEA]),"")</f>
        <v>25</v>
      </c>
      <c r="S5" s="5">
        <f>IFERROR(LOOKUP(2,1/((BasketDataTable[AccountNumber]=$A5)*(BasketDataTable[RunID]=$B5)),BasketDataTable[NewBasketDelaySeconds]),"")</f>
        <v>10</v>
      </c>
      <c r="T5" s="5">
        <f>IFERROR(LOOKUP(2,1/((BasketDataTable[AccountNumber]=$A5)*(BasketDataTable[RunID]=$B5)),BasketDataTable[UseBasketTrailingTP]),"")</f>
        <v>0</v>
      </c>
      <c r="U5" s="8">
        <f>IFERROR(LOOKUP(2,1/((BasketDataTable[AccountNumber]=$A5)*(BasketDataTable[RunID]=$B5)),BasketDataTable[TrailingStart]),"")</f>
        <v>3</v>
      </c>
      <c r="V5" s="8">
        <f>IFERROR(LOOKUP(2,1/((BasketDataTable[AccountNumber]=$A5)*(BasketDataTable[RunID]=$B5)),BasketDataTable[TrailingStep]),"")</f>
        <v>1.5</v>
      </c>
      <c r="W5" s="5">
        <f>IFERROR(LOOKUP(2,1/((BasketDataTable[AccountNumber]=$A5)*(BasketDataTable[RunID]=$B5)),BasketDataTable[KillSwitchEnable]),"")</f>
        <v>1</v>
      </c>
      <c r="X5" s="8">
        <f>IFERROR(LOOKUP(2,1/((BasketDataTable[AccountNumber]=$A5)*(BasketDataTable[RunID]=$B5)),BasketDataTable[KillEquityLevel]),"")</f>
        <v>1500</v>
      </c>
      <c r="Y5" s="5">
        <f>IFERROR(LOOKUP(2,1/((BasketDataTable[AccountNumber]=$A5)*(BasketDataTable[RunID]=$B5)),BasketDataTable[KillCooldownMinutes]),"")</f>
        <v>1440</v>
      </c>
      <c r="Z5" s="5">
        <f>IFERROR(LOOKUP(2,1/((BasketDataTable[AccountNumber]=$A5)*(BasketDataTable[RunID]=$B5)),BasketDataTable[MaxOrdersInBasket]),"")</f>
        <v>0</v>
      </c>
      <c r="AA5" s="8">
        <f>IFERROR(LOOKUP(2,1/((BasketDataTable[AccountNumber]=$A5)*(BasketDataTable[RunID]=$B5)),BasketDataTable[MaxTotalLotsInBasket]),"")</f>
        <v>0</v>
      </c>
      <c r="AB5" s="5">
        <f>IFERROR(LOOKUP(2,1/((BasketDataTable[AccountNumber]=$A5)*(BasketDataTable[RunID]=$B5)),BasketDataTable[RegimeEnable]),"")</f>
        <v>0</v>
      </c>
      <c r="AC5" s="5">
        <f>IFERROR(LOOKUP(2,1/((BasketDataTable[AccountNumber]=$A5)*(BasketDataTable[RunID]=$B5)),BasketDataTable[RegimeAction]),"")</f>
        <v>0</v>
      </c>
      <c r="AD5" s="5">
        <f>IFERROR(LOOKUP(2,1/((BasketDataTable[AccountNumber]=$A5)*(BasketDataTable[RunID]=$B5)),BasketDataTable[EnableRecoveryStepUp]),"")</f>
        <v>0</v>
      </c>
      <c r="AE5" s="5">
        <f>IFERROR(LOOKUP(2,1/((BasketDataTable[AccountNumber]=$A5)*(BasketDataTable[RunID]=$B5)),BasketDataTable[RecoveryWaitMinutes]),"")</f>
        <v>60</v>
      </c>
      <c r="AF5" s="8">
        <f>IFERROR(LOOKUP(2,1/((BasketDataTable[AccountNumber]=$A5)*(BasketDataTable[RunID]=$B5)),BasketDataTable[RecoveryMaxTotalLotsInBasket]),"")</f>
        <v>0</v>
      </c>
      <c r="AG5" s="5" t="str">
        <f>IFERROR(VLOOKUP($A5&amp;"|"&amp;$B5,ManualFieldsTable[],8,FALSE),"")</f>
        <v/>
      </c>
      <c r="AH5" s="8">
        <f>IFERROR(SUMIF(BasketDataTable[RunKey],($A5&amp;"|"&amp;$B5),BasketDataTable[ClosePL]),0)</f>
        <v>210.14</v>
      </c>
      <c r="AI5" s="5">
        <f>IFERROR(SUMPRODUCT((((BasketDataTable[RunKey]&amp;""=($A5&amp;"|"&amp;$B5))))*(BasketDataTable[TradeDate]&lt;&gt;"")/COUNTIFS(BasketDataTable[AccountNumber],BasketDataTable[AccountNumber],BasketDataTable[RunID],BasketDataTable[RunID],BasketDataTable[TradeDate],BasketDataTable[TradeDate])),0)</f>
        <v>1.0000000000000002</v>
      </c>
      <c r="AJ5" s="8">
        <f>IFERROR(AH5/AI5,0)</f>
        <v>210.13999999999993</v>
      </c>
      <c r="AK5" s="8">
        <f>BP5</f>
        <v>486.79</v>
      </c>
      <c r="AL5" s="8">
        <f>BQ5</f>
        <v>93.94</v>
      </c>
      <c r="AM5" s="8">
        <f>BR5</f>
        <v>56.71</v>
      </c>
      <c r="AN5" s="8">
        <f>IFERROR(SUM(BP5:BY5)/MAX(1,COUNT(BP5:BY5)),0)</f>
        <v>78.294000000000011</v>
      </c>
      <c r="AO5" s="5">
        <f>IFERROR(COUNTIF(BasketDataTable[RunKey],($A5&amp;"|"&amp;$B5)),0)</f>
        <v>25</v>
      </c>
      <c r="AP5" s="5">
        <f>COUNTIFS(BasketDataTable[AccountNumber],$A5,BasketDataTable[RunID],$B5,BasketDataTable[ClosePL],"&gt;0")</f>
        <v>25</v>
      </c>
      <c r="AQ5" s="8">
        <f>SUMIFS(BasketDataTable[ClosePL],BasketDataTable[AccountNumber],$A5,BasketDataTable[RunID],$B5,BasketDataTable[ClosePL],"&gt;0")</f>
        <v>210.14</v>
      </c>
      <c r="AR5" s="5">
        <f>COUNTIFS(BasketDataTable[AccountNumber],$A5,BasketDataTable[RunID],$B5,BasketDataTable[ClosePL],"&lt;0")</f>
        <v>0</v>
      </c>
      <c r="AS5" s="8">
        <f>-SUMIFS(BasketDataTable[ClosePL],BasketDataTable[AccountNumber],$A5,BasketDataTable[RunID],$B5,BasketDataTable[ClosePL],"&lt;0")</f>
        <v>0</v>
      </c>
      <c r="AT5" s="8">
        <f>IFERROR(AH5/AO5,0)</f>
        <v>8.4055999999999997</v>
      </c>
      <c r="AU5" s="5">
        <f>SUMIFS(BasketDataTable[TimesNearKill],BasketDataTable[AccountNumber],$A5,BasketDataTable[RunID],$B5)</f>
        <v>0</v>
      </c>
      <c r="AV5" s="5">
        <f>COUNTIFS(BasketDataTable[AccountNumber],$A5,BasketDataTable[RunID],$B5,BasketDataTable[CloseReason],"KILL")</f>
        <v>0</v>
      </c>
      <c r="AW5" s="5">
        <f>COUNTIFS(BasketDataTable[AccountNumber],$A5,BasketDataTable[RunID],$B5,BasketDataTable[MaxOrdersConcurrent],"&gt;=1")</f>
        <v>25</v>
      </c>
      <c r="AX5" s="5">
        <f>COUNTIFS(BasketDataTable[AccountNumber],$A5,BasketDataTable[RunID],$B5,BasketDataTable[MaxOrdersConcurrent],"&gt;=2")</f>
        <v>0</v>
      </c>
      <c r="AY5" s="5">
        <f>COUNTIFS(BasketDataTable[AccountNumber],$A5,BasketDataTable[RunID],$B5,BasketDataTable[MaxOrdersConcurrent],"&gt;=3")</f>
        <v>0</v>
      </c>
      <c r="AZ5" s="5">
        <f>COUNTIFS(BasketDataTable[AccountNumber],$A5,BasketDataTable[RunID],$B5,BasketDataTable[MaxOrdersConcurrent],"&gt;=4")</f>
        <v>0</v>
      </c>
      <c r="BA5" s="5">
        <f>COUNTIFS(BasketDataTable[AccountNumber],$A5,BasketDataTable[RunID],$B5,BasketDataTable[MaxOrdersConcurrent],"&gt;=5")</f>
        <v>0</v>
      </c>
      <c r="BB5" s="5">
        <f>COUNTIFS(BasketDataTable[AccountNumber],$A5,BasketDataTable[RunID],$B5,BasketDataTable[MaxOrdersConcurrent],"&gt;=6")</f>
        <v>0</v>
      </c>
      <c r="BC5" s="5">
        <f>COUNTIFS(BasketDataTable[AccountNumber],$A5,BasketDataTable[RunID],$B5,BasketDataTable[MaxOrdersConcurrent],"&gt;=7")</f>
        <v>0</v>
      </c>
      <c r="BD5" s="5">
        <f>COUNTIFS(BasketDataTable[AccountNumber],$A5,BasketDataTable[RunID],$B5,BasketDataTable[MaxOrdersConcurrent],"&gt;=8")</f>
        <v>0</v>
      </c>
      <c r="BE5" s="5">
        <f>COUNTIFS(BasketDataTable[AccountNumber],$A5,BasketDataTable[RunID],$B5,BasketDataTable[MaxOrdersConcurrent],"&gt;=9")</f>
        <v>0</v>
      </c>
      <c r="BF5" s="5">
        <f>COUNTIFS(BasketDataTable[AccountNumber],$A5,BasketDataTable[RunID],$B5,BasketDataTable[MaxOrdersConcurrent],"&gt;=10")</f>
        <v>0</v>
      </c>
      <c r="BG5" s="5">
        <f>SUMPRODUCT(((BasketDataTable[RunKey]&amp;""=($A5&amp;"|"&amp;$B5)))*(BasketDataTable[MaxTotalLotsInBasket]&gt;0)*(BasketDataTable[MaxTotalLots]&gt;=BasketDataTable[MaxTotalLotsInBasket]))</f>
        <v>0</v>
      </c>
      <c r="BH5" s="8">
        <f>IFERROR(AH5/AN5,0)</f>
        <v>2.6839860014815944</v>
      </c>
      <c r="BI5" s="8">
        <f>IFERROR(AQ5/AP5,0)</f>
        <v>8.4055999999999997</v>
      </c>
      <c r="BJ5" s="8">
        <f>IFERROR(AS5/AR5,0)</f>
        <v>0</v>
      </c>
      <c r="BK5" s="10">
        <f>IFERROR(AP5/AO5,0)</f>
        <v>1</v>
      </c>
      <c r="BL5" s="10">
        <f>IFERROR(AR5/AO5,0)</f>
        <v>0</v>
      </c>
      <c r="BM5" s="8">
        <f>(BI5*BK5)-(BJ5*BL5)</f>
        <v>8.4055999999999997</v>
      </c>
      <c r="BN5" s="8">
        <f>IFERROR(AJ5/AN5,0)</f>
        <v>2.6839860014815939</v>
      </c>
      <c r="BO5" s="5" t="str">
        <f>IF(AO5=0,"No basket data",IF(SUMPRODUCT(((BasketDataTable[RunKey]&amp;""=($A5&amp;"|"&amp;$B5)))*(BasketDataTable[ConfigFingerprint]&lt;&gt;"")/COUNTIFS(BasketDataTable[AccountNumber],BasketDataTable[AccountNumber],BasketDataTable[RunID],BasketDataTable[RunID],BasketDataTable[ConfigFingerprint],BasketDataTable[ConfigFingerprint]))&gt;1,"Configuration changed during run","OK"))</f>
        <v>OK</v>
      </c>
      <c r="BP5">
        <f>IF($AO5&gt;=1,IFERROR(_xlfn.AGGREGATE(14,6,BasketDataTable[MaxFloatingDrawdownAbs]/((BasketDataTable[RunKey]&amp;""=($A5&amp;"|"&amp;$B5))),1),IFERROR(_xlfn.AGGREGATE(14,6,BasketDataTable[MaxFloatingDrawdownAbs]/((((BasketDataTable[AccountNumber]&amp;"")=($A5&amp;""))*((BasketDataTable[RunID]&amp;"")=($B5&amp;"")))),1),"")),"")</f>
        <v>486.79</v>
      </c>
      <c r="BQ5">
        <f>IF($AO5&gt;=2,IFERROR(_xlfn.AGGREGATE(14,6,BasketDataTable[MaxFloatingDrawdownAbs]/((BasketDataTable[RunKey]&amp;""=($A5&amp;"|"&amp;$B5))),2),IFERROR(_xlfn.AGGREGATE(14,6,BasketDataTable[MaxFloatingDrawdownAbs]/((((BasketDataTable[AccountNumber]&amp;"")=($A5&amp;""))*((BasketDataTable[RunID]&amp;"")=($B5&amp;"")))),2),"")),"")</f>
        <v>93.94</v>
      </c>
      <c r="BR5">
        <f>IF($AO5&gt;=3,IFERROR(_xlfn.AGGREGATE(14,6,BasketDataTable[MaxFloatingDrawdownAbs]/((BasketDataTable[RunKey]&amp;""=($A5&amp;"|"&amp;$B5))),3),IFERROR(_xlfn.AGGREGATE(14,6,BasketDataTable[MaxFloatingDrawdownAbs]/((((BasketDataTable[AccountNumber]&amp;"")=($A5&amp;""))*((BasketDataTable[RunID]&amp;"")=($B5&amp;"")))),3),"")),"")</f>
        <v>56.71</v>
      </c>
      <c r="BS5">
        <f>IF($AO5&gt;=4,IFERROR(_xlfn.AGGREGATE(14,6,BasketDataTable[MaxFloatingDrawdownAbs]/((BasketDataTable[RunKey]&amp;""=($A5&amp;"|"&amp;$B5))),4),IFERROR(_xlfn.AGGREGATE(14,6,BasketDataTable[MaxFloatingDrawdownAbs]/((((BasketDataTable[AccountNumber]&amp;"")=($A5&amp;""))*((BasketDataTable[RunID]&amp;"")=($B5&amp;"")))),4),"")),"")</f>
        <v>40</v>
      </c>
      <c r="BT5">
        <f>IF($AO5&gt;=5,IFERROR(_xlfn.AGGREGATE(14,6,BasketDataTable[MaxFloatingDrawdownAbs]/((BasketDataTable[RunKey]&amp;""=($A5&amp;"|"&amp;$B5))),5),IFERROR(_xlfn.AGGREGATE(14,6,BasketDataTable[MaxFloatingDrawdownAbs]/((((BasketDataTable[AccountNumber]&amp;"")=($A5&amp;""))*((BasketDataTable[RunID]&amp;"")=($B5&amp;"")))),5),"")),"")</f>
        <v>28.5</v>
      </c>
      <c r="BU5">
        <f>IF($AO5&gt;=6,IFERROR(_xlfn.AGGREGATE(14,6,BasketDataTable[MaxFloatingDrawdownAbs]/((BasketDataTable[RunKey]&amp;""=($A5&amp;"|"&amp;$B5))),6),IFERROR(_xlfn.AGGREGATE(14,6,BasketDataTable[MaxFloatingDrawdownAbs]/((((BasketDataTable[AccountNumber]&amp;"")=($A5&amp;""))*((BasketDataTable[RunID]&amp;"")=($B5&amp;"")))),6),"")),"")</f>
        <v>22</v>
      </c>
      <c r="BV5">
        <f>IF($AO5&gt;=7,IFERROR(_xlfn.AGGREGATE(14,6,BasketDataTable[MaxFloatingDrawdownAbs]/((BasketDataTable[RunKey]&amp;""=($A5&amp;"|"&amp;$B5))),7),IFERROR(_xlfn.AGGREGATE(14,6,BasketDataTable[MaxFloatingDrawdownAbs]/((((BasketDataTable[AccountNumber]&amp;"")=($A5&amp;""))*((BasketDataTable[RunID]&amp;"")=($B5&amp;"")))),7),"")),"")</f>
        <v>18</v>
      </c>
      <c r="BW5">
        <f>IF($AO5&gt;=8,IFERROR(_xlfn.AGGREGATE(14,6,BasketDataTable[MaxFloatingDrawdownAbs]/((BasketDataTable[RunKey]&amp;""=($A5&amp;"|"&amp;$B5))),8),IFERROR(_xlfn.AGGREGATE(14,6,BasketDataTable[MaxFloatingDrawdownAbs]/((((BasketDataTable[AccountNumber]&amp;"")=($A5&amp;""))*((BasketDataTable[RunID]&amp;"")=($B5&amp;"")))),8),"")),"")</f>
        <v>15</v>
      </c>
      <c r="BX5">
        <f>IF($AO5&gt;=9,IFERROR(_xlfn.AGGREGATE(14,6,BasketDataTable[MaxFloatingDrawdownAbs]/((BasketDataTable[RunKey]&amp;""=($A5&amp;"|"&amp;$B5))),9),IFERROR(_xlfn.AGGREGATE(14,6,BasketDataTable[MaxFloatingDrawdownAbs]/((((BasketDataTable[AccountNumber]&amp;"")=($A5&amp;""))*((BasketDataTable[RunID]&amp;"")=($B5&amp;"")))),9),"")),"")</f>
        <v>12</v>
      </c>
      <c r="BY5">
        <f>IF($AO5&gt;=10,IFERROR(_xlfn.AGGREGATE(14,6,BasketDataTable[MaxFloatingDrawdownAbs]/((BasketDataTable[RunKey]&amp;""=($A5&amp;"|"&amp;$B5))),10),IFERROR(_xlfn.AGGREGATE(14,6,BasketDataTable[MaxFloatingDrawdownAbs]/((((BasketDataTable[AccountNumber]&amp;"")=($A5&amp;""))*((BasketDataTable[RunID]&amp;"")=($B5&amp;"")))),10),"")),"")</f>
        <v>10</v>
      </c>
    </row>
    <row r="6" spans="1:77">
      <c r="A6" s="22"/>
      <c r="B6" s="22"/>
      <c r="C6" s="4"/>
      <c r="D6" s="7"/>
      <c r="E6" s="4"/>
      <c r="F6" s="9"/>
      <c r="G6" s="4"/>
      <c r="H6" s="4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3"/>
      <c r="X6" s="9"/>
      <c r="Y6" s="3"/>
      <c r="Z6" s="3"/>
      <c r="AA6" s="9"/>
      <c r="AB6" s="3"/>
      <c r="AC6" s="3"/>
      <c r="AD6" s="3"/>
      <c r="AE6" s="3"/>
      <c r="AF6" s="9"/>
      <c r="AG6" s="4"/>
      <c r="AH6" s="9"/>
      <c r="AI6" s="3"/>
      <c r="AJ6" s="9"/>
      <c r="AK6" s="9"/>
      <c r="AL6" s="9"/>
      <c r="AM6" s="9"/>
      <c r="AN6" s="9"/>
      <c r="AO6" s="3"/>
      <c r="AP6" s="3"/>
      <c r="AQ6" s="9"/>
      <c r="AR6" s="3"/>
      <c r="AS6" s="9"/>
      <c r="AT6" s="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11"/>
      <c r="BL6" s="11"/>
      <c r="BM6" s="9"/>
      <c r="BN6" s="9"/>
      <c r="BO6" s="3"/>
    </row>
    <row r="7" spans="1:77">
      <c r="A7" s="22"/>
      <c r="B7" s="22"/>
      <c r="C7" s="4"/>
      <c r="D7" s="7"/>
      <c r="E7" s="4"/>
      <c r="F7" s="9"/>
      <c r="G7" s="4"/>
      <c r="H7" s="4"/>
      <c r="I7" s="3"/>
      <c r="J7" s="3"/>
      <c r="K7" s="9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3"/>
      <c r="X7" s="9"/>
      <c r="Y7" s="3"/>
      <c r="Z7" s="3"/>
      <c r="AA7" s="9"/>
      <c r="AB7" s="3"/>
      <c r="AC7" s="3"/>
      <c r="AD7" s="3"/>
      <c r="AE7" s="3"/>
      <c r="AF7" s="9"/>
      <c r="AG7" s="4"/>
      <c r="AH7" s="9"/>
      <c r="AI7" s="3"/>
      <c r="AJ7" s="9"/>
      <c r="AK7" s="9"/>
      <c r="AL7" s="9"/>
      <c r="AM7" s="9"/>
      <c r="AN7" s="9"/>
      <c r="AO7" s="3"/>
      <c r="AP7" s="3"/>
      <c r="AQ7" s="9"/>
      <c r="AR7" s="3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9"/>
      <c r="BI7" s="9"/>
      <c r="BJ7" s="9"/>
      <c r="BK7" s="11"/>
      <c r="BL7" s="11"/>
      <c r="BM7" s="9"/>
      <c r="BN7" s="9"/>
      <c r="BO7" s="3"/>
    </row>
    <row r="8" spans="1:77">
      <c r="A8" s="22"/>
      <c r="B8" s="22"/>
      <c r="C8" s="4"/>
      <c r="D8" s="7"/>
      <c r="E8" s="4"/>
      <c r="F8" s="9"/>
      <c r="G8" s="4"/>
      <c r="H8" s="4"/>
      <c r="I8" s="3"/>
      <c r="J8" s="3"/>
      <c r="K8" s="9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3"/>
      <c r="X8" s="9"/>
      <c r="Y8" s="3"/>
      <c r="Z8" s="3"/>
      <c r="AA8" s="9"/>
      <c r="AB8" s="3"/>
      <c r="AC8" s="3"/>
      <c r="AD8" s="3"/>
      <c r="AE8" s="3"/>
      <c r="AF8" s="9"/>
      <c r="AG8" s="4"/>
      <c r="AH8" s="9"/>
      <c r="AI8" s="3"/>
      <c r="AJ8" s="9"/>
      <c r="AK8" s="9"/>
      <c r="AL8" s="9"/>
      <c r="AM8" s="9"/>
      <c r="AN8" s="9"/>
      <c r="AO8" s="3"/>
      <c r="AP8" s="3"/>
      <c r="AQ8" s="9"/>
      <c r="AR8" s="3"/>
      <c r="AS8" s="9"/>
      <c r="AT8" s="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9"/>
      <c r="BI8" s="9"/>
      <c r="BJ8" s="9"/>
      <c r="BK8" s="11"/>
      <c r="BL8" s="11"/>
      <c r="BM8" s="9"/>
      <c r="BN8" s="9"/>
      <c r="BO8" s="3"/>
    </row>
    <row r="9" spans="1:7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7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7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7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7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7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7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7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75</v>
      </c>
      <c r="B2" s="3" t="s">
        <v>72</v>
      </c>
      <c r="C2" s="3" t="s">
        <v>73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"/>
  <sheetViews>
    <sheetView showGridLines="0" topLeftCell="A1033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7" width="13" bestFit="1" customWidth="1"/>
    <col min="8" max="8" width="14" bestFit="1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4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9.125" bestFit="1" customWidth="1"/>
    <col min="73" max="73" width="11.125" bestFit="1" customWidth="1"/>
    <col min="74" max="74" width="23" bestFit="1" customWidth="1"/>
    <col min="75" max="75" width="17.75" bestFit="1" customWidth="1"/>
    <col min="76" max="76" width="42.625" bestFit="1" customWidth="1"/>
    <col min="77" max="77" width="24.5" bestFit="1" customWidth="1"/>
    <col min="78" max="78" width="78.375" bestFit="1" customWidth="1"/>
  </cols>
  <sheetData>
    <row r="1" spans="1:78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51</v>
      </c>
      <c r="Z1" t="s">
        <v>100</v>
      </c>
      <c r="AA1" t="s">
        <v>101</v>
      </c>
      <c r="AB1" t="s">
        <v>102</v>
      </c>
      <c r="AC1" t="s">
        <v>103</v>
      </c>
      <c r="AD1" t="s">
        <v>104</v>
      </c>
      <c r="AE1" t="s">
        <v>105</v>
      </c>
      <c r="AF1" t="s">
        <v>106</v>
      </c>
      <c r="AG1" t="s">
        <v>107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113</v>
      </c>
      <c r="AN1" t="s">
        <v>114</v>
      </c>
      <c r="AO1" t="s">
        <v>115</v>
      </c>
      <c r="AP1" t="s">
        <v>116</v>
      </c>
      <c r="AQ1" t="s">
        <v>117</v>
      </c>
      <c r="AR1" t="s">
        <v>118</v>
      </c>
      <c r="AS1" t="s">
        <v>119</v>
      </c>
      <c r="AT1" t="s">
        <v>120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126</v>
      </c>
      <c r="BA1" t="s">
        <v>127</v>
      </c>
      <c r="BB1" t="s">
        <v>128</v>
      </c>
      <c r="BC1" t="s">
        <v>129</v>
      </c>
      <c r="BD1" t="s">
        <v>130</v>
      </c>
      <c r="BE1" t="s">
        <v>131</v>
      </c>
      <c r="BF1" t="s">
        <v>132</v>
      </c>
      <c r="BG1" t="s">
        <v>133</v>
      </c>
      <c r="BH1" t="s">
        <v>134</v>
      </c>
      <c r="BI1" t="s">
        <v>135</v>
      </c>
      <c r="BJ1" t="s">
        <v>136</v>
      </c>
      <c r="BK1" t="s">
        <v>137</v>
      </c>
      <c r="BL1" t="s">
        <v>138</v>
      </c>
      <c r="BM1" t="s">
        <v>139</v>
      </c>
      <c r="BN1" t="s">
        <v>140</v>
      </c>
      <c r="BO1" t="s">
        <v>141</v>
      </c>
      <c r="BP1" t="s">
        <v>142</v>
      </c>
      <c r="BQ1" t="s">
        <v>143</v>
      </c>
      <c r="BR1" t="s">
        <v>144</v>
      </c>
      <c r="BS1" t="s">
        <v>145</v>
      </c>
      <c r="BT1" t="s">
        <v>285</v>
      </c>
      <c r="BU1" t="s">
        <v>286</v>
      </c>
      <c r="BV1" t="s">
        <v>146</v>
      </c>
      <c r="BW1" t="s">
        <v>287</v>
      </c>
      <c r="BX1" t="s">
        <v>147</v>
      </c>
      <c r="BY1" t="s">
        <v>148</v>
      </c>
      <c r="BZ1" t="s">
        <v>149</v>
      </c>
    </row>
    <row r="2" spans="1:78">
      <c r="A2" t="s">
        <v>288</v>
      </c>
      <c r="B2" t="s">
        <v>289</v>
      </c>
      <c r="C2">
        <v>701</v>
      </c>
      <c r="D2" t="s">
        <v>290</v>
      </c>
      <c r="E2" t="s">
        <v>290</v>
      </c>
      <c r="F2">
        <v>5</v>
      </c>
      <c r="G2" s="13">
        <v>46266.416666666664</v>
      </c>
      <c r="H2" s="13">
        <v>46302.75</v>
      </c>
      <c r="I2">
        <v>300</v>
      </c>
      <c r="J2" t="s">
        <v>242</v>
      </c>
      <c r="K2">
        <v>1</v>
      </c>
      <c r="L2">
        <v>0.1</v>
      </c>
      <c r="M2">
        <v>0.1</v>
      </c>
      <c r="N2">
        <v>1</v>
      </c>
      <c r="O2">
        <v>0.1</v>
      </c>
      <c r="P2">
        <v>486.79</v>
      </c>
      <c r="Q2">
        <v>8</v>
      </c>
      <c r="R2">
        <v>8</v>
      </c>
      <c r="S2" t="s">
        <v>245</v>
      </c>
      <c r="T2" t="s">
        <v>246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4">
        <v>46302</v>
      </c>
      <c r="AI2" t="s">
        <v>296</v>
      </c>
      <c r="AJ2" s="13">
        <v>46266.416666666664</v>
      </c>
      <c r="AK2">
        <v>1500</v>
      </c>
      <c r="AL2" t="s">
        <v>243</v>
      </c>
      <c r="AM2" t="s">
        <v>244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t="s">
        <v>291</v>
      </c>
      <c r="BV2" t="s">
        <v>288</v>
      </c>
      <c r="BW2" t="s">
        <v>292</v>
      </c>
      <c r="BX2" t="s">
        <v>297</v>
      </c>
      <c r="BY2" t="b">
        <v>0</v>
      </c>
      <c r="BZ2" t="s">
        <v>293</v>
      </c>
    </row>
    <row r="3" spans="1:78">
      <c r="A3" t="s">
        <v>288</v>
      </c>
      <c r="B3" t="s">
        <v>289</v>
      </c>
      <c r="C3">
        <v>702</v>
      </c>
      <c r="D3" t="s">
        <v>290</v>
      </c>
      <c r="E3" t="s">
        <v>290</v>
      </c>
      <c r="F3">
        <v>5</v>
      </c>
      <c r="G3" s="13">
        <v>46266.416666666664</v>
      </c>
      <c r="H3" s="13">
        <v>46302.75</v>
      </c>
      <c r="I3">
        <v>300</v>
      </c>
      <c r="J3" t="s">
        <v>242</v>
      </c>
      <c r="K3">
        <v>1</v>
      </c>
      <c r="L3">
        <v>0.1</v>
      </c>
      <c r="M3">
        <v>0.1</v>
      </c>
      <c r="N3">
        <v>1</v>
      </c>
      <c r="O3">
        <v>0.1</v>
      </c>
      <c r="P3">
        <v>93.94</v>
      </c>
      <c r="Q3">
        <v>8</v>
      </c>
      <c r="R3">
        <v>8</v>
      </c>
      <c r="S3" t="s">
        <v>245</v>
      </c>
      <c r="T3" t="s">
        <v>246</v>
      </c>
      <c r="U3">
        <v>20</v>
      </c>
      <c r="V3">
        <v>1500</v>
      </c>
      <c r="W3">
        <v>1400</v>
      </c>
      <c r="X3">
        <v>1400</v>
      </c>
      <c r="Y3">
        <v>0</v>
      </c>
      <c r="Z3">
        <v>0</v>
      </c>
      <c r="AA3">
        <v>80</v>
      </c>
      <c r="AB3">
        <v>15</v>
      </c>
      <c r="AC3">
        <v>1500</v>
      </c>
      <c r="AD3">
        <v>0</v>
      </c>
      <c r="AE3">
        <v>0</v>
      </c>
      <c r="AF3">
        <v>1503.5</v>
      </c>
      <c r="AG3">
        <v>1503.5</v>
      </c>
      <c r="AH3" s="14">
        <v>46302</v>
      </c>
      <c r="AI3" t="s">
        <v>296</v>
      </c>
      <c r="AJ3" s="13">
        <v>46266.416666666664</v>
      </c>
      <c r="AK3">
        <v>1500</v>
      </c>
      <c r="AL3" t="s">
        <v>243</v>
      </c>
      <c r="AM3" t="s">
        <v>244</v>
      </c>
      <c r="AN3">
        <v>1400</v>
      </c>
      <c r="AO3">
        <v>0</v>
      </c>
      <c r="AP3">
        <v>60</v>
      </c>
      <c r="AQ3">
        <v>110</v>
      </c>
      <c r="AR3">
        <v>200</v>
      </c>
      <c r="AS3">
        <v>3</v>
      </c>
      <c r="AT3">
        <v>23</v>
      </c>
      <c r="AU3">
        <v>0</v>
      </c>
      <c r="AV3">
        <v>10</v>
      </c>
      <c r="AW3">
        <v>25</v>
      </c>
      <c r="AX3">
        <v>0</v>
      </c>
      <c r="AY3">
        <v>3</v>
      </c>
      <c r="AZ3">
        <v>1.5</v>
      </c>
      <c r="BA3">
        <v>1</v>
      </c>
      <c r="BB3">
        <v>1440</v>
      </c>
      <c r="BC3">
        <v>0</v>
      </c>
      <c r="BD3">
        <v>0</v>
      </c>
      <c r="BE3">
        <v>14</v>
      </c>
      <c r="BF3">
        <v>25</v>
      </c>
      <c r="BG3">
        <v>3</v>
      </c>
      <c r="BH3">
        <v>8</v>
      </c>
      <c r="BI3">
        <v>3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60</v>
      </c>
      <c r="BR3">
        <v>0</v>
      </c>
      <c r="BS3">
        <v>3</v>
      </c>
      <c r="BT3" t="s">
        <v>291</v>
      </c>
      <c r="BV3" t="s">
        <v>288</v>
      </c>
      <c r="BW3" t="s">
        <v>292</v>
      </c>
      <c r="BX3" t="s">
        <v>297</v>
      </c>
      <c r="BY3" t="b">
        <v>0</v>
      </c>
      <c r="BZ3" t="s">
        <v>293</v>
      </c>
    </row>
    <row r="4" spans="1:78">
      <c r="A4" t="s">
        <v>288</v>
      </c>
      <c r="B4" t="s">
        <v>289</v>
      </c>
      <c r="C4">
        <v>703</v>
      </c>
      <c r="D4" t="s">
        <v>290</v>
      </c>
      <c r="E4" t="s">
        <v>290</v>
      </c>
      <c r="F4">
        <v>5</v>
      </c>
      <c r="G4" s="13">
        <v>46266.416666666664</v>
      </c>
      <c r="H4" s="13">
        <v>46302.75</v>
      </c>
      <c r="I4">
        <v>300</v>
      </c>
      <c r="J4" t="s">
        <v>242</v>
      </c>
      <c r="K4">
        <v>1</v>
      </c>
      <c r="L4">
        <v>0.1</v>
      </c>
      <c r="M4">
        <v>0.1</v>
      </c>
      <c r="N4">
        <v>1</v>
      </c>
      <c r="O4">
        <v>0.1</v>
      </c>
      <c r="P4">
        <v>56.71</v>
      </c>
      <c r="Q4">
        <v>8</v>
      </c>
      <c r="R4">
        <v>8</v>
      </c>
      <c r="S4" t="s">
        <v>245</v>
      </c>
      <c r="T4" t="s">
        <v>246</v>
      </c>
      <c r="U4">
        <v>20</v>
      </c>
      <c r="V4">
        <v>1500</v>
      </c>
      <c r="W4">
        <v>1400</v>
      </c>
      <c r="X4">
        <v>1400</v>
      </c>
      <c r="Y4">
        <v>0</v>
      </c>
      <c r="Z4">
        <v>0</v>
      </c>
      <c r="AA4">
        <v>80</v>
      </c>
      <c r="AB4">
        <v>15</v>
      </c>
      <c r="AC4">
        <v>1500</v>
      </c>
      <c r="AD4">
        <v>0</v>
      </c>
      <c r="AE4">
        <v>0</v>
      </c>
      <c r="AF4">
        <v>1503.5</v>
      </c>
      <c r="AG4">
        <v>1503.5</v>
      </c>
      <c r="AH4" s="14">
        <v>46302</v>
      </c>
      <c r="AI4" t="s">
        <v>296</v>
      </c>
      <c r="AJ4" s="13">
        <v>46266.416666666664</v>
      </c>
      <c r="AK4">
        <v>1500</v>
      </c>
      <c r="AL4" t="s">
        <v>243</v>
      </c>
      <c r="AM4" t="s">
        <v>244</v>
      </c>
      <c r="AN4">
        <v>1400</v>
      </c>
      <c r="AO4">
        <v>0</v>
      </c>
      <c r="AP4">
        <v>60</v>
      </c>
      <c r="AQ4">
        <v>110</v>
      </c>
      <c r="AR4">
        <v>200</v>
      </c>
      <c r="AS4">
        <v>3</v>
      </c>
      <c r="AT4">
        <v>23</v>
      </c>
      <c r="AU4">
        <v>0</v>
      </c>
      <c r="AV4">
        <v>10</v>
      </c>
      <c r="AW4">
        <v>25</v>
      </c>
      <c r="AX4">
        <v>0</v>
      </c>
      <c r="AY4">
        <v>3</v>
      </c>
      <c r="AZ4">
        <v>1.5</v>
      </c>
      <c r="BA4">
        <v>1</v>
      </c>
      <c r="BB4">
        <v>1440</v>
      </c>
      <c r="BC4">
        <v>0</v>
      </c>
      <c r="BD4">
        <v>0</v>
      </c>
      <c r="BE4">
        <v>14</v>
      </c>
      <c r="BF4">
        <v>25</v>
      </c>
      <c r="BG4">
        <v>3</v>
      </c>
      <c r="BH4">
        <v>8</v>
      </c>
      <c r="BI4">
        <v>3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60</v>
      </c>
      <c r="BR4">
        <v>0</v>
      </c>
      <c r="BS4">
        <v>3</v>
      </c>
      <c r="BT4" t="s">
        <v>291</v>
      </c>
      <c r="BV4" t="s">
        <v>288</v>
      </c>
      <c r="BW4" t="s">
        <v>292</v>
      </c>
      <c r="BX4" t="s">
        <v>297</v>
      </c>
      <c r="BY4" t="b">
        <v>0</v>
      </c>
      <c r="BZ4" t="s">
        <v>293</v>
      </c>
    </row>
    <row r="5" spans="1:78">
      <c r="A5" t="s">
        <v>288</v>
      </c>
      <c r="B5" t="s">
        <v>289</v>
      </c>
      <c r="C5">
        <v>704</v>
      </c>
      <c r="D5" t="s">
        <v>290</v>
      </c>
      <c r="E5" t="s">
        <v>290</v>
      </c>
      <c r="F5">
        <v>5</v>
      </c>
      <c r="G5" s="13">
        <v>46266.416666666664</v>
      </c>
      <c r="H5" s="13">
        <v>46302.75</v>
      </c>
      <c r="I5">
        <v>300</v>
      </c>
      <c r="J5" t="s">
        <v>242</v>
      </c>
      <c r="K5">
        <v>1</v>
      </c>
      <c r="L5">
        <v>0.1</v>
      </c>
      <c r="M5">
        <v>0.1</v>
      </c>
      <c r="N5">
        <v>1</v>
      </c>
      <c r="O5">
        <v>0.1</v>
      </c>
      <c r="P5">
        <v>40</v>
      </c>
      <c r="Q5">
        <v>8</v>
      </c>
      <c r="R5">
        <v>8</v>
      </c>
      <c r="S5" t="s">
        <v>245</v>
      </c>
      <c r="T5" t="s">
        <v>246</v>
      </c>
      <c r="U5">
        <v>20</v>
      </c>
      <c r="V5">
        <v>1500</v>
      </c>
      <c r="W5">
        <v>1400</v>
      </c>
      <c r="X5">
        <v>1400</v>
      </c>
      <c r="Y5">
        <v>0</v>
      </c>
      <c r="Z5">
        <v>0</v>
      </c>
      <c r="AA5">
        <v>80</v>
      </c>
      <c r="AB5">
        <v>15</v>
      </c>
      <c r="AC5">
        <v>1500</v>
      </c>
      <c r="AD5">
        <v>0</v>
      </c>
      <c r="AE5">
        <v>0</v>
      </c>
      <c r="AF5">
        <v>1503.5</v>
      </c>
      <c r="AG5">
        <v>1503.5</v>
      </c>
      <c r="AH5" s="14">
        <v>46302</v>
      </c>
      <c r="AI5" t="s">
        <v>296</v>
      </c>
      <c r="AJ5" s="13">
        <v>46266.416666666664</v>
      </c>
      <c r="AK5">
        <v>1500</v>
      </c>
      <c r="AL5" t="s">
        <v>243</v>
      </c>
      <c r="AM5" t="s">
        <v>244</v>
      </c>
      <c r="AN5">
        <v>1400</v>
      </c>
      <c r="AO5">
        <v>0</v>
      </c>
      <c r="AP5">
        <v>60</v>
      </c>
      <c r="AQ5">
        <v>110</v>
      </c>
      <c r="AR5">
        <v>200</v>
      </c>
      <c r="AS5">
        <v>3</v>
      </c>
      <c r="AT5">
        <v>23</v>
      </c>
      <c r="AU5">
        <v>0</v>
      </c>
      <c r="AV5">
        <v>10</v>
      </c>
      <c r="AW5">
        <v>25</v>
      </c>
      <c r="AX5">
        <v>0</v>
      </c>
      <c r="AY5">
        <v>3</v>
      </c>
      <c r="AZ5">
        <v>1.5</v>
      </c>
      <c r="BA5">
        <v>1</v>
      </c>
      <c r="BB5">
        <v>1440</v>
      </c>
      <c r="BC5">
        <v>0</v>
      </c>
      <c r="BD5">
        <v>0</v>
      </c>
      <c r="BE5">
        <v>14</v>
      </c>
      <c r="BF5">
        <v>25</v>
      </c>
      <c r="BG5">
        <v>3</v>
      </c>
      <c r="BH5">
        <v>8</v>
      </c>
      <c r="BI5">
        <v>3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0</v>
      </c>
      <c r="BQ5">
        <v>60</v>
      </c>
      <c r="BR5">
        <v>0</v>
      </c>
      <c r="BS5">
        <v>3</v>
      </c>
      <c r="BT5" t="s">
        <v>291</v>
      </c>
      <c r="BV5" t="s">
        <v>288</v>
      </c>
      <c r="BW5" t="s">
        <v>292</v>
      </c>
      <c r="BX5" t="s">
        <v>297</v>
      </c>
      <c r="BY5" t="b">
        <v>0</v>
      </c>
      <c r="BZ5" t="s">
        <v>293</v>
      </c>
    </row>
    <row r="6" spans="1:78">
      <c r="A6" t="s">
        <v>288</v>
      </c>
      <c r="B6" t="s">
        <v>289</v>
      </c>
      <c r="C6">
        <v>705</v>
      </c>
      <c r="D6" t="s">
        <v>290</v>
      </c>
      <c r="E6" t="s">
        <v>290</v>
      </c>
      <c r="F6">
        <v>5</v>
      </c>
      <c r="G6" s="13">
        <v>46266.416666666664</v>
      </c>
      <c r="H6" s="13">
        <v>46302.75</v>
      </c>
      <c r="I6">
        <v>300</v>
      </c>
      <c r="J6" t="s">
        <v>242</v>
      </c>
      <c r="K6">
        <v>1</v>
      </c>
      <c r="L6">
        <v>0.1</v>
      </c>
      <c r="M6">
        <v>0.1</v>
      </c>
      <c r="N6">
        <v>1</v>
      </c>
      <c r="O6">
        <v>0.1</v>
      </c>
      <c r="P6">
        <v>28.5</v>
      </c>
      <c r="Q6">
        <v>8</v>
      </c>
      <c r="R6">
        <v>8</v>
      </c>
      <c r="S6" t="s">
        <v>245</v>
      </c>
      <c r="T6" t="s">
        <v>246</v>
      </c>
      <c r="U6">
        <v>20</v>
      </c>
      <c r="V6">
        <v>1500</v>
      </c>
      <c r="W6">
        <v>1400</v>
      </c>
      <c r="X6">
        <v>1400</v>
      </c>
      <c r="Y6">
        <v>0</v>
      </c>
      <c r="Z6">
        <v>0</v>
      </c>
      <c r="AA6">
        <v>80</v>
      </c>
      <c r="AB6">
        <v>15</v>
      </c>
      <c r="AC6">
        <v>1500</v>
      </c>
      <c r="AD6">
        <v>0</v>
      </c>
      <c r="AE6">
        <v>0</v>
      </c>
      <c r="AF6">
        <v>1503.5</v>
      </c>
      <c r="AG6">
        <v>1503.5</v>
      </c>
      <c r="AH6" s="14">
        <v>46302</v>
      </c>
      <c r="AI6" t="s">
        <v>296</v>
      </c>
      <c r="AJ6" s="13">
        <v>46266.416666666664</v>
      </c>
      <c r="AK6">
        <v>1500</v>
      </c>
      <c r="AL6" t="s">
        <v>243</v>
      </c>
      <c r="AM6" t="s">
        <v>244</v>
      </c>
      <c r="AN6">
        <v>1400</v>
      </c>
      <c r="AO6">
        <v>0</v>
      </c>
      <c r="AP6">
        <v>60</v>
      </c>
      <c r="AQ6">
        <v>110</v>
      </c>
      <c r="AR6">
        <v>200</v>
      </c>
      <c r="AS6">
        <v>3</v>
      </c>
      <c r="AT6">
        <v>23</v>
      </c>
      <c r="AU6">
        <v>0</v>
      </c>
      <c r="AV6">
        <v>10</v>
      </c>
      <c r="AW6">
        <v>25</v>
      </c>
      <c r="AX6">
        <v>0</v>
      </c>
      <c r="AY6">
        <v>3</v>
      </c>
      <c r="AZ6">
        <v>1.5</v>
      </c>
      <c r="BA6">
        <v>1</v>
      </c>
      <c r="BB6">
        <v>1440</v>
      </c>
      <c r="BC6">
        <v>0</v>
      </c>
      <c r="BD6">
        <v>0</v>
      </c>
      <c r="BE6">
        <v>14</v>
      </c>
      <c r="BF6">
        <v>25</v>
      </c>
      <c r="BG6">
        <v>3</v>
      </c>
      <c r="BH6">
        <v>8</v>
      </c>
      <c r="BI6">
        <v>3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0</v>
      </c>
      <c r="BQ6">
        <v>60</v>
      </c>
      <c r="BR6">
        <v>0</v>
      </c>
      <c r="BS6">
        <v>3</v>
      </c>
      <c r="BT6" t="s">
        <v>291</v>
      </c>
      <c r="BV6" t="s">
        <v>288</v>
      </c>
      <c r="BW6" t="s">
        <v>292</v>
      </c>
      <c r="BX6" t="s">
        <v>297</v>
      </c>
      <c r="BY6" t="b">
        <v>0</v>
      </c>
      <c r="BZ6" t="s">
        <v>293</v>
      </c>
    </row>
    <row r="7" spans="1:78">
      <c r="A7" t="s">
        <v>288</v>
      </c>
      <c r="B7" t="s">
        <v>289</v>
      </c>
      <c r="C7">
        <v>706</v>
      </c>
      <c r="D7" t="s">
        <v>290</v>
      </c>
      <c r="E7" t="s">
        <v>290</v>
      </c>
      <c r="F7">
        <v>5</v>
      </c>
      <c r="G7" s="13">
        <v>46266.416666666664</v>
      </c>
      <c r="H7" s="13">
        <v>46302.75</v>
      </c>
      <c r="I7">
        <v>300</v>
      </c>
      <c r="J7" t="s">
        <v>242</v>
      </c>
      <c r="K7">
        <v>1</v>
      </c>
      <c r="L7">
        <v>0.1</v>
      </c>
      <c r="M7">
        <v>0.1</v>
      </c>
      <c r="N7">
        <v>1</v>
      </c>
      <c r="O7">
        <v>0.1</v>
      </c>
      <c r="P7">
        <v>22</v>
      </c>
      <c r="Q7">
        <v>8</v>
      </c>
      <c r="R7">
        <v>8</v>
      </c>
      <c r="S7" t="s">
        <v>245</v>
      </c>
      <c r="T7" t="s">
        <v>246</v>
      </c>
      <c r="U7">
        <v>20</v>
      </c>
      <c r="V7">
        <v>1500</v>
      </c>
      <c r="W7">
        <v>1400</v>
      </c>
      <c r="X7">
        <v>1400</v>
      </c>
      <c r="Y7">
        <v>0</v>
      </c>
      <c r="Z7">
        <v>0</v>
      </c>
      <c r="AA7">
        <v>80</v>
      </c>
      <c r="AB7">
        <v>15</v>
      </c>
      <c r="AC7">
        <v>1500</v>
      </c>
      <c r="AD7">
        <v>0</v>
      </c>
      <c r="AE7">
        <v>0</v>
      </c>
      <c r="AF7">
        <v>1503.5</v>
      </c>
      <c r="AG7">
        <v>1503.5</v>
      </c>
      <c r="AH7" s="14">
        <v>46302</v>
      </c>
      <c r="AI7" t="s">
        <v>296</v>
      </c>
      <c r="AJ7" s="13">
        <v>46266.416666666664</v>
      </c>
      <c r="AK7">
        <v>1500</v>
      </c>
      <c r="AL7" t="s">
        <v>243</v>
      </c>
      <c r="AM7" t="s">
        <v>244</v>
      </c>
      <c r="AN7">
        <v>1400</v>
      </c>
      <c r="AO7">
        <v>0</v>
      </c>
      <c r="AP7">
        <v>60</v>
      </c>
      <c r="AQ7">
        <v>110</v>
      </c>
      <c r="AR7">
        <v>200</v>
      </c>
      <c r="AS7">
        <v>3</v>
      </c>
      <c r="AT7">
        <v>23</v>
      </c>
      <c r="AU7">
        <v>0</v>
      </c>
      <c r="AV7">
        <v>10</v>
      </c>
      <c r="AW7">
        <v>25</v>
      </c>
      <c r="AX7">
        <v>0</v>
      </c>
      <c r="AY7">
        <v>3</v>
      </c>
      <c r="AZ7">
        <v>1.5</v>
      </c>
      <c r="BA7">
        <v>1</v>
      </c>
      <c r="BB7">
        <v>1440</v>
      </c>
      <c r="BC7">
        <v>0</v>
      </c>
      <c r="BD7">
        <v>0</v>
      </c>
      <c r="BE7">
        <v>14</v>
      </c>
      <c r="BF7">
        <v>25</v>
      </c>
      <c r="BG7">
        <v>3</v>
      </c>
      <c r="BH7">
        <v>8</v>
      </c>
      <c r="BI7">
        <v>3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0</v>
      </c>
      <c r="BQ7">
        <v>60</v>
      </c>
      <c r="BR7">
        <v>0</v>
      </c>
      <c r="BS7">
        <v>3</v>
      </c>
      <c r="BT7" t="s">
        <v>291</v>
      </c>
      <c r="BV7" t="s">
        <v>288</v>
      </c>
      <c r="BW7" t="s">
        <v>292</v>
      </c>
      <c r="BX7" t="s">
        <v>297</v>
      </c>
      <c r="BY7" t="b">
        <v>0</v>
      </c>
      <c r="BZ7" t="s">
        <v>293</v>
      </c>
    </row>
    <row r="8" spans="1:78">
      <c r="A8" t="s">
        <v>288</v>
      </c>
      <c r="B8" t="s">
        <v>289</v>
      </c>
      <c r="C8">
        <v>707</v>
      </c>
      <c r="D8" t="s">
        <v>290</v>
      </c>
      <c r="E8" t="s">
        <v>290</v>
      </c>
      <c r="F8">
        <v>5</v>
      </c>
      <c r="G8" s="13">
        <v>46266.416666666664</v>
      </c>
      <c r="H8" s="13">
        <v>46302.75</v>
      </c>
      <c r="I8">
        <v>300</v>
      </c>
      <c r="J8" t="s">
        <v>242</v>
      </c>
      <c r="K8">
        <v>1</v>
      </c>
      <c r="L8">
        <v>0.1</v>
      </c>
      <c r="M8">
        <v>0.1</v>
      </c>
      <c r="N8">
        <v>1</v>
      </c>
      <c r="O8">
        <v>0.1</v>
      </c>
      <c r="P8">
        <v>18</v>
      </c>
      <c r="Q8">
        <v>8</v>
      </c>
      <c r="R8">
        <v>8</v>
      </c>
      <c r="S8" t="s">
        <v>245</v>
      </c>
      <c r="T8" t="s">
        <v>246</v>
      </c>
      <c r="U8">
        <v>20</v>
      </c>
      <c r="V8">
        <v>1500</v>
      </c>
      <c r="W8">
        <v>1400</v>
      </c>
      <c r="X8">
        <v>1400</v>
      </c>
      <c r="Y8">
        <v>0</v>
      </c>
      <c r="Z8">
        <v>0</v>
      </c>
      <c r="AA8">
        <v>80</v>
      </c>
      <c r="AB8">
        <v>15</v>
      </c>
      <c r="AC8">
        <v>1500</v>
      </c>
      <c r="AD8">
        <v>0</v>
      </c>
      <c r="AE8">
        <v>0</v>
      </c>
      <c r="AF8">
        <v>1503.5</v>
      </c>
      <c r="AG8">
        <v>1503.5</v>
      </c>
      <c r="AH8" s="14">
        <v>46302</v>
      </c>
      <c r="AI8" t="s">
        <v>296</v>
      </c>
      <c r="AJ8" s="13">
        <v>46266.416666666664</v>
      </c>
      <c r="AK8">
        <v>1500</v>
      </c>
      <c r="AL8" t="s">
        <v>243</v>
      </c>
      <c r="AM8" t="s">
        <v>244</v>
      </c>
      <c r="AN8">
        <v>1400</v>
      </c>
      <c r="AO8">
        <v>0</v>
      </c>
      <c r="AP8">
        <v>60</v>
      </c>
      <c r="AQ8">
        <v>110</v>
      </c>
      <c r="AR8">
        <v>200</v>
      </c>
      <c r="AS8">
        <v>3</v>
      </c>
      <c r="AT8">
        <v>23</v>
      </c>
      <c r="AU8">
        <v>0</v>
      </c>
      <c r="AV8">
        <v>10</v>
      </c>
      <c r="AW8">
        <v>25</v>
      </c>
      <c r="AX8">
        <v>0</v>
      </c>
      <c r="AY8">
        <v>3</v>
      </c>
      <c r="AZ8">
        <v>1.5</v>
      </c>
      <c r="BA8">
        <v>1</v>
      </c>
      <c r="BB8">
        <v>1440</v>
      </c>
      <c r="BC8">
        <v>0</v>
      </c>
      <c r="BD8">
        <v>0</v>
      </c>
      <c r="BE8">
        <v>14</v>
      </c>
      <c r="BF8">
        <v>25</v>
      </c>
      <c r="BG8">
        <v>3</v>
      </c>
      <c r="BH8">
        <v>8</v>
      </c>
      <c r="BI8">
        <v>3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0</v>
      </c>
      <c r="BQ8">
        <v>60</v>
      </c>
      <c r="BR8">
        <v>0</v>
      </c>
      <c r="BS8">
        <v>3</v>
      </c>
      <c r="BT8" t="s">
        <v>291</v>
      </c>
      <c r="BV8" t="s">
        <v>288</v>
      </c>
      <c r="BW8" t="s">
        <v>292</v>
      </c>
      <c r="BX8" t="s">
        <v>297</v>
      </c>
      <c r="BY8" t="b">
        <v>0</v>
      </c>
      <c r="BZ8" t="s">
        <v>293</v>
      </c>
    </row>
    <row r="9" spans="1:78">
      <c r="A9" t="s">
        <v>288</v>
      </c>
      <c r="B9" t="s">
        <v>289</v>
      </c>
      <c r="C9">
        <v>708</v>
      </c>
      <c r="D9" t="s">
        <v>290</v>
      </c>
      <c r="E9" t="s">
        <v>290</v>
      </c>
      <c r="F9">
        <v>5</v>
      </c>
      <c r="G9" s="13">
        <v>46266.416666666664</v>
      </c>
      <c r="H9" s="13">
        <v>46302.75</v>
      </c>
      <c r="I9">
        <v>300</v>
      </c>
      <c r="J9" t="s">
        <v>242</v>
      </c>
      <c r="K9">
        <v>1</v>
      </c>
      <c r="L9">
        <v>0.1</v>
      </c>
      <c r="M9">
        <v>0.1</v>
      </c>
      <c r="N9">
        <v>1</v>
      </c>
      <c r="O9">
        <v>0.1</v>
      </c>
      <c r="P9">
        <v>15</v>
      </c>
      <c r="Q9">
        <v>8</v>
      </c>
      <c r="R9">
        <v>8</v>
      </c>
      <c r="S9" t="s">
        <v>245</v>
      </c>
      <c r="T9" t="s">
        <v>246</v>
      </c>
      <c r="U9">
        <v>20</v>
      </c>
      <c r="V9">
        <v>1500</v>
      </c>
      <c r="W9">
        <v>1400</v>
      </c>
      <c r="X9">
        <v>1400</v>
      </c>
      <c r="Y9">
        <v>0</v>
      </c>
      <c r="Z9">
        <v>0</v>
      </c>
      <c r="AA9">
        <v>80</v>
      </c>
      <c r="AB9">
        <v>15</v>
      </c>
      <c r="AC9">
        <v>1500</v>
      </c>
      <c r="AD9">
        <v>0</v>
      </c>
      <c r="AE9">
        <v>0</v>
      </c>
      <c r="AF9">
        <v>1503.5</v>
      </c>
      <c r="AG9">
        <v>1503.5</v>
      </c>
      <c r="AH9" s="14">
        <v>46302</v>
      </c>
      <c r="AI9" t="s">
        <v>296</v>
      </c>
      <c r="AJ9" s="13">
        <v>46266.416666666664</v>
      </c>
      <c r="AK9">
        <v>1500</v>
      </c>
      <c r="AL9" t="s">
        <v>243</v>
      </c>
      <c r="AM9" t="s">
        <v>244</v>
      </c>
      <c r="AN9">
        <v>1400</v>
      </c>
      <c r="AO9">
        <v>0</v>
      </c>
      <c r="AP9">
        <v>60</v>
      </c>
      <c r="AQ9">
        <v>110</v>
      </c>
      <c r="AR9">
        <v>200</v>
      </c>
      <c r="AS9">
        <v>3</v>
      </c>
      <c r="AT9">
        <v>23</v>
      </c>
      <c r="AU9">
        <v>0</v>
      </c>
      <c r="AV9">
        <v>10</v>
      </c>
      <c r="AW9">
        <v>25</v>
      </c>
      <c r="AX9">
        <v>0</v>
      </c>
      <c r="AY9">
        <v>3</v>
      </c>
      <c r="AZ9">
        <v>1.5</v>
      </c>
      <c r="BA9">
        <v>1</v>
      </c>
      <c r="BB9">
        <v>1440</v>
      </c>
      <c r="BC9">
        <v>0</v>
      </c>
      <c r="BD9">
        <v>0</v>
      </c>
      <c r="BE9">
        <v>14</v>
      </c>
      <c r="BF9">
        <v>25</v>
      </c>
      <c r="BG9">
        <v>3</v>
      </c>
      <c r="BH9">
        <v>8</v>
      </c>
      <c r="BI9">
        <v>3</v>
      </c>
      <c r="BJ9">
        <v>0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60</v>
      </c>
      <c r="BR9">
        <v>0</v>
      </c>
      <c r="BS9">
        <v>3</v>
      </c>
      <c r="BT9" t="s">
        <v>291</v>
      </c>
      <c r="BV9" t="s">
        <v>288</v>
      </c>
      <c r="BW9" t="s">
        <v>292</v>
      </c>
      <c r="BX9" t="s">
        <v>297</v>
      </c>
      <c r="BY9" t="b">
        <v>0</v>
      </c>
      <c r="BZ9" t="s">
        <v>293</v>
      </c>
    </row>
    <row r="10" spans="1:78">
      <c r="A10" t="s">
        <v>288</v>
      </c>
      <c r="B10" t="s">
        <v>289</v>
      </c>
      <c r="C10">
        <v>709</v>
      </c>
      <c r="D10" t="s">
        <v>290</v>
      </c>
      <c r="E10" t="s">
        <v>290</v>
      </c>
      <c r="F10">
        <v>5</v>
      </c>
      <c r="G10" s="13">
        <v>46266.416666666664</v>
      </c>
      <c r="H10" s="13">
        <v>46302.75</v>
      </c>
      <c r="I10">
        <v>300</v>
      </c>
      <c r="J10" t="s">
        <v>242</v>
      </c>
      <c r="K10">
        <v>1</v>
      </c>
      <c r="L10">
        <v>0.1</v>
      </c>
      <c r="M10">
        <v>0.1</v>
      </c>
      <c r="N10">
        <v>1</v>
      </c>
      <c r="O10">
        <v>0.1</v>
      </c>
      <c r="P10">
        <v>12</v>
      </c>
      <c r="Q10">
        <v>8</v>
      </c>
      <c r="R10">
        <v>8</v>
      </c>
      <c r="S10" t="s">
        <v>245</v>
      </c>
      <c r="T10" t="s">
        <v>246</v>
      </c>
      <c r="U10">
        <v>20</v>
      </c>
      <c r="V10">
        <v>1500</v>
      </c>
      <c r="W10">
        <v>1400</v>
      </c>
      <c r="X10">
        <v>1400</v>
      </c>
      <c r="Y10">
        <v>0</v>
      </c>
      <c r="Z10">
        <v>0</v>
      </c>
      <c r="AA10">
        <v>80</v>
      </c>
      <c r="AB10">
        <v>15</v>
      </c>
      <c r="AC10">
        <v>1500</v>
      </c>
      <c r="AD10">
        <v>0</v>
      </c>
      <c r="AE10">
        <v>0</v>
      </c>
      <c r="AF10">
        <v>1503.5</v>
      </c>
      <c r="AG10">
        <v>1503.5</v>
      </c>
      <c r="AH10" s="14">
        <v>46302</v>
      </c>
      <c r="AI10" t="s">
        <v>296</v>
      </c>
      <c r="AJ10" s="13">
        <v>46266.416666666664</v>
      </c>
      <c r="AK10">
        <v>1500</v>
      </c>
      <c r="AL10" t="s">
        <v>243</v>
      </c>
      <c r="AM10" t="s">
        <v>244</v>
      </c>
      <c r="AN10">
        <v>1400</v>
      </c>
      <c r="AO10">
        <v>0</v>
      </c>
      <c r="AP10">
        <v>60</v>
      </c>
      <c r="AQ10">
        <v>110</v>
      </c>
      <c r="AR10">
        <v>200</v>
      </c>
      <c r="AS10">
        <v>3</v>
      </c>
      <c r="AT10">
        <v>23</v>
      </c>
      <c r="AU10">
        <v>0</v>
      </c>
      <c r="AV10">
        <v>10</v>
      </c>
      <c r="AW10">
        <v>25</v>
      </c>
      <c r="AX10">
        <v>0</v>
      </c>
      <c r="AY10">
        <v>3</v>
      </c>
      <c r="AZ10">
        <v>1.5</v>
      </c>
      <c r="BA10">
        <v>1</v>
      </c>
      <c r="BB10">
        <v>1440</v>
      </c>
      <c r="BC10">
        <v>0</v>
      </c>
      <c r="BD10">
        <v>0</v>
      </c>
      <c r="BE10">
        <v>14</v>
      </c>
      <c r="BF10">
        <v>25</v>
      </c>
      <c r="BG10">
        <v>3</v>
      </c>
      <c r="BH10">
        <v>8</v>
      </c>
      <c r="BI10">
        <v>3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0</v>
      </c>
      <c r="BQ10">
        <v>60</v>
      </c>
      <c r="BR10">
        <v>0</v>
      </c>
      <c r="BS10">
        <v>3</v>
      </c>
      <c r="BT10" t="s">
        <v>291</v>
      </c>
      <c r="BV10" t="s">
        <v>288</v>
      </c>
      <c r="BW10" t="s">
        <v>292</v>
      </c>
      <c r="BX10" t="s">
        <v>297</v>
      </c>
      <c r="BY10" t="b">
        <v>0</v>
      </c>
      <c r="BZ10" t="s">
        <v>293</v>
      </c>
    </row>
    <row r="11" spans="1:78">
      <c r="A11" t="s">
        <v>288</v>
      </c>
      <c r="B11" t="s">
        <v>289</v>
      </c>
      <c r="C11">
        <v>710</v>
      </c>
      <c r="D11" t="s">
        <v>290</v>
      </c>
      <c r="E11" t="s">
        <v>290</v>
      </c>
      <c r="F11">
        <v>5</v>
      </c>
      <c r="G11" s="13">
        <v>46266.416666666664</v>
      </c>
      <c r="H11" s="13">
        <v>46302.75</v>
      </c>
      <c r="I11">
        <v>300</v>
      </c>
      <c r="J11" t="s">
        <v>242</v>
      </c>
      <c r="K11">
        <v>1</v>
      </c>
      <c r="L11">
        <v>0.1</v>
      </c>
      <c r="M11">
        <v>0.1</v>
      </c>
      <c r="N11">
        <v>1</v>
      </c>
      <c r="O11">
        <v>0.1</v>
      </c>
      <c r="P11">
        <v>10</v>
      </c>
      <c r="Q11">
        <v>8</v>
      </c>
      <c r="R11">
        <v>8</v>
      </c>
      <c r="S11" t="s">
        <v>245</v>
      </c>
      <c r="T11" t="s">
        <v>246</v>
      </c>
      <c r="U11">
        <v>20</v>
      </c>
      <c r="V11">
        <v>1500</v>
      </c>
      <c r="W11">
        <v>1400</v>
      </c>
      <c r="X11">
        <v>1400</v>
      </c>
      <c r="Y11">
        <v>0</v>
      </c>
      <c r="Z11">
        <v>0</v>
      </c>
      <c r="AA11">
        <v>80</v>
      </c>
      <c r="AB11">
        <v>15</v>
      </c>
      <c r="AC11">
        <v>1500</v>
      </c>
      <c r="AD11">
        <v>0</v>
      </c>
      <c r="AE11">
        <v>0</v>
      </c>
      <c r="AF11">
        <v>1503.5</v>
      </c>
      <c r="AG11">
        <v>1503.5</v>
      </c>
      <c r="AH11" s="14">
        <v>46302</v>
      </c>
      <c r="AI11" t="s">
        <v>296</v>
      </c>
      <c r="AJ11" s="13">
        <v>46266.416666666664</v>
      </c>
      <c r="AK11">
        <v>1500</v>
      </c>
      <c r="AL11" t="s">
        <v>243</v>
      </c>
      <c r="AM11" t="s">
        <v>244</v>
      </c>
      <c r="AN11">
        <v>1400</v>
      </c>
      <c r="AO11">
        <v>0</v>
      </c>
      <c r="AP11">
        <v>60</v>
      </c>
      <c r="AQ11">
        <v>110</v>
      </c>
      <c r="AR11">
        <v>200</v>
      </c>
      <c r="AS11">
        <v>3</v>
      </c>
      <c r="AT11">
        <v>23</v>
      </c>
      <c r="AU11">
        <v>0</v>
      </c>
      <c r="AV11">
        <v>10</v>
      </c>
      <c r="AW11">
        <v>25</v>
      </c>
      <c r="AX11">
        <v>0</v>
      </c>
      <c r="AY11">
        <v>3</v>
      </c>
      <c r="AZ11">
        <v>1.5</v>
      </c>
      <c r="BA11">
        <v>1</v>
      </c>
      <c r="BB11">
        <v>1440</v>
      </c>
      <c r="BC11">
        <v>0</v>
      </c>
      <c r="BD11">
        <v>0</v>
      </c>
      <c r="BE11">
        <v>14</v>
      </c>
      <c r="BF11">
        <v>25</v>
      </c>
      <c r="BG11">
        <v>3</v>
      </c>
      <c r="BH11">
        <v>8</v>
      </c>
      <c r="BI11">
        <v>3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0</v>
      </c>
      <c r="BQ11">
        <v>60</v>
      </c>
      <c r="BR11">
        <v>0</v>
      </c>
      <c r="BS11">
        <v>3</v>
      </c>
      <c r="BT11" t="s">
        <v>291</v>
      </c>
      <c r="BV11" t="s">
        <v>288</v>
      </c>
      <c r="BW11" t="s">
        <v>292</v>
      </c>
      <c r="BX11" t="s">
        <v>297</v>
      </c>
      <c r="BY11" t="b">
        <v>0</v>
      </c>
      <c r="BZ11" t="s">
        <v>293</v>
      </c>
    </row>
    <row r="12" spans="1:78">
      <c r="A12" t="s">
        <v>288</v>
      </c>
      <c r="B12" t="s">
        <v>289</v>
      </c>
      <c r="C12">
        <v>711</v>
      </c>
      <c r="D12" t="s">
        <v>290</v>
      </c>
      <c r="E12" t="s">
        <v>290</v>
      </c>
      <c r="F12">
        <v>5</v>
      </c>
      <c r="G12" s="13">
        <v>46266.416666666664</v>
      </c>
      <c r="H12" s="13">
        <v>46302.75</v>
      </c>
      <c r="I12">
        <v>300</v>
      </c>
      <c r="J12" t="s">
        <v>242</v>
      </c>
      <c r="K12">
        <v>1</v>
      </c>
      <c r="L12">
        <v>0.1</v>
      </c>
      <c r="M12">
        <v>0.1</v>
      </c>
      <c r="N12">
        <v>1</v>
      </c>
      <c r="O12">
        <v>0.1</v>
      </c>
      <c r="P12">
        <v>8</v>
      </c>
      <c r="Q12">
        <v>8</v>
      </c>
      <c r="R12">
        <v>8</v>
      </c>
      <c r="S12" t="s">
        <v>245</v>
      </c>
      <c r="T12" t="s">
        <v>246</v>
      </c>
      <c r="U12">
        <v>20</v>
      </c>
      <c r="V12">
        <v>1500</v>
      </c>
      <c r="W12">
        <v>1400</v>
      </c>
      <c r="X12">
        <v>1400</v>
      </c>
      <c r="Y12">
        <v>0</v>
      </c>
      <c r="Z12">
        <v>0</v>
      </c>
      <c r="AA12">
        <v>80</v>
      </c>
      <c r="AB12">
        <v>15</v>
      </c>
      <c r="AC12">
        <v>1500</v>
      </c>
      <c r="AD12">
        <v>0</v>
      </c>
      <c r="AE12">
        <v>0</v>
      </c>
      <c r="AF12">
        <v>1503.5</v>
      </c>
      <c r="AG12">
        <v>1503.5</v>
      </c>
      <c r="AH12" s="14">
        <v>46302</v>
      </c>
      <c r="AI12" t="s">
        <v>296</v>
      </c>
      <c r="AJ12" s="13">
        <v>46266.416666666664</v>
      </c>
      <c r="AK12">
        <v>1500</v>
      </c>
      <c r="AL12" t="s">
        <v>243</v>
      </c>
      <c r="AM12" t="s">
        <v>244</v>
      </c>
      <c r="AN12">
        <v>1400</v>
      </c>
      <c r="AO12">
        <v>0</v>
      </c>
      <c r="AP12">
        <v>60</v>
      </c>
      <c r="AQ12">
        <v>110</v>
      </c>
      <c r="AR12">
        <v>200</v>
      </c>
      <c r="AS12">
        <v>3</v>
      </c>
      <c r="AT12">
        <v>23</v>
      </c>
      <c r="AU12">
        <v>0</v>
      </c>
      <c r="AV12">
        <v>10</v>
      </c>
      <c r="AW12">
        <v>25</v>
      </c>
      <c r="AX12">
        <v>0</v>
      </c>
      <c r="AY12">
        <v>3</v>
      </c>
      <c r="AZ12">
        <v>1.5</v>
      </c>
      <c r="BA12">
        <v>1</v>
      </c>
      <c r="BB12">
        <v>1440</v>
      </c>
      <c r="BC12">
        <v>0</v>
      </c>
      <c r="BD12">
        <v>0</v>
      </c>
      <c r="BE12">
        <v>14</v>
      </c>
      <c r="BF12">
        <v>25</v>
      </c>
      <c r="BG12">
        <v>3</v>
      </c>
      <c r="BH12">
        <v>8</v>
      </c>
      <c r="BI12">
        <v>3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0</v>
      </c>
      <c r="BQ12">
        <v>60</v>
      </c>
      <c r="BR12">
        <v>0</v>
      </c>
      <c r="BS12">
        <v>3</v>
      </c>
      <c r="BT12" t="s">
        <v>291</v>
      </c>
      <c r="BV12" t="s">
        <v>288</v>
      </c>
      <c r="BW12" t="s">
        <v>292</v>
      </c>
      <c r="BX12" t="s">
        <v>297</v>
      </c>
      <c r="BY12" t="b">
        <v>0</v>
      </c>
      <c r="BZ12" t="s">
        <v>293</v>
      </c>
    </row>
    <row r="13" spans="1:78">
      <c r="A13" t="s">
        <v>288</v>
      </c>
      <c r="B13" t="s">
        <v>289</v>
      </c>
      <c r="C13">
        <v>712</v>
      </c>
      <c r="D13" t="s">
        <v>290</v>
      </c>
      <c r="E13" t="s">
        <v>290</v>
      </c>
      <c r="F13">
        <v>5</v>
      </c>
      <c r="G13" s="13">
        <v>46266.416666666664</v>
      </c>
      <c r="H13" s="13">
        <v>46302.75</v>
      </c>
      <c r="I13">
        <v>300</v>
      </c>
      <c r="J13" t="s">
        <v>242</v>
      </c>
      <c r="K13">
        <v>1</v>
      </c>
      <c r="L13">
        <v>0.1</v>
      </c>
      <c r="M13">
        <v>0.1</v>
      </c>
      <c r="N13">
        <v>1</v>
      </c>
      <c r="O13">
        <v>0.1</v>
      </c>
      <c r="P13">
        <v>6</v>
      </c>
      <c r="Q13">
        <v>8</v>
      </c>
      <c r="R13">
        <v>8</v>
      </c>
      <c r="S13" t="s">
        <v>245</v>
      </c>
      <c r="T13" t="s">
        <v>246</v>
      </c>
      <c r="U13">
        <v>20</v>
      </c>
      <c r="V13">
        <v>1500</v>
      </c>
      <c r="W13">
        <v>1400</v>
      </c>
      <c r="X13">
        <v>1400</v>
      </c>
      <c r="Y13">
        <v>0</v>
      </c>
      <c r="Z13">
        <v>0</v>
      </c>
      <c r="AA13">
        <v>80</v>
      </c>
      <c r="AB13">
        <v>15</v>
      </c>
      <c r="AC13">
        <v>1500</v>
      </c>
      <c r="AD13">
        <v>0</v>
      </c>
      <c r="AE13">
        <v>0</v>
      </c>
      <c r="AF13">
        <v>1503.5</v>
      </c>
      <c r="AG13">
        <v>1503.5</v>
      </c>
      <c r="AH13" s="14">
        <v>46302</v>
      </c>
      <c r="AI13" t="s">
        <v>296</v>
      </c>
      <c r="AJ13" s="13">
        <v>46266.416666666664</v>
      </c>
      <c r="AK13">
        <v>1500</v>
      </c>
      <c r="AL13" t="s">
        <v>243</v>
      </c>
      <c r="AM13" t="s">
        <v>244</v>
      </c>
      <c r="AN13">
        <v>1400</v>
      </c>
      <c r="AO13">
        <v>0</v>
      </c>
      <c r="AP13">
        <v>60</v>
      </c>
      <c r="AQ13">
        <v>110</v>
      </c>
      <c r="AR13">
        <v>200</v>
      </c>
      <c r="AS13">
        <v>3</v>
      </c>
      <c r="AT13">
        <v>23</v>
      </c>
      <c r="AU13">
        <v>0</v>
      </c>
      <c r="AV13">
        <v>10</v>
      </c>
      <c r="AW13">
        <v>25</v>
      </c>
      <c r="AX13">
        <v>0</v>
      </c>
      <c r="AY13">
        <v>3</v>
      </c>
      <c r="AZ13">
        <v>1.5</v>
      </c>
      <c r="BA13">
        <v>1</v>
      </c>
      <c r="BB13">
        <v>1440</v>
      </c>
      <c r="BC13">
        <v>0</v>
      </c>
      <c r="BD13">
        <v>0</v>
      </c>
      <c r="BE13">
        <v>14</v>
      </c>
      <c r="BF13">
        <v>25</v>
      </c>
      <c r="BG13">
        <v>3</v>
      </c>
      <c r="BH13">
        <v>8</v>
      </c>
      <c r="BI13">
        <v>3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60</v>
      </c>
      <c r="BR13">
        <v>0</v>
      </c>
      <c r="BS13">
        <v>3</v>
      </c>
      <c r="BT13" t="s">
        <v>291</v>
      </c>
      <c r="BV13" t="s">
        <v>288</v>
      </c>
      <c r="BW13" t="s">
        <v>292</v>
      </c>
      <c r="BX13" t="s">
        <v>297</v>
      </c>
      <c r="BY13" t="b">
        <v>0</v>
      </c>
      <c r="BZ13" t="s">
        <v>293</v>
      </c>
    </row>
    <row r="14" spans="1:78">
      <c r="A14" t="s">
        <v>288</v>
      </c>
      <c r="B14" t="s">
        <v>289</v>
      </c>
      <c r="C14">
        <v>713</v>
      </c>
      <c r="D14" t="s">
        <v>290</v>
      </c>
      <c r="E14" t="s">
        <v>290</v>
      </c>
      <c r="F14">
        <v>5</v>
      </c>
      <c r="G14" s="13">
        <v>46266.416666666664</v>
      </c>
      <c r="H14" s="13">
        <v>46302.75</v>
      </c>
      <c r="I14">
        <v>300</v>
      </c>
      <c r="J14" t="s">
        <v>242</v>
      </c>
      <c r="K14">
        <v>1</v>
      </c>
      <c r="L14">
        <v>0.1</v>
      </c>
      <c r="M14">
        <v>0.1</v>
      </c>
      <c r="N14">
        <v>1</v>
      </c>
      <c r="O14">
        <v>0.1</v>
      </c>
      <c r="P14">
        <v>5</v>
      </c>
      <c r="Q14">
        <v>8</v>
      </c>
      <c r="R14">
        <v>8</v>
      </c>
      <c r="S14" t="s">
        <v>245</v>
      </c>
      <c r="T14" t="s">
        <v>246</v>
      </c>
      <c r="U14">
        <v>20</v>
      </c>
      <c r="V14">
        <v>1500</v>
      </c>
      <c r="W14">
        <v>1400</v>
      </c>
      <c r="X14">
        <v>1400</v>
      </c>
      <c r="Y14">
        <v>0</v>
      </c>
      <c r="Z14">
        <v>0</v>
      </c>
      <c r="AA14">
        <v>80</v>
      </c>
      <c r="AB14">
        <v>15</v>
      </c>
      <c r="AC14">
        <v>1500</v>
      </c>
      <c r="AD14">
        <v>0</v>
      </c>
      <c r="AE14">
        <v>0</v>
      </c>
      <c r="AF14">
        <v>1503.5</v>
      </c>
      <c r="AG14">
        <v>1503.5</v>
      </c>
      <c r="AH14" s="14">
        <v>46302</v>
      </c>
      <c r="AI14" t="s">
        <v>296</v>
      </c>
      <c r="AJ14" s="13">
        <v>46266.416666666664</v>
      </c>
      <c r="AK14">
        <v>1500</v>
      </c>
      <c r="AL14" t="s">
        <v>243</v>
      </c>
      <c r="AM14" t="s">
        <v>244</v>
      </c>
      <c r="AN14">
        <v>1400</v>
      </c>
      <c r="AO14">
        <v>0</v>
      </c>
      <c r="AP14">
        <v>60</v>
      </c>
      <c r="AQ14">
        <v>110</v>
      </c>
      <c r="AR14">
        <v>200</v>
      </c>
      <c r="AS14">
        <v>3</v>
      </c>
      <c r="AT14">
        <v>23</v>
      </c>
      <c r="AU14">
        <v>0</v>
      </c>
      <c r="AV14">
        <v>10</v>
      </c>
      <c r="AW14">
        <v>25</v>
      </c>
      <c r="AX14">
        <v>0</v>
      </c>
      <c r="AY14">
        <v>3</v>
      </c>
      <c r="AZ14">
        <v>1.5</v>
      </c>
      <c r="BA14">
        <v>1</v>
      </c>
      <c r="BB14">
        <v>1440</v>
      </c>
      <c r="BC14">
        <v>0</v>
      </c>
      <c r="BD14">
        <v>0</v>
      </c>
      <c r="BE14">
        <v>14</v>
      </c>
      <c r="BF14">
        <v>25</v>
      </c>
      <c r="BG14">
        <v>3</v>
      </c>
      <c r="BH14">
        <v>8</v>
      </c>
      <c r="BI14">
        <v>3</v>
      </c>
      <c r="BJ14">
        <v>0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0</v>
      </c>
      <c r="BQ14">
        <v>60</v>
      </c>
      <c r="BR14">
        <v>0</v>
      </c>
      <c r="BS14">
        <v>3</v>
      </c>
      <c r="BT14" t="s">
        <v>291</v>
      </c>
      <c r="BV14" t="s">
        <v>288</v>
      </c>
      <c r="BW14" t="s">
        <v>292</v>
      </c>
      <c r="BX14" t="s">
        <v>297</v>
      </c>
      <c r="BY14" t="b">
        <v>0</v>
      </c>
      <c r="BZ14" t="s">
        <v>293</v>
      </c>
    </row>
    <row r="15" spans="1:78">
      <c r="A15" t="s">
        <v>288</v>
      </c>
      <c r="B15" t="s">
        <v>289</v>
      </c>
      <c r="C15">
        <v>714</v>
      </c>
      <c r="D15" t="s">
        <v>290</v>
      </c>
      <c r="E15" t="s">
        <v>290</v>
      </c>
      <c r="F15">
        <v>5</v>
      </c>
      <c r="G15" s="13">
        <v>46266.416666666664</v>
      </c>
      <c r="H15" s="13">
        <v>46302.75</v>
      </c>
      <c r="I15">
        <v>300</v>
      </c>
      <c r="J15" t="s">
        <v>242</v>
      </c>
      <c r="K15">
        <v>1</v>
      </c>
      <c r="L15">
        <v>0.1</v>
      </c>
      <c r="M15">
        <v>0.1</v>
      </c>
      <c r="N15">
        <v>1</v>
      </c>
      <c r="O15">
        <v>0.1</v>
      </c>
      <c r="P15">
        <v>4</v>
      </c>
      <c r="Q15">
        <v>8</v>
      </c>
      <c r="R15">
        <v>8</v>
      </c>
      <c r="S15" t="s">
        <v>245</v>
      </c>
      <c r="T15" t="s">
        <v>246</v>
      </c>
      <c r="U15">
        <v>20</v>
      </c>
      <c r="V15">
        <v>1500</v>
      </c>
      <c r="W15">
        <v>1400</v>
      </c>
      <c r="X15">
        <v>1400</v>
      </c>
      <c r="Y15">
        <v>0</v>
      </c>
      <c r="Z15">
        <v>0</v>
      </c>
      <c r="AA15">
        <v>80</v>
      </c>
      <c r="AB15">
        <v>15</v>
      </c>
      <c r="AC15">
        <v>1500</v>
      </c>
      <c r="AD15">
        <v>0</v>
      </c>
      <c r="AE15">
        <v>0</v>
      </c>
      <c r="AF15">
        <v>1503.5</v>
      </c>
      <c r="AG15">
        <v>1503.5</v>
      </c>
      <c r="AH15" s="14">
        <v>46302</v>
      </c>
      <c r="AI15" t="s">
        <v>296</v>
      </c>
      <c r="AJ15" s="13">
        <v>46266.416666666664</v>
      </c>
      <c r="AK15">
        <v>1500</v>
      </c>
      <c r="AL15" t="s">
        <v>243</v>
      </c>
      <c r="AM15" t="s">
        <v>244</v>
      </c>
      <c r="AN15">
        <v>1400</v>
      </c>
      <c r="AO15">
        <v>0</v>
      </c>
      <c r="AP15">
        <v>60</v>
      </c>
      <c r="AQ15">
        <v>110</v>
      </c>
      <c r="AR15">
        <v>200</v>
      </c>
      <c r="AS15">
        <v>3</v>
      </c>
      <c r="AT15">
        <v>23</v>
      </c>
      <c r="AU15">
        <v>0</v>
      </c>
      <c r="AV15">
        <v>10</v>
      </c>
      <c r="AW15">
        <v>25</v>
      </c>
      <c r="AX15">
        <v>0</v>
      </c>
      <c r="AY15">
        <v>3</v>
      </c>
      <c r="AZ15">
        <v>1.5</v>
      </c>
      <c r="BA15">
        <v>1</v>
      </c>
      <c r="BB15">
        <v>1440</v>
      </c>
      <c r="BC15">
        <v>0</v>
      </c>
      <c r="BD15">
        <v>0</v>
      </c>
      <c r="BE15">
        <v>14</v>
      </c>
      <c r="BF15">
        <v>25</v>
      </c>
      <c r="BG15">
        <v>3</v>
      </c>
      <c r="BH15">
        <v>8</v>
      </c>
      <c r="BI15">
        <v>3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0</v>
      </c>
      <c r="BQ15">
        <v>60</v>
      </c>
      <c r="BR15">
        <v>0</v>
      </c>
      <c r="BS15">
        <v>3</v>
      </c>
      <c r="BT15" t="s">
        <v>291</v>
      </c>
      <c r="BV15" t="s">
        <v>288</v>
      </c>
      <c r="BW15" t="s">
        <v>292</v>
      </c>
      <c r="BX15" t="s">
        <v>297</v>
      </c>
      <c r="BY15" t="b">
        <v>0</v>
      </c>
      <c r="BZ15" t="s">
        <v>293</v>
      </c>
    </row>
    <row r="16" spans="1:78">
      <c r="A16" t="s">
        <v>288</v>
      </c>
      <c r="B16" t="s">
        <v>289</v>
      </c>
      <c r="C16">
        <v>715</v>
      </c>
      <c r="D16" t="s">
        <v>290</v>
      </c>
      <c r="E16" t="s">
        <v>290</v>
      </c>
      <c r="F16">
        <v>5</v>
      </c>
      <c r="G16" s="13">
        <v>46266.416666666664</v>
      </c>
      <c r="H16" s="13">
        <v>46302.75</v>
      </c>
      <c r="I16">
        <v>300</v>
      </c>
      <c r="J16" t="s">
        <v>242</v>
      </c>
      <c r="K16">
        <v>1</v>
      </c>
      <c r="L16">
        <v>0.1</v>
      </c>
      <c r="M16">
        <v>0.1</v>
      </c>
      <c r="N16">
        <v>1</v>
      </c>
      <c r="O16">
        <v>0.1</v>
      </c>
      <c r="P16">
        <v>3.5</v>
      </c>
      <c r="Q16">
        <v>8</v>
      </c>
      <c r="R16">
        <v>8</v>
      </c>
      <c r="S16" t="s">
        <v>245</v>
      </c>
      <c r="T16" t="s">
        <v>246</v>
      </c>
      <c r="U16">
        <v>20</v>
      </c>
      <c r="V16">
        <v>1500</v>
      </c>
      <c r="W16">
        <v>1400</v>
      </c>
      <c r="X16">
        <v>1400</v>
      </c>
      <c r="Y16">
        <v>0</v>
      </c>
      <c r="Z16">
        <v>0</v>
      </c>
      <c r="AA16">
        <v>80</v>
      </c>
      <c r="AB16">
        <v>15</v>
      </c>
      <c r="AC16">
        <v>1500</v>
      </c>
      <c r="AD16">
        <v>0</v>
      </c>
      <c r="AE16">
        <v>0</v>
      </c>
      <c r="AF16">
        <v>1503.5</v>
      </c>
      <c r="AG16">
        <v>1503.5</v>
      </c>
      <c r="AH16" s="14">
        <v>46302</v>
      </c>
      <c r="AI16" t="s">
        <v>296</v>
      </c>
      <c r="AJ16" s="13">
        <v>46266.416666666664</v>
      </c>
      <c r="AK16">
        <v>1500</v>
      </c>
      <c r="AL16" t="s">
        <v>243</v>
      </c>
      <c r="AM16" t="s">
        <v>244</v>
      </c>
      <c r="AN16">
        <v>1400</v>
      </c>
      <c r="AO16">
        <v>0</v>
      </c>
      <c r="AP16">
        <v>60</v>
      </c>
      <c r="AQ16">
        <v>110</v>
      </c>
      <c r="AR16">
        <v>200</v>
      </c>
      <c r="AS16">
        <v>3</v>
      </c>
      <c r="AT16">
        <v>23</v>
      </c>
      <c r="AU16">
        <v>0</v>
      </c>
      <c r="AV16">
        <v>10</v>
      </c>
      <c r="AW16">
        <v>25</v>
      </c>
      <c r="AX16">
        <v>0</v>
      </c>
      <c r="AY16">
        <v>3</v>
      </c>
      <c r="AZ16">
        <v>1.5</v>
      </c>
      <c r="BA16">
        <v>1</v>
      </c>
      <c r="BB16">
        <v>1440</v>
      </c>
      <c r="BC16">
        <v>0</v>
      </c>
      <c r="BD16">
        <v>0</v>
      </c>
      <c r="BE16">
        <v>14</v>
      </c>
      <c r="BF16">
        <v>25</v>
      </c>
      <c r="BG16">
        <v>3</v>
      </c>
      <c r="BH16">
        <v>8</v>
      </c>
      <c r="BI16">
        <v>3</v>
      </c>
      <c r="BJ16">
        <v>0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0</v>
      </c>
      <c r="BQ16">
        <v>60</v>
      </c>
      <c r="BR16">
        <v>0</v>
      </c>
      <c r="BS16">
        <v>3</v>
      </c>
      <c r="BT16" t="s">
        <v>291</v>
      </c>
      <c r="BV16" t="s">
        <v>288</v>
      </c>
      <c r="BW16" t="s">
        <v>292</v>
      </c>
      <c r="BX16" t="s">
        <v>297</v>
      </c>
      <c r="BY16" t="b">
        <v>0</v>
      </c>
      <c r="BZ16" t="s">
        <v>293</v>
      </c>
    </row>
    <row r="17" spans="1:78">
      <c r="A17" t="s">
        <v>288</v>
      </c>
      <c r="B17" t="s">
        <v>289</v>
      </c>
      <c r="C17">
        <v>716</v>
      </c>
      <c r="D17" t="s">
        <v>290</v>
      </c>
      <c r="E17" t="s">
        <v>290</v>
      </c>
      <c r="F17">
        <v>5</v>
      </c>
      <c r="G17" s="13">
        <v>46266.416666666664</v>
      </c>
      <c r="H17" s="13">
        <v>46302.75</v>
      </c>
      <c r="I17">
        <v>300</v>
      </c>
      <c r="J17" t="s">
        <v>242</v>
      </c>
      <c r="K17">
        <v>1</v>
      </c>
      <c r="L17">
        <v>0.1</v>
      </c>
      <c r="M17">
        <v>0.1</v>
      </c>
      <c r="N17">
        <v>1</v>
      </c>
      <c r="O17">
        <v>0.1</v>
      </c>
      <c r="P17">
        <v>3</v>
      </c>
      <c r="Q17">
        <v>8</v>
      </c>
      <c r="R17">
        <v>8</v>
      </c>
      <c r="S17" t="s">
        <v>245</v>
      </c>
      <c r="T17" t="s">
        <v>246</v>
      </c>
      <c r="U17">
        <v>20</v>
      </c>
      <c r="V17">
        <v>1500</v>
      </c>
      <c r="W17">
        <v>1400</v>
      </c>
      <c r="X17">
        <v>1400</v>
      </c>
      <c r="Y17">
        <v>0</v>
      </c>
      <c r="Z17">
        <v>0</v>
      </c>
      <c r="AA17">
        <v>80</v>
      </c>
      <c r="AB17">
        <v>15</v>
      </c>
      <c r="AC17">
        <v>1500</v>
      </c>
      <c r="AD17">
        <v>0</v>
      </c>
      <c r="AE17">
        <v>0</v>
      </c>
      <c r="AF17">
        <v>1503.5</v>
      </c>
      <c r="AG17">
        <v>1503.5</v>
      </c>
      <c r="AH17" s="14">
        <v>46302</v>
      </c>
      <c r="AI17" t="s">
        <v>296</v>
      </c>
      <c r="AJ17" s="13">
        <v>46266.416666666664</v>
      </c>
      <c r="AK17">
        <v>1500</v>
      </c>
      <c r="AL17" t="s">
        <v>243</v>
      </c>
      <c r="AM17" t="s">
        <v>244</v>
      </c>
      <c r="AN17">
        <v>1400</v>
      </c>
      <c r="AO17">
        <v>0</v>
      </c>
      <c r="AP17">
        <v>60</v>
      </c>
      <c r="AQ17">
        <v>110</v>
      </c>
      <c r="AR17">
        <v>200</v>
      </c>
      <c r="AS17">
        <v>3</v>
      </c>
      <c r="AT17">
        <v>23</v>
      </c>
      <c r="AU17">
        <v>0</v>
      </c>
      <c r="AV17">
        <v>10</v>
      </c>
      <c r="AW17">
        <v>25</v>
      </c>
      <c r="AX17">
        <v>0</v>
      </c>
      <c r="AY17">
        <v>3</v>
      </c>
      <c r="AZ17">
        <v>1.5</v>
      </c>
      <c r="BA17">
        <v>1</v>
      </c>
      <c r="BB17">
        <v>1440</v>
      </c>
      <c r="BC17">
        <v>0</v>
      </c>
      <c r="BD17">
        <v>0</v>
      </c>
      <c r="BE17">
        <v>14</v>
      </c>
      <c r="BF17">
        <v>25</v>
      </c>
      <c r="BG17">
        <v>3</v>
      </c>
      <c r="BH17">
        <v>8</v>
      </c>
      <c r="BI17">
        <v>3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0</v>
      </c>
      <c r="BQ17">
        <v>60</v>
      </c>
      <c r="BR17">
        <v>0</v>
      </c>
      <c r="BS17">
        <v>3</v>
      </c>
      <c r="BT17" t="s">
        <v>291</v>
      </c>
      <c r="BV17" t="s">
        <v>288</v>
      </c>
      <c r="BW17" t="s">
        <v>292</v>
      </c>
      <c r="BX17" t="s">
        <v>297</v>
      </c>
      <c r="BY17" t="b">
        <v>0</v>
      </c>
      <c r="BZ17" t="s">
        <v>293</v>
      </c>
    </row>
    <row r="18" spans="1:78">
      <c r="A18" t="s">
        <v>288</v>
      </c>
      <c r="B18" t="s">
        <v>289</v>
      </c>
      <c r="C18">
        <v>717</v>
      </c>
      <c r="D18" t="s">
        <v>290</v>
      </c>
      <c r="E18" t="s">
        <v>290</v>
      </c>
      <c r="F18">
        <v>5</v>
      </c>
      <c r="G18" s="13">
        <v>46266.416666666664</v>
      </c>
      <c r="H18" s="13">
        <v>46302.75</v>
      </c>
      <c r="I18">
        <v>300</v>
      </c>
      <c r="J18" t="s">
        <v>242</v>
      </c>
      <c r="K18">
        <v>1</v>
      </c>
      <c r="L18">
        <v>0.1</v>
      </c>
      <c r="M18">
        <v>0.1</v>
      </c>
      <c r="N18">
        <v>1</v>
      </c>
      <c r="O18">
        <v>0.1</v>
      </c>
      <c r="P18">
        <v>2.5</v>
      </c>
      <c r="Q18">
        <v>8</v>
      </c>
      <c r="R18">
        <v>8</v>
      </c>
      <c r="S18" t="s">
        <v>245</v>
      </c>
      <c r="T18" t="s">
        <v>246</v>
      </c>
      <c r="U18">
        <v>20</v>
      </c>
      <c r="V18">
        <v>1500</v>
      </c>
      <c r="W18">
        <v>1400</v>
      </c>
      <c r="X18">
        <v>1400</v>
      </c>
      <c r="Y18">
        <v>0</v>
      </c>
      <c r="Z18">
        <v>0</v>
      </c>
      <c r="AA18">
        <v>80</v>
      </c>
      <c r="AB18">
        <v>15</v>
      </c>
      <c r="AC18">
        <v>1500</v>
      </c>
      <c r="AD18">
        <v>0</v>
      </c>
      <c r="AE18">
        <v>0</v>
      </c>
      <c r="AF18">
        <v>1503.5</v>
      </c>
      <c r="AG18">
        <v>1503.5</v>
      </c>
      <c r="AH18" s="14">
        <v>46302</v>
      </c>
      <c r="AI18" t="s">
        <v>296</v>
      </c>
      <c r="AJ18" s="13">
        <v>46266.416666666664</v>
      </c>
      <c r="AK18">
        <v>1500</v>
      </c>
      <c r="AL18" t="s">
        <v>243</v>
      </c>
      <c r="AM18" t="s">
        <v>244</v>
      </c>
      <c r="AN18">
        <v>1400</v>
      </c>
      <c r="AO18">
        <v>0</v>
      </c>
      <c r="AP18">
        <v>60</v>
      </c>
      <c r="AQ18">
        <v>110</v>
      </c>
      <c r="AR18">
        <v>200</v>
      </c>
      <c r="AS18">
        <v>3</v>
      </c>
      <c r="AT18">
        <v>23</v>
      </c>
      <c r="AU18">
        <v>0</v>
      </c>
      <c r="AV18">
        <v>10</v>
      </c>
      <c r="AW18">
        <v>25</v>
      </c>
      <c r="AX18">
        <v>0</v>
      </c>
      <c r="AY18">
        <v>3</v>
      </c>
      <c r="AZ18">
        <v>1.5</v>
      </c>
      <c r="BA18">
        <v>1</v>
      </c>
      <c r="BB18">
        <v>1440</v>
      </c>
      <c r="BC18">
        <v>0</v>
      </c>
      <c r="BD18">
        <v>0</v>
      </c>
      <c r="BE18">
        <v>14</v>
      </c>
      <c r="BF18">
        <v>25</v>
      </c>
      <c r="BG18">
        <v>3</v>
      </c>
      <c r="BH18">
        <v>8</v>
      </c>
      <c r="BI18">
        <v>3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0</v>
      </c>
      <c r="BQ18">
        <v>60</v>
      </c>
      <c r="BR18">
        <v>0</v>
      </c>
      <c r="BS18">
        <v>3</v>
      </c>
      <c r="BT18" t="s">
        <v>291</v>
      </c>
      <c r="BV18" t="s">
        <v>288</v>
      </c>
      <c r="BW18" t="s">
        <v>292</v>
      </c>
      <c r="BX18" t="s">
        <v>297</v>
      </c>
      <c r="BY18" t="b">
        <v>0</v>
      </c>
      <c r="BZ18" t="s">
        <v>293</v>
      </c>
    </row>
    <row r="19" spans="1:78">
      <c r="A19" t="s">
        <v>288</v>
      </c>
      <c r="B19" t="s">
        <v>289</v>
      </c>
      <c r="C19">
        <v>718</v>
      </c>
      <c r="D19" t="s">
        <v>290</v>
      </c>
      <c r="E19" t="s">
        <v>290</v>
      </c>
      <c r="F19">
        <v>5</v>
      </c>
      <c r="G19" s="13">
        <v>46266.416666666664</v>
      </c>
      <c r="H19" s="13">
        <v>46302.75</v>
      </c>
      <c r="I19">
        <v>300</v>
      </c>
      <c r="J19" t="s">
        <v>242</v>
      </c>
      <c r="K19">
        <v>1</v>
      </c>
      <c r="L19">
        <v>0.1</v>
      </c>
      <c r="M19">
        <v>0.1</v>
      </c>
      <c r="N19">
        <v>1</v>
      </c>
      <c r="O19">
        <v>0.1</v>
      </c>
      <c r="P19">
        <v>2</v>
      </c>
      <c r="Q19">
        <v>8</v>
      </c>
      <c r="R19">
        <v>8</v>
      </c>
      <c r="S19" t="s">
        <v>245</v>
      </c>
      <c r="T19" t="s">
        <v>246</v>
      </c>
      <c r="U19">
        <v>20</v>
      </c>
      <c r="V19">
        <v>1500</v>
      </c>
      <c r="W19">
        <v>1400</v>
      </c>
      <c r="X19">
        <v>1400</v>
      </c>
      <c r="Y19">
        <v>0</v>
      </c>
      <c r="Z19">
        <v>0</v>
      </c>
      <c r="AA19">
        <v>80</v>
      </c>
      <c r="AB19">
        <v>15</v>
      </c>
      <c r="AC19">
        <v>1500</v>
      </c>
      <c r="AD19">
        <v>0</v>
      </c>
      <c r="AE19">
        <v>0</v>
      </c>
      <c r="AF19">
        <v>1503.5</v>
      </c>
      <c r="AG19">
        <v>1503.5</v>
      </c>
      <c r="AH19" s="14">
        <v>46302</v>
      </c>
      <c r="AI19" t="s">
        <v>296</v>
      </c>
      <c r="AJ19" s="13">
        <v>46266.416666666664</v>
      </c>
      <c r="AK19">
        <v>1500</v>
      </c>
      <c r="AL19" t="s">
        <v>243</v>
      </c>
      <c r="AM19" t="s">
        <v>244</v>
      </c>
      <c r="AN19">
        <v>1400</v>
      </c>
      <c r="AO19">
        <v>0</v>
      </c>
      <c r="AP19">
        <v>60</v>
      </c>
      <c r="AQ19">
        <v>110</v>
      </c>
      <c r="AR19">
        <v>200</v>
      </c>
      <c r="AS19">
        <v>3</v>
      </c>
      <c r="AT19">
        <v>23</v>
      </c>
      <c r="AU19">
        <v>0</v>
      </c>
      <c r="AV19">
        <v>10</v>
      </c>
      <c r="AW19">
        <v>25</v>
      </c>
      <c r="AX19">
        <v>0</v>
      </c>
      <c r="AY19">
        <v>3</v>
      </c>
      <c r="AZ19">
        <v>1.5</v>
      </c>
      <c r="BA19">
        <v>1</v>
      </c>
      <c r="BB19">
        <v>1440</v>
      </c>
      <c r="BC19">
        <v>0</v>
      </c>
      <c r="BD19">
        <v>0</v>
      </c>
      <c r="BE19">
        <v>14</v>
      </c>
      <c r="BF19">
        <v>25</v>
      </c>
      <c r="BG19">
        <v>3</v>
      </c>
      <c r="BH19">
        <v>8</v>
      </c>
      <c r="BI19">
        <v>3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0</v>
      </c>
      <c r="BQ19">
        <v>60</v>
      </c>
      <c r="BR19">
        <v>0</v>
      </c>
      <c r="BS19">
        <v>3</v>
      </c>
      <c r="BT19" t="s">
        <v>291</v>
      </c>
      <c r="BV19" t="s">
        <v>288</v>
      </c>
      <c r="BW19" t="s">
        <v>292</v>
      </c>
      <c r="BX19" t="s">
        <v>297</v>
      </c>
      <c r="BY19" t="b">
        <v>0</v>
      </c>
      <c r="BZ19" t="s">
        <v>293</v>
      </c>
    </row>
    <row r="20" spans="1:78">
      <c r="A20" t="s">
        <v>288</v>
      </c>
      <c r="B20" t="s">
        <v>289</v>
      </c>
      <c r="C20">
        <v>719</v>
      </c>
      <c r="D20" t="s">
        <v>290</v>
      </c>
      <c r="E20" t="s">
        <v>290</v>
      </c>
      <c r="F20">
        <v>5</v>
      </c>
      <c r="G20" s="13">
        <v>46266.416666666664</v>
      </c>
      <c r="H20" s="13">
        <v>46302.75</v>
      </c>
      <c r="I20">
        <v>300</v>
      </c>
      <c r="J20" t="s">
        <v>242</v>
      </c>
      <c r="K20">
        <v>1</v>
      </c>
      <c r="L20">
        <v>0.1</v>
      </c>
      <c r="M20">
        <v>0.1</v>
      </c>
      <c r="N20">
        <v>1</v>
      </c>
      <c r="O20">
        <v>0.1</v>
      </c>
      <c r="P20">
        <v>1.5</v>
      </c>
      <c r="Q20">
        <v>8</v>
      </c>
      <c r="R20">
        <v>8</v>
      </c>
      <c r="S20" t="s">
        <v>245</v>
      </c>
      <c r="T20" t="s">
        <v>246</v>
      </c>
      <c r="U20">
        <v>20</v>
      </c>
      <c r="V20">
        <v>1500</v>
      </c>
      <c r="W20">
        <v>1400</v>
      </c>
      <c r="X20">
        <v>1400</v>
      </c>
      <c r="Y20">
        <v>0</v>
      </c>
      <c r="Z20">
        <v>0</v>
      </c>
      <c r="AA20">
        <v>80</v>
      </c>
      <c r="AB20">
        <v>15</v>
      </c>
      <c r="AC20">
        <v>1500</v>
      </c>
      <c r="AD20">
        <v>0</v>
      </c>
      <c r="AE20">
        <v>0</v>
      </c>
      <c r="AF20">
        <v>1503.5</v>
      </c>
      <c r="AG20">
        <v>1503.5</v>
      </c>
      <c r="AH20" s="14">
        <v>46302</v>
      </c>
      <c r="AI20" t="s">
        <v>296</v>
      </c>
      <c r="AJ20" s="13">
        <v>46266.416666666664</v>
      </c>
      <c r="AK20">
        <v>1500</v>
      </c>
      <c r="AL20" t="s">
        <v>243</v>
      </c>
      <c r="AM20" t="s">
        <v>244</v>
      </c>
      <c r="AN20">
        <v>1400</v>
      </c>
      <c r="AO20">
        <v>0</v>
      </c>
      <c r="AP20">
        <v>60</v>
      </c>
      <c r="AQ20">
        <v>110</v>
      </c>
      <c r="AR20">
        <v>200</v>
      </c>
      <c r="AS20">
        <v>3</v>
      </c>
      <c r="AT20">
        <v>23</v>
      </c>
      <c r="AU20">
        <v>0</v>
      </c>
      <c r="AV20">
        <v>10</v>
      </c>
      <c r="AW20">
        <v>25</v>
      </c>
      <c r="AX20">
        <v>0</v>
      </c>
      <c r="AY20">
        <v>3</v>
      </c>
      <c r="AZ20">
        <v>1.5</v>
      </c>
      <c r="BA20">
        <v>1</v>
      </c>
      <c r="BB20">
        <v>1440</v>
      </c>
      <c r="BC20">
        <v>0</v>
      </c>
      <c r="BD20">
        <v>0</v>
      </c>
      <c r="BE20">
        <v>14</v>
      </c>
      <c r="BF20">
        <v>25</v>
      </c>
      <c r="BG20">
        <v>3</v>
      </c>
      <c r="BH20">
        <v>8</v>
      </c>
      <c r="BI20">
        <v>3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0</v>
      </c>
      <c r="BQ20">
        <v>60</v>
      </c>
      <c r="BR20">
        <v>0</v>
      </c>
      <c r="BS20">
        <v>3</v>
      </c>
      <c r="BT20" t="s">
        <v>291</v>
      </c>
      <c r="BV20" t="s">
        <v>288</v>
      </c>
      <c r="BW20" t="s">
        <v>292</v>
      </c>
      <c r="BX20" t="s">
        <v>297</v>
      </c>
      <c r="BY20" t="b">
        <v>0</v>
      </c>
      <c r="BZ20" t="s">
        <v>293</v>
      </c>
    </row>
    <row r="21" spans="1:78">
      <c r="A21" t="s">
        <v>288</v>
      </c>
      <c r="B21" t="s">
        <v>289</v>
      </c>
      <c r="C21">
        <v>720</v>
      </c>
      <c r="D21" t="s">
        <v>290</v>
      </c>
      <c r="E21" t="s">
        <v>290</v>
      </c>
      <c r="F21">
        <v>5</v>
      </c>
      <c r="G21" s="13">
        <v>46266.416666666664</v>
      </c>
      <c r="H21" s="13">
        <v>46302.75</v>
      </c>
      <c r="I21">
        <v>300</v>
      </c>
      <c r="J21" t="s">
        <v>242</v>
      </c>
      <c r="K21">
        <v>1</v>
      </c>
      <c r="L21">
        <v>0.1</v>
      </c>
      <c r="M21">
        <v>0.1</v>
      </c>
      <c r="N21">
        <v>1</v>
      </c>
      <c r="O21">
        <v>0.1</v>
      </c>
      <c r="P21">
        <v>1</v>
      </c>
      <c r="Q21">
        <v>8</v>
      </c>
      <c r="R21">
        <v>8</v>
      </c>
      <c r="S21" t="s">
        <v>245</v>
      </c>
      <c r="T21" t="s">
        <v>246</v>
      </c>
      <c r="U21">
        <v>20</v>
      </c>
      <c r="V21">
        <v>1500</v>
      </c>
      <c r="W21">
        <v>1400</v>
      </c>
      <c r="X21">
        <v>1400</v>
      </c>
      <c r="Y21">
        <v>0</v>
      </c>
      <c r="Z21">
        <v>0</v>
      </c>
      <c r="AA21">
        <v>80</v>
      </c>
      <c r="AB21">
        <v>15</v>
      </c>
      <c r="AC21">
        <v>1500</v>
      </c>
      <c r="AD21">
        <v>0</v>
      </c>
      <c r="AE21">
        <v>0</v>
      </c>
      <c r="AF21">
        <v>1503.5</v>
      </c>
      <c r="AG21">
        <v>1503.5</v>
      </c>
      <c r="AH21" s="14">
        <v>46302</v>
      </c>
      <c r="AI21" t="s">
        <v>296</v>
      </c>
      <c r="AJ21" s="13">
        <v>46266.416666666664</v>
      </c>
      <c r="AK21">
        <v>1500</v>
      </c>
      <c r="AL21" t="s">
        <v>243</v>
      </c>
      <c r="AM21" t="s">
        <v>244</v>
      </c>
      <c r="AN21">
        <v>1400</v>
      </c>
      <c r="AO21">
        <v>0</v>
      </c>
      <c r="AP21">
        <v>60</v>
      </c>
      <c r="AQ21">
        <v>110</v>
      </c>
      <c r="AR21">
        <v>200</v>
      </c>
      <c r="AS21">
        <v>3</v>
      </c>
      <c r="AT21">
        <v>23</v>
      </c>
      <c r="AU21">
        <v>0</v>
      </c>
      <c r="AV21">
        <v>10</v>
      </c>
      <c r="AW21">
        <v>25</v>
      </c>
      <c r="AX21">
        <v>0</v>
      </c>
      <c r="AY21">
        <v>3</v>
      </c>
      <c r="AZ21">
        <v>1.5</v>
      </c>
      <c r="BA21">
        <v>1</v>
      </c>
      <c r="BB21">
        <v>1440</v>
      </c>
      <c r="BC21">
        <v>0</v>
      </c>
      <c r="BD21">
        <v>0</v>
      </c>
      <c r="BE21">
        <v>14</v>
      </c>
      <c r="BF21">
        <v>25</v>
      </c>
      <c r="BG21">
        <v>3</v>
      </c>
      <c r="BH21">
        <v>8</v>
      </c>
      <c r="BI21">
        <v>3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0</v>
      </c>
      <c r="BQ21">
        <v>60</v>
      </c>
      <c r="BR21">
        <v>0</v>
      </c>
      <c r="BS21">
        <v>3</v>
      </c>
      <c r="BT21" t="s">
        <v>291</v>
      </c>
      <c r="BV21" t="s">
        <v>288</v>
      </c>
      <c r="BW21" t="s">
        <v>292</v>
      </c>
      <c r="BX21" t="s">
        <v>297</v>
      </c>
      <c r="BY21" t="b">
        <v>0</v>
      </c>
      <c r="BZ21" t="s">
        <v>293</v>
      </c>
    </row>
    <row r="22" spans="1:78">
      <c r="A22" t="s">
        <v>288</v>
      </c>
      <c r="B22" t="s">
        <v>289</v>
      </c>
      <c r="C22">
        <v>721</v>
      </c>
      <c r="D22" t="s">
        <v>290</v>
      </c>
      <c r="E22" t="s">
        <v>290</v>
      </c>
      <c r="F22">
        <v>5</v>
      </c>
      <c r="G22" s="13">
        <v>46266.416666666664</v>
      </c>
      <c r="H22" s="13">
        <v>46302.75</v>
      </c>
      <c r="I22">
        <v>300</v>
      </c>
      <c r="J22" t="s">
        <v>242</v>
      </c>
      <c r="K22">
        <v>1</v>
      </c>
      <c r="L22">
        <v>0.1</v>
      </c>
      <c r="M22">
        <v>0.1</v>
      </c>
      <c r="N22">
        <v>1</v>
      </c>
      <c r="O22">
        <v>0.1</v>
      </c>
      <c r="P22">
        <v>0.8</v>
      </c>
      <c r="Q22">
        <v>8</v>
      </c>
      <c r="R22">
        <v>8</v>
      </c>
      <c r="S22" t="s">
        <v>245</v>
      </c>
      <c r="T22" t="s">
        <v>246</v>
      </c>
      <c r="U22">
        <v>20</v>
      </c>
      <c r="V22">
        <v>1500</v>
      </c>
      <c r="W22">
        <v>1400</v>
      </c>
      <c r="X22">
        <v>1400</v>
      </c>
      <c r="Y22">
        <v>0</v>
      </c>
      <c r="Z22">
        <v>0</v>
      </c>
      <c r="AA22">
        <v>80</v>
      </c>
      <c r="AB22">
        <v>15</v>
      </c>
      <c r="AC22">
        <v>1500</v>
      </c>
      <c r="AD22">
        <v>0</v>
      </c>
      <c r="AE22">
        <v>0</v>
      </c>
      <c r="AF22">
        <v>1503.5</v>
      </c>
      <c r="AG22">
        <v>1503.5</v>
      </c>
      <c r="AH22" s="14">
        <v>46302</v>
      </c>
      <c r="AI22" t="s">
        <v>296</v>
      </c>
      <c r="AJ22" s="13">
        <v>46266.416666666664</v>
      </c>
      <c r="AK22">
        <v>1500</v>
      </c>
      <c r="AL22" t="s">
        <v>243</v>
      </c>
      <c r="AM22" t="s">
        <v>244</v>
      </c>
      <c r="AN22">
        <v>1400</v>
      </c>
      <c r="AO22">
        <v>0</v>
      </c>
      <c r="AP22">
        <v>60</v>
      </c>
      <c r="AQ22">
        <v>110</v>
      </c>
      <c r="AR22">
        <v>200</v>
      </c>
      <c r="AS22">
        <v>3</v>
      </c>
      <c r="AT22">
        <v>23</v>
      </c>
      <c r="AU22">
        <v>0</v>
      </c>
      <c r="AV22">
        <v>10</v>
      </c>
      <c r="AW22">
        <v>25</v>
      </c>
      <c r="AX22">
        <v>0</v>
      </c>
      <c r="AY22">
        <v>3</v>
      </c>
      <c r="AZ22">
        <v>1.5</v>
      </c>
      <c r="BA22">
        <v>1</v>
      </c>
      <c r="BB22">
        <v>1440</v>
      </c>
      <c r="BC22">
        <v>0</v>
      </c>
      <c r="BD22">
        <v>0</v>
      </c>
      <c r="BE22">
        <v>14</v>
      </c>
      <c r="BF22">
        <v>25</v>
      </c>
      <c r="BG22">
        <v>3</v>
      </c>
      <c r="BH22">
        <v>8</v>
      </c>
      <c r="BI22">
        <v>3</v>
      </c>
      <c r="BJ22">
        <v>0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60</v>
      </c>
      <c r="BR22">
        <v>0</v>
      </c>
      <c r="BS22">
        <v>3</v>
      </c>
      <c r="BT22" t="s">
        <v>291</v>
      </c>
      <c r="BV22" t="s">
        <v>288</v>
      </c>
      <c r="BW22" t="s">
        <v>292</v>
      </c>
      <c r="BX22" t="s">
        <v>297</v>
      </c>
      <c r="BY22" t="b">
        <v>0</v>
      </c>
      <c r="BZ22" t="s">
        <v>293</v>
      </c>
    </row>
    <row r="23" spans="1:78">
      <c r="A23" t="s">
        <v>288</v>
      </c>
      <c r="B23" t="s">
        <v>289</v>
      </c>
      <c r="C23">
        <v>722</v>
      </c>
      <c r="D23" t="s">
        <v>290</v>
      </c>
      <c r="E23" t="s">
        <v>290</v>
      </c>
      <c r="F23">
        <v>5</v>
      </c>
      <c r="G23" s="13">
        <v>46266.416666666664</v>
      </c>
      <c r="H23" s="13">
        <v>46302.75</v>
      </c>
      <c r="I23">
        <v>300</v>
      </c>
      <c r="J23" t="s">
        <v>242</v>
      </c>
      <c r="K23">
        <v>1</v>
      </c>
      <c r="L23">
        <v>0.1</v>
      </c>
      <c r="M23">
        <v>0.1</v>
      </c>
      <c r="N23">
        <v>1</v>
      </c>
      <c r="O23">
        <v>0.1</v>
      </c>
      <c r="P23">
        <v>0.5</v>
      </c>
      <c r="Q23">
        <v>8</v>
      </c>
      <c r="R23">
        <v>8</v>
      </c>
      <c r="S23" t="s">
        <v>245</v>
      </c>
      <c r="T23" t="s">
        <v>246</v>
      </c>
      <c r="U23">
        <v>20</v>
      </c>
      <c r="V23">
        <v>1500</v>
      </c>
      <c r="W23">
        <v>1400</v>
      </c>
      <c r="X23">
        <v>1400</v>
      </c>
      <c r="Y23">
        <v>0</v>
      </c>
      <c r="Z23">
        <v>0</v>
      </c>
      <c r="AA23">
        <v>80</v>
      </c>
      <c r="AB23">
        <v>15</v>
      </c>
      <c r="AC23">
        <v>1500</v>
      </c>
      <c r="AD23">
        <v>0</v>
      </c>
      <c r="AE23">
        <v>0</v>
      </c>
      <c r="AF23">
        <v>1503.5</v>
      </c>
      <c r="AG23">
        <v>1503.5</v>
      </c>
      <c r="AH23" s="14">
        <v>46302</v>
      </c>
      <c r="AI23" t="s">
        <v>296</v>
      </c>
      <c r="AJ23" s="13">
        <v>46266.416666666664</v>
      </c>
      <c r="AK23">
        <v>1500</v>
      </c>
      <c r="AL23" t="s">
        <v>243</v>
      </c>
      <c r="AM23" t="s">
        <v>244</v>
      </c>
      <c r="AN23">
        <v>1400</v>
      </c>
      <c r="AO23">
        <v>0</v>
      </c>
      <c r="AP23">
        <v>60</v>
      </c>
      <c r="AQ23">
        <v>110</v>
      </c>
      <c r="AR23">
        <v>200</v>
      </c>
      <c r="AS23">
        <v>3</v>
      </c>
      <c r="AT23">
        <v>23</v>
      </c>
      <c r="AU23">
        <v>0</v>
      </c>
      <c r="AV23">
        <v>10</v>
      </c>
      <c r="AW23">
        <v>25</v>
      </c>
      <c r="AX23">
        <v>0</v>
      </c>
      <c r="AY23">
        <v>3</v>
      </c>
      <c r="AZ23">
        <v>1.5</v>
      </c>
      <c r="BA23">
        <v>1</v>
      </c>
      <c r="BB23">
        <v>1440</v>
      </c>
      <c r="BC23">
        <v>0</v>
      </c>
      <c r="BD23">
        <v>0</v>
      </c>
      <c r="BE23">
        <v>14</v>
      </c>
      <c r="BF23">
        <v>25</v>
      </c>
      <c r="BG23">
        <v>3</v>
      </c>
      <c r="BH23">
        <v>8</v>
      </c>
      <c r="BI23">
        <v>3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60</v>
      </c>
      <c r="BR23">
        <v>0</v>
      </c>
      <c r="BS23">
        <v>3</v>
      </c>
      <c r="BT23" t="s">
        <v>291</v>
      </c>
      <c r="BV23" t="s">
        <v>288</v>
      </c>
      <c r="BW23" t="s">
        <v>292</v>
      </c>
      <c r="BX23" t="s">
        <v>297</v>
      </c>
      <c r="BY23" t="b">
        <v>0</v>
      </c>
      <c r="BZ23" t="s">
        <v>293</v>
      </c>
    </row>
    <row r="24" spans="1:78">
      <c r="A24" t="s">
        <v>288</v>
      </c>
      <c r="B24" t="s">
        <v>289</v>
      </c>
      <c r="C24">
        <v>723</v>
      </c>
      <c r="D24" t="s">
        <v>290</v>
      </c>
      <c r="E24" t="s">
        <v>290</v>
      </c>
      <c r="F24">
        <v>5</v>
      </c>
      <c r="G24" s="13">
        <v>46266.416666666664</v>
      </c>
      <c r="H24" s="13">
        <v>46302.75</v>
      </c>
      <c r="I24">
        <v>300</v>
      </c>
      <c r="J24" t="s">
        <v>242</v>
      </c>
      <c r="K24">
        <v>1</v>
      </c>
      <c r="L24">
        <v>0.1</v>
      </c>
      <c r="M24">
        <v>0.1</v>
      </c>
      <c r="N24">
        <v>1</v>
      </c>
      <c r="O24">
        <v>0.1</v>
      </c>
      <c r="P24">
        <v>0.3</v>
      </c>
      <c r="Q24">
        <v>8</v>
      </c>
      <c r="R24">
        <v>8</v>
      </c>
      <c r="S24" t="s">
        <v>245</v>
      </c>
      <c r="T24" t="s">
        <v>246</v>
      </c>
      <c r="U24">
        <v>20</v>
      </c>
      <c r="V24">
        <v>1500</v>
      </c>
      <c r="W24">
        <v>1400</v>
      </c>
      <c r="X24">
        <v>1400</v>
      </c>
      <c r="Y24">
        <v>0</v>
      </c>
      <c r="Z24">
        <v>0</v>
      </c>
      <c r="AA24">
        <v>80</v>
      </c>
      <c r="AB24">
        <v>15</v>
      </c>
      <c r="AC24">
        <v>1500</v>
      </c>
      <c r="AD24">
        <v>0</v>
      </c>
      <c r="AE24">
        <v>0</v>
      </c>
      <c r="AF24">
        <v>1503.5</v>
      </c>
      <c r="AG24">
        <v>1503.5</v>
      </c>
      <c r="AH24" s="14">
        <v>46302</v>
      </c>
      <c r="AI24" t="s">
        <v>296</v>
      </c>
      <c r="AJ24" s="13">
        <v>46266.416666666664</v>
      </c>
      <c r="AK24">
        <v>1500</v>
      </c>
      <c r="AL24" t="s">
        <v>243</v>
      </c>
      <c r="AM24" t="s">
        <v>244</v>
      </c>
      <c r="AN24">
        <v>1400</v>
      </c>
      <c r="AO24">
        <v>0</v>
      </c>
      <c r="AP24">
        <v>60</v>
      </c>
      <c r="AQ24">
        <v>110</v>
      </c>
      <c r="AR24">
        <v>200</v>
      </c>
      <c r="AS24">
        <v>3</v>
      </c>
      <c r="AT24">
        <v>23</v>
      </c>
      <c r="AU24">
        <v>0</v>
      </c>
      <c r="AV24">
        <v>10</v>
      </c>
      <c r="AW24">
        <v>25</v>
      </c>
      <c r="AX24">
        <v>0</v>
      </c>
      <c r="AY24">
        <v>3</v>
      </c>
      <c r="AZ24">
        <v>1.5</v>
      </c>
      <c r="BA24">
        <v>1</v>
      </c>
      <c r="BB24">
        <v>1440</v>
      </c>
      <c r="BC24">
        <v>0</v>
      </c>
      <c r="BD24">
        <v>0</v>
      </c>
      <c r="BE24">
        <v>14</v>
      </c>
      <c r="BF24">
        <v>25</v>
      </c>
      <c r="BG24">
        <v>3</v>
      </c>
      <c r="BH24">
        <v>8</v>
      </c>
      <c r="BI24">
        <v>3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0</v>
      </c>
      <c r="BQ24">
        <v>60</v>
      </c>
      <c r="BR24">
        <v>0</v>
      </c>
      <c r="BS24">
        <v>3</v>
      </c>
      <c r="BT24" t="s">
        <v>291</v>
      </c>
      <c r="BV24" t="s">
        <v>288</v>
      </c>
      <c r="BW24" t="s">
        <v>292</v>
      </c>
      <c r="BX24" t="s">
        <v>297</v>
      </c>
      <c r="BY24" t="b">
        <v>0</v>
      </c>
      <c r="BZ24" t="s">
        <v>293</v>
      </c>
    </row>
    <row r="25" spans="1:78">
      <c r="A25" t="s">
        <v>288</v>
      </c>
      <c r="B25" t="s">
        <v>289</v>
      </c>
      <c r="C25">
        <v>724</v>
      </c>
      <c r="D25" t="s">
        <v>290</v>
      </c>
      <c r="E25" t="s">
        <v>290</v>
      </c>
      <c r="F25">
        <v>5</v>
      </c>
      <c r="G25" s="13">
        <v>46266.416666666664</v>
      </c>
      <c r="H25" s="13">
        <v>46302.75</v>
      </c>
      <c r="I25">
        <v>300</v>
      </c>
      <c r="J25" t="s">
        <v>242</v>
      </c>
      <c r="K25">
        <v>1</v>
      </c>
      <c r="L25">
        <v>0.1</v>
      </c>
      <c r="M25">
        <v>0.1</v>
      </c>
      <c r="N25">
        <v>1</v>
      </c>
      <c r="O25">
        <v>0.1</v>
      </c>
      <c r="P25">
        <v>0.2</v>
      </c>
      <c r="Q25">
        <v>8</v>
      </c>
      <c r="R25">
        <v>8</v>
      </c>
      <c r="S25" t="s">
        <v>245</v>
      </c>
      <c r="T25" t="s">
        <v>246</v>
      </c>
      <c r="U25">
        <v>20</v>
      </c>
      <c r="V25">
        <v>1500</v>
      </c>
      <c r="W25">
        <v>1400</v>
      </c>
      <c r="X25">
        <v>1400</v>
      </c>
      <c r="Y25">
        <v>0</v>
      </c>
      <c r="Z25">
        <v>0</v>
      </c>
      <c r="AA25">
        <v>80</v>
      </c>
      <c r="AB25">
        <v>15</v>
      </c>
      <c r="AC25">
        <v>1500</v>
      </c>
      <c r="AD25">
        <v>0</v>
      </c>
      <c r="AE25">
        <v>0</v>
      </c>
      <c r="AF25">
        <v>1503.5</v>
      </c>
      <c r="AG25">
        <v>1503.5</v>
      </c>
      <c r="AH25" s="14">
        <v>46302</v>
      </c>
      <c r="AI25" t="s">
        <v>296</v>
      </c>
      <c r="AJ25" s="13">
        <v>46266.416666666664</v>
      </c>
      <c r="AK25">
        <v>1500</v>
      </c>
      <c r="AL25" t="s">
        <v>243</v>
      </c>
      <c r="AM25" t="s">
        <v>244</v>
      </c>
      <c r="AN25">
        <v>1400</v>
      </c>
      <c r="AO25">
        <v>0</v>
      </c>
      <c r="AP25">
        <v>60</v>
      </c>
      <c r="AQ25">
        <v>110</v>
      </c>
      <c r="AR25">
        <v>200</v>
      </c>
      <c r="AS25">
        <v>3</v>
      </c>
      <c r="AT25">
        <v>23</v>
      </c>
      <c r="AU25">
        <v>0</v>
      </c>
      <c r="AV25">
        <v>10</v>
      </c>
      <c r="AW25">
        <v>25</v>
      </c>
      <c r="AX25">
        <v>0</v>
      </c>
      <c r="AY25">
        <v>3</v>
      </c>
      <c r="AZ25">
        <v>1.5</v>
      </c>
      <c r="BA25">
        <v>1</v>
      </c>
      <c r="BB25">
        <v>1440</v>
      </c>
      <c r="BC25">
        <v>0</v>
      </c>
      <c r="BD25">
        <v>0</v>
      </c>
      <c r="BE25">
        <v>14</v>
      </c>
      <c r="BF25">
        <v>25</v>
      </c>
      <c r="BG25">
        <v>3</v>
      </c>
      <c r="BH25">
        <v>8</v>
      </c>
      <c r="BI25">
        <v>3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60</v>
      </c>
      <c r="BR25">
        <v>0</v>
      </c>
      <c r="BS25">
        <v>3</v>
      </c>
      <c r="BT25" t="s">
        <v>291</v>
      </c>
      <c r="BV25" t="s">
        <v>288</v>
      </c>
      <c r="BW25" t="s">
        <v>292</v>
      </c>
      <c r="BX25" t="s">
        <v>297</v>
      </c>
      <c r="BY25" t="b">
        <v>0</v>
      </c>
      <c r="BZ25" t="s">
        <v>293</v>
      </c>
    </row>
    <row r="26" spans="1:78">
      <c r="A26" t="s">
        <v>288</v>
      </c>
      <c r="B26" t="s">
        <v>289</v>
      </c>
      <c r="C26">
        <v>725</v>
      </c>
      <c r="D26" t="s">
        <v>290</v>
      </c>
      <c r="E26" t="s">
        <v>290</v>
      </c>
      <c r="F26">
        <v>5</v>
      </c>
      <c r="G26" s="13">
        <v>46266.416666666664</v>
      </c>
      <c r="H26" s="13">
        <v>46302.75</v>
      </c>
      <c r="I26">
        <v>300</v>
      </c>
      <c r="J26" t="s">
        <v>242</v>
      </c>
      <c r="K26">
        <v>1</v>
      </c>
      <c r="L26">
        <v>0.1</v>
      </c>
      <c r="M26">
        <v>0.1</v>
      </c>
      <c r="N26">
        <v>1</v>
      </c>
      <c r="O26">
        <v>0.1</v>
      </c>
      <c r="P26">
        <v>0.1</v>
      </c>
      <c r="Q26">
        <v>8</v>
      </c>
      <c r="R26">
        <v>18.14</v>
      </c>
      <c r="S26" t="s">
        <v>245</v>
      </c>
      <c r="T26" t="s">
        <v>246</v>
      </c>
      <c r="U26">
        <v>20</v>
      </c>
      <c r="V26">
        <v>1500</v>
      </c>
      <c r="W26">
        <v>1400</v>
      </c>
      <c r="X26">
        <v>1400</v>
      </c>
      <c r="Y26">
        <v>0</v>
      </c>
      <c r="Z26">
        <v>0</v>
      </c>
      <c r="AA26">
        <v>80</v>
      </c>
      <c r="AB26">
        <v>15</v>
      </c>
      <c r="AC26">
        <v>1500</v>
      </c>
      <c r="AD26">
        <v>0</v>
      </c>
      <c r="AE26">
        <v>0</v>
      </c>
      <c r="AF26">
        <v>1503.5</v>
      </c>
      <c r="AG26">
        <v>1503.5</v>
      </c>
      <c r="AH26" s="14">
        <v>46302</v>
      </c>
      <c r="AI26" t="s">
        <v>296</v>
      </c>
      <c r="AJ26" s="13">
        <v>46266.416666666664</v>
      </c>
      <c r="AK26">
        <v>1500</v>
      </c>
      <c r="AL26" t="s">
        <v>243</v>
      </c>
      <c r="AM26" t="s">
        <v>244</v>
      </c>
      <c r="AN26">
        <v>1400</v>
      </c>
      <c r="AO26">
        <v>0</v>
      </c>
      <c r="AP26">
        <v>60</v>
      </c>
      <c r="AQ26">
        <v>110</v>
      </c>
      <c r="AR26">
        <v>200</v>
      </c>
      <c r="AS26">
        <v>3</v>
      </c>
      <c r="AT26">
        <v>23</v>
      </c>
      <c r="AU26">
        <v>0</v>
      </c>
      <c r="AV26">
        <v>10</v>
      </c>
      <c r="AW26">
        <v>25</v>
      </c>
      <c r="AX26">
        <v>0</v>
      </c>
      <c r="AY26">
        <v>3</v>
      </c>
      <c r="AZ26">
        <v>1.5</v>
      </c>
      <c r="BA26">
        <v>1</v>
      </c>
      <c r="BB26">
        <v>1440</v>
      </c>
      <c r="BC26">
        <v>0</v>
      </c>
      <c r="BD26">
        <v>0</v>
      </c>
      <c r="BE26">
        <v>14</v>
      </c>
      <c r="BF26">
        <v>25</v>
      </c>
      <c r="BG26">
        <v>3</v>
      </c>
      <c r="BH26">
        <v>8</v>
      </c>
      <c r="BI26">
        <v>3</v>
      </c>
      <c r="BJ26">
        <v>0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0</v>
      </c>
      <c r="BQ26">
        <v>60</v>
      </c>
      <c r="BR26">
        <v>0</v>
      </c>
      <c r="BS26">
        <v>3</v>
      </c>
      <c r="BT26" t="s">
        <v>291</v>
      </c>
      <c r="BV26" t="s">
        <v>288</v>
      </c>
      <c r="BW26" t="s">
        <v>292</v>
      </c>
      <c r="BX26" t="s">
        <v>297</v>
      </c>
      <c r="BY26" t="b">
        <v>0</v>
      </c>
      <c r="BZ26" t="s">
        <v>293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150</v>
      </c>
      <c r="B1" s="1" t="s">
        <v>261</v>
      </c>
      <c r="C1" s="1" t="s">
        <v>262</v>
      </c>
    </row>
    <row r="2" spans="1:3">
      <c r="A2" s="2" t="s">
        <v>263</v>
      </c>
      <c r="B2" s="2">
        <f>COUNTA(BasketDataTable[AccountNumber])</f>
        <v>25</v>
      </c>
      <c r="C2" s="3" t="s">
        <v>264</v>
      </c>
    </row>
    <row r="3" spans="1:3">
      <c r="A3" s="2" t="s">
        <v>152</v>
      </c>
      <c r="B3" s="2" t="str">
        <f>IF(COUNT(BasketDataTable[CsvSchemaVersion])=0,"No data",IF(COUNTIF(BasketDataTable[CsvSchemaVersion],3)=COUNT(BasketDataTable[CsvSchemaVersion]),"Schema v3","Mixed or older schema"))</f>
        <v>Schema v3</v>
      </c>
      <c r="C3" s="3" t="s">
        <v>265</v>
      </c>
    </row>
    <row r="4" spans="1:3">
      <c r="A4" s="2" t="s">
        <v>266</v>
      </c>
      <c r="B4" s="2">
        <f>COUNTIF('Account Analysis'!$A$5:$A$104,"&lt;&gt;")</f>
        <v>1</v>
      </c>
      <c r="C4" s="3" t="s">
        <v>277</v>
      </c>
    </row>
    <row r="5" spans="1:3">
      <c r="A5" s="2" t="s">
        <v>153</v>
      </c>
      <c r="B5" s="2">
        <f>COUNTIF(BasketDataTable[FolderAccountMismatch],TRUE)</f>
        <v>0</v>
      </c>
      <c r="C5" s="3" t="s">
        <v>267</v>
      </c>
    </row>
    <row r="6" spans="1:3">
      <c r="A6" s="2" t="s">
        <v>154</v>
      </c>
      <c r="B6" s="2" t="s">
        <v>155</v>
      </c>
      <c r="C6" s="3" t="s">
        <v>268</v>
      </c>
    </row>
    <row r="7" spans="1:3">
      <c r="A7" s="2" t="s">
        <v>269</v>
      </c>
      <c r="B7" s="2">
        <f>COUNTA(SyncStatusTable[AccountNumber])</f>
        <v>1</v>
      </c>
      <c r="C7" s="3" t="s">
        <v>270</v>
      </c>
    </row>
    <row r="8" spans="1:3">
      <c r="A8" s="2" t="s">
        <v>271</v>
      </c>
      <c r="B8" s="2">
        <f>COUNTIF(SyncStatusTable[IsFresh],TRUE)</f>
        <v>0</v>
      </c>
      <c r="C8" s="3" t="s">
        <v>272</v>
      </c>
    </row>
    <row r="9" spans="1:3">
      <c r="A9" s="2" t="s">
        <v>156</v>
      </c>
      <c r="B9" s="2" t="s">
        <v>273</v>
      </c>
      <c r="C9" s="3" t="s">
        <v>274</v>
      </c>
    </row>
    <row r="10" spans="1:3">
      <c r="A10" t="s">
        <v>278</v>
      </c>
      <c r="B10" t="str">
        <f>IF(SUMPRODUCT((BasketDataTable[AccountNumber]&lt;&gt;"")*(COUNTIFS('Account Analysis'!$A$5:$A$104,BasketDataTable[AccountNumber],'Account Analysis'!$B$5:$B$104,BasketDataTable[RunID])=0))&gt;0,"INCOMPLETE ANALYSIS - add account/run","OK")</f>
        <v>OK</v>
      </c>
      <c r="C10" t="s">
        <v>279</v>
      </c>
    </row>
    <row r="11" spans="1:3">
      <c r="A11" t="s">
        <v>280</v>
      </c>
      <c r="B11" t="str">
        <f>IF(SUMPRODUCT(('Account Analysis'!$A$5:$A$104&lt;&gt;"")*(COUNTIFS('Account Analysis'!$A$5:$A$104,'Account Analysis'!$A$5:$A$104,'Account Analysis'!$B$5:$B$104,'Account Analysis'!$B$5:$B$104)&gt;1))&gt;0,"DUPLICATE ACCOUNT/RUN","OK")</f>
        <v>OK</v>
      </c>
      <c r="C11" t="s">
        <v>281</v>
      </c>
    </row>
    <row r="12" spans="1:3">
      <c r="A12" t="s">
        <v>282</v>
      </c>
      <c r="B12" t="s">
        <v>283</v>
      </c>
      <c r="C12" t="s">
        <v>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4"/>
  <sheetViews>
    <sheetView showGridLines="0" zoomScale="85" zoomScaleNormal="85" workbookViewId="0">
      <selection sqref="A1:F1"/>
    </sheetView>
  </sheetViews>
  <sheetFormatPr defaultRowHeight="14.25"/>
  <cols>
    <col min="1" max="1" width="120" customWidth="1"/>
    <col min="2" max="2" width="45" customWidth="1"/>
  </cols>
  <sheetData>
    <row r="1" spans="1:6" ht="20.25">
      <c r="A1" s="24" t="s">
        <v>157</v>
      </c>
      <c r="B1" s="24"/>
      <c r="C1" s="24"/>
      <c r="D1" s="24"/>
      <c r="E1" s="24"/>
      <c r="F1" s="24"/>
    </row>
    <row r="3" spans="1:6" ht="15">
      <c r="A3" s="1" t="s">
        <v>158</v>
      </c>
      <c r="B3" s="1" t="s">
        <v>159</v>
      </c>
    </row>
    <row r="4" spans="1:6">
      <c r="A4" s="2" t="s">
        <v>160</v>
      </c>
      <c r="B4" s="12" t="s">
        <v>295</v>
      </c>
    </row>
    <row r="5" spans="1:6">
      <c r="A5" s="2" t="s">
        <v>161</v>
      </c>
      <c r="B5" s="2" t="s">
        <v>294</v>
      </c>
    </row>
    <row r="6" spans="1:6">
      <c r="A6" s="2" t="s">
        <v>170</v>
      </c>
      <c r="B6" s="2" t="s">
        <v>171</v>
      </c>
    </row>
    <row r="8" spans="1:6">
      <c r="A8" s="26" t="s">
        <v>172</v>
      </c>
      <c r="B8" s="26"/>
      <c r="C8" s="26"/>
      <c r="D8" s="26"/>
      <c r="E8" s="26"/>
      <c r="F8" s="26"/>
    </row>
    <row r="10" spans="1:6">
      <c r="A10" s="15" t="s">
        <v>173</v>
      </c>
    </row>
    <row r="11" spans="1:6">
      <c r="A11" s="15" t="s">
        <v>174</v>
      </c>
    </row>
    <row r="12" spans="1:6">
      <c r="A12" s="15" t="s">
        <v>175</v>
      </c>
    </row>
    <row r="13" spans="1:6">
      <c r="A13" s="15" t="s">
        <v>176</v>
      </c>
    </row>
    <row r="14" spans="1:6">
      <c r="A14" s="15" t="s">
        <v>177</v>
      </c>
    </row>
    <row r="15" spans="1:6">
      <c r="A15" s="15" t="s">
        <v>178</v>
      </c>
    </row>
    <row r="16" spans="1:6">
      <c r="A16" s="15" t="s">
        <v>179</v>
      </c>
    </row>
    <row r="17" spans="1:1">
      <c r="A17" s="15" t="s">
        <v>180</v>
      </c>
    </row>
    <row r="18" spans="1:1">
      <c r="A18" s="15" t="s">
        <v>181</v>
      </c>
    </row>
    <row r="19" spans="1:1">
      <c r="A19" s="15" t="s">
        <v>182</v>
      </c>
    </row>
    <row r="20" spans="1:1">
      <c r="A20" s="15" t="s">
        <v>183</v>
      </c>
    </row>
    <row r="21" spans="1:1">
      <c r="A21" s="15" t="s">
        <v>184</v>
      </c>
    </row>
    <row r="22" spans="1:1">
      <c r="A22" s="15" t="s">
        <v>185</v>
      </c>
    </row>
    <row r="23" spans="1:1">
      <c r="A23" s="15" t="s">
        <v>186</v>
      </c>
    </row>
    <row r="24" spans="1:1">
      <c r="A24" s="15" t="s">
        <v>178</v>
      </c>
    </row>
    <row r="25" spans="1:1">
      <c r="A25" s="15" t="s">
        <v>187</v>
      </c>
    </row>
    <row r="26" spans="1:1">
      <c r="A26" s="15" t="s">
        <v>188</v>
      </c>
    </row>
    <row r="27" spans="1:1">
      <c r="A27" s="15" t="s">
        <v>189</v>
      </c>
    </row>
    <row r="28" spans="1:1">
      <c r="A28" s="15" t="s">
        <v>190</v>
      </c>
    </row>
    <row r="29" spans="1:1">
      <c r="A29" s="15" t="s">
        <v>191</v>
      </c>
    </row>
    <row r="30" spans="1:1">
      <c r="A30" s="15" t="s">
        <v>192</v>
      </c>
    </row>
    <row r="31" spans="1:1">
      <c r="A31" s="15" t="s">
        <v>193</v>
      </c>
    </row>
    <row r="32" spans="1:1">
      <c r="A32" s="15" t="s">
        <v>194</v>
      </c>
    </row>
    <row r="33" spans="1:1">
      <c r="A33" s="16" t="s">
        <v>195</v>
      </c>
    </row>
    <row r="34" spans="1:1">
      <c r="A34" s="16" t="s">
        <v>196</v>
      </c>
    </row>
    <row r="35" spans="1:1">
      <c r="A35" s="16" t="s">
        <v>197</v>
      </c>
    </row>
    <row r="36" spans="1:1">
      <c r="A36" s="16" t="s">
        <v>198</v>
      </c>
    </row>
    <row r="37" spans="1:1">
      <c r="A37" s="16" t="s">
        <v>199</v>
      </c>
    </row>
    <row r="38" spans="1:1">
      <c r="A38" s="16" t="s">
        <v>200</v>
      </c>
    </row>
    <row r="39" spans="1:1">
      <c r="A39" s="16" t="s">
        <v>201</v>
      </c>
    </row>
    <row r="40" spans="1:1">
      <c r="A40" s="16" t="s">
        <v>202</v>
      </c>
    </row>
    <row r="41" spans="1:1">
      <c r="A41" s="16" t="s">
        <v>203</v>
      </c>
    </row>
    <row r="42" spans="1:1">
      <c r="A42" s="16" t="s">
        <v>204</v>
      </c>
    </row>
    <row r="43" spans="1:1">
      <c r="A43" s="16" t="s">
        <v>205</v>
      </c>
    </row>
    <row r="44" spans="1:1">
      <c r="A44" s="16" t="s">
        <v>206</v>
      </c>
    </row>
    <row r="45" spans="1:1">
      <c r="A45" s="16" t="s">
        <v>207</v>
      </c>
    </row>
    <row r="46" spans="1:1">
      <c r="A46" s="16" t="s">
        <v>208</v>
      </c>
    </row>
    <row r="47" spans="1:1">
      <c r="A47" s="16" t="s">
        <v>209</v>
      </c>
    </row>
    <row r="48" spans="1:1">
      <c r="A48" s="16" t="s">
        <v>210</v>
      </c>
    </row>
    <row r="49" spans="1:1">
      <c r="A49" s="16" t="s">
        <v>211</v>
      </c>
    </row>
    <row r="50" spans="1:1">
      <c r="A50" s="16" t="s">
        <v>212</v>
      </c>
    </row>
    <row r="51" spans="1:1">
      <c r="A51" s="16" t="s">
        <v>213</v>
      </c>
    </row>
    <row r="52" spans="1:1">
      <c r="A52" s="16" t="s">
        <v>214</v>
      </c>
    </row>
    <row r="53" spans="1:1">
      <c r="A53" s="16" t="s">
        <v>215</v>
      </c>
    </row>
    <row r="54" spans="1:1">
      <c r="A54" s="16" t="s">
        <v>216</v>
      </c>
    </row>
    <row r="55" spans="1:1">
      <c r="A55" s="16" t="s">
        <v>217</v>
      </c>
    </row>
    <row r="56" spans="1:1">
      <c r="A56" s="16" t="s">
        <v>218</v>
      </c>
    </row>
    <row r="57" spans="1:1">
      <c r="A57" s="16" t="s">
        <v>219</v>
      </c>
    </row>
    <row r="58" spans="1:1">
      <c r="A58" s="16" t="s">
        <v>220</v>
      </c>
    </row>
    <row r="59" spans="1:1">
      <c r="A59" s="16" t="s">
        <v>221</v>
      </c>
    </row>
    <row r="60" spans="1:1">
      <c r="A60" s="16" t="s">
        <v>222</v>
      </c>
    </row>
    <row r="61" spans="1:1">
      <c r="A61" s="16" t="s">
        <v>223</v>
      </c>
    </row>
    <row r="62" spans="1:1">
      <c r="A62" s="16" t="s">
        <v>224</v>
      </c>
    </row>
    <row r="63" spans="1:1">
      <c r="A63" s="16" t="s">
        <v>225</v>
      </c>
    </row>
    <row r="64" spans="1:1">
      <c r="A64" s="16" t="s">
        <v>226</v>
      </c>
    </row>
    <row r="65" spans="1:1">
      <c r="A65" s="16" t="s">
        <v>227</v>
      </c>
    </row>
    <row r="66" spans="1:1">
      <c r="A66" s="16" t="s">
        <v>228</v>
      </c>
    </row>
    <row r="68" spans="1:1">
      <c r="A68" s="16" t="s">
        <v>229</v>
      </c>
    </row>
    <row r="69" spans="1:1">
      <c r="A69" s="16" t="s">
        <v>174</v>
      </c>
    </row>
    <row r="70" spans="1:1">
      <c r="A70" s="16" t="s">
        <v>175</v>
      </c>
    </row>
    <row r="71" spans="1:1">
      <c r="A71" s="16" t="s">
        <v>230</v>
      </c>
    </row>
    <row r="72" spans="1:1">
      <c r="A72" s="16" t="s">
        <v>187</v>
      </c>
    </row>
    <row r="73" spans="1:1">
      <c r="A73" s="16" t="s">
        <v>188</v>
      </c>
    </row>
    <row r="74" spans="1:1">
      <c r="A74" s="16" t="s">
        <v>189</v>
      </c>
    </row>
    <row r="75" spans="1:1">
      <c r="A75" s="16" t="s">
        <v>190</v>
      </c>
    </row>
    <row r="76" spans="1:1">
      <c r="A76" s="16" t="s">
        <v>191</v>
      </c>
    </row>
    <row r="77" spans="1:1">
      <c r="A77" s="16" t="s">
        <v>192</v>
      </c>
    </row>
    <row r="78" spans="1:1">
      <c r="A78" s="16" t="s">
        <v>193</v>
      </c>
    </row>
    <row r="79" spans="1:1">
      <c r="A79" s="16" t="s">
        <v>194</v>
      </c>
    </row>
    <row r="80" spans="1:1">
      <c r="A80" s="16" t="s">
        <v>195</v>
      </c>
    </row>
    <row r="81" spans="1:1">
      <c r="A81" s="16" t="s">
        <v>231</v>
      </c>
    </row>
    <row r="82" spans="1:1">
      <c r="A82" s="16" t="s">
        <v>232</v>
      </c>
    </row>
    <row r="83" spans="1:1">
      <c r="A83" s="16" t="s">
        <v>198</v>
      </c>
    </row>
    <row r="84" spans="1:1">
      <c r="A84" s="16" t="s">
        <v>199</v>
      </c>
    </row>
    <row r="85" spans="1:1">
      <c r="A85" s="16" t="s">
        <v>233</v>
      </c>
    </row>
    <row r="86" spans="1:1">
      <c r="A86" s="16" t="s">
        <v>234</v>
      </c>
    </row>
    <row r="87" spans="1:1">
      <c r="A87" s="16" t="s">
        <v>235</v>
      </c>
    </row>
    <row r="88" spans="1:1">
      <c r="A88" s="16" t="s">
        <v>236</v>
      </c>
    </row>
    <row r="89" spans="1:1">
      <c r="A89" s="16" t="s">
        <v>237</v>
      </c>
    </row>
    <row r="90" spans="1:1">
      <c r="A90" s="16" t="s">
        <v>238</v>
      </c>
    </row>
    <row r="91" spans="1:1">
      <c r="A91" s="16" t="s">
        <v>239</v>
      </c>
    </row>
    <row r="92" spans="1:1">
      <c r="A92" s="16" t="s">
        <v>240</v>
      </c>
    </row>
    <row r="93" spans="1:1">
      <c r="A93" s="16" t="s">
        <v>227</v>
      </c>
    </row>
    <row r="94" spans="1:1">
      <c r="A94" s="16" t="s">
        <v>228</v>
      </c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VPS Verification</vt:lpstr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2026-10-10T09:38:38Z</dcterms:modified>
</cp:coreProperties>
</file>