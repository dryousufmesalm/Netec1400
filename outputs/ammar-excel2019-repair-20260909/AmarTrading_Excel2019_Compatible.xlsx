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xWorker\ammar-excel2019-repair-20260909\output\"/>
    </mc:Choice>
  </mc:AlternateContent>
  <xr:revisionPtr revIDLastSave="0" documentId="13_ncr:1_{B2F0C4BC-176F-498A-9FEE-72BCA909A13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VPS Verification" sheetId="7" r:id="rId1"/>
    <sheet name="Sync Status" sheetId="6" r:id="rId2"/>
    <sheet name="Account Analysis" sheetId="1" r:id="rId3"/>
    <sheet name="Manual Fields" sheetId="2" r:id="rId4"/>
    <sheet name="Basket Data" sheetId="3" r:id="rId5"/>
    <sheet name="Data Quality" sheetId="4" r:id="rId6"/>
    <sheet name="Power Query Setup" sheetId="5" r:id="rId7"/>
  </sheets>
  <definedNames>
    <definedName name="ExternalData_1" localSheetId="4" hidden="1">'Basket Data'!$A$1:$BW$1063</definedName>
    <definedName name="ExternalData_1" localSheetId="1" hidden="1">'Sync Status'!$A$1:$L$5</definedName>
    <definedName name="OneDriveRoot">'Power Query Setup'!$B$4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B10" i="4"/>
  <c r="B4" i="4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S8" i="1"/>
  <c r="AR8" i="1"/>
  <c r="BL8" i="1" s="1"/>
  <c r="AQ8" i="1"/>
  <c r="AP8" i="1"/>
  <c r="AO8" i="1"/>
  <c r="BX8" i="1" s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S7" i="1"/>
  <c r="AR7" i="1"/>
  <c r="AQ7" i="1"/>
  <c r="BI7" i="1" s="1"/>
  <c r="AP7" i="1"/>
  <c r="AO7" i="1"/>
  <c r="BU7" i="1" s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S6" i="1"/>
  <c r="AR6" i="1"/>
  <c r="AQ6" i="1"/>
  <c r="AP6" i="1"/>
  <c r="AO6" i="1"/>
  <c r="BT6" i="1" s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S5" i="1"/>
  <c r="AR5" i="1"/>
  <c r="AQ5" i="1"/>
  <c r="AP5" i="1"/>
  <c r="AO5" i="1"/>
  <c r="BY5" i="1" s="1"/>
  <c r="AI5" i="1"/>
  <c r="AH5" i="1"/>
  <c r="AT5" i="1" s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8" i="4"/>
  <c r="B7" i="4"/>
  <c r="B5" i="4"/>
  <c r="B3" i="4"/>
  <c r="B2" i="4"/>
  <c r="BK7" i="1" l="1"/>
  <c r="BI5" i="1"/>
  <c r="BL5" i="1"/>
  <c r="BI6" i="1"/>
  <c r="BL6" i="1"/>
  <c r="BO6" i="1"/>
  <c r="BJ7" i="1"/>
  <c r="BI8" i="1"/>
  <c r="BK6" i="1"/>
  <c r="AT7" i="1"/>
  <c r="AJ6" i="1"/>
  <c r="BJ6" i="1"/>
  <c r="AT6" i="1"/>
  <c r="AJ5" i="1"/>
  <c r="BL7" i="1"/>
  <c r="AT8" i="1"/>
  <c r="BK5" i="1"/>
  <c r="BK8" i="1"/>
  <c r="BJ5" i="1"/>
  <c r="BJ8" i="1"/>
  <c r="AJ8" i="1"/>
  <c r="AJ7" i="1"/>
  <c r="BO5" i="1"/>
  <c r="BO8" i="1"/>
  <c r="BO7" i="1"/>
  <c r="BP8" i="1"/>
  <c r="BS8" i="1"/>
  <c r="BU8" i="1"/>
  <c r="BV8" i="1"/>
  <c r="BW8" i="1"/>
  <c r="BY8" i="1"/>
  <c r="BQ8" i="1"/>
  <c r="AL8" i="1" s="1"/>
  <c r="BR8" i="1"/>
  <c r="AM8" i="1" s="1"/>
  <c r="BT8" i="1"/>
  <c r="BP7" i="1"/>
  <c r="BR7" i="1"/>
  <c r="AM7" i="1" s="1"/>
  <c r="BS7" i="1"/>
  <c r="BT7" i="1"/>
  <c r="BV7" i="1"/>
  <c r="BW7" i="1"/>
  <c r="BX7" i="1"/>
  <c r="BY7" i="1"/>
  <c r="BQ7" i="1"/>
  <c r="AL7" i="1" s="1"/>
  <c r="BP6" i="1"/>
  <c r="BQ6" i="1"/>
  <c r="AL6" i="1" s="1"/>
  <c r="BS6" i="1"/>
  <c r="BU6" i="1"/>
  <c r="BV6" i="1"/>
  <c r="BW6" i="1"/>
  <c r="BX6" i="1"/>
  <c r="BY6" i="1"/>
  <c r="BR6" i="1"/>
  <c r="AM6" i="1" s="1"/>
  <c r="BP5" i="1"/>
  <c r="BQ5" i="1"/>
  <c r="AL5" i="1" s="1"/>
  <c r="BR5" i="1"/>
  <c r="AM5" i="1" s="1"/>
  <c r="BS5" i="1"/>
  <c r="BT5" i="1"/>
  <c r="BU5" i="1"/>
  <c r="BV5" i="1"/>
  <c r="BW5" i="1"/>
  <c r="BX5" i="1"/>
  <c r="BM7" i="1" l="1"/>
  <c r="BM6" i="1"/>
  <c r="BM8" i="1"/>
  <c r="BM5" i="1"/>
  <c r="AN8" i="1"/>
  <c r="BH8" i="1" s="1"/>
  <c r="AK8" i="1"/>
  <c r="AN7" i="1"/>
  <c r="BH7" i="1" s="1"/>
  <c r="AK7" i="1"/>
  <c r="AN6" i="1"/>
  <c r="AK6" i="1"/>
  <c r="AN5" i="1"/>
  <c r="AK5" i="1"/>
  <c r="BN7" i="1" l="1"/>
  <c r="BN8" i="1"/>
  <c r="BH5" i="1"/>
  <c r="BN5" i="1"/>
  <c r="BH6" i="1"/>
  <c r="BN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CB97ED-8F5F-4AB6-8A7C-7A80BD238357}" keepAlive="1" name="Query - AmarTrading_Baskets" type="5" refreshedVersion="8" saveData="1">
    <dbPr connection="Provider=Microsoft.Mashup.OleDb.1;Data Source=$Workbook$;Location=AmarTrading_Baskets;Extended Properties=&quot;&quot;" command="SELECT * FROM [AmarTrading_Baskets]"/>
  </connection>
  <connection id="2" xr16:uid="{2AB3E50A-BF23-4019-B045-44A49F44AFF1}" keepAlive="1" name="Query - AmarTrading_SyncStatus" type="5" refreshedVersion="8" saveData="1">
    <dbPr connection="Provider=Microsoft.Mashup.OleDb.1;Data Source=$Workbook$;Location=AmarTrading_SyncStatus;Extended Properties=&quot;&quot;" command="SELECT * FROM [AmarTrading_SyncStatus]"/>
  </connection>
</connections>
</file>

<file path=xl/sharedStrings.xml><?xml version="1.0" encoding="utf-8"?>
<sst xmlns="http://schemas.openxmlformats.org/spreadsheetml/2006/main" count="14145" uniqueCount="313">
  <si>
    <t>AmarTrading — Current Account / Run Analysis</t>
  </si>
  <si>
    <t>General Data</t>
  </si>
  <si>
    <t>Profit / Loss Run</t>
  </si>
  <si>
    <t>Basket Depth</t>
  </si>
  <si>
    <t>Ratios &amp; Controls</t>
  </si>
  <si>
    <t>Account #</t>
  </si>
  <si>
    <t>Run ID</t>
  </si>
  <si>
    <t>Name</t>
  </si>
  <si>
    <t>Date Created</t>
  </si>
  <si>
    <t>Account Type</t>
  </si>
  <si>
    <t>Liquidity</t>
  </si>
  <si>
    <t>Server / VPS</t>
  </si>
  <si>
    <t>MT4 Label</t>
  </si>
  <si>
    <t>Fixed Lots</t>
  </si>
  <si>
    <t>Pips Step</t>
  </si>
  <si>
    <t>Basket Target</t>
  </si>
  <si>
    <t>Trailing Distance</t>
  </si>
  <si>
    <t>Trailing Activation</t>
  </si>
  <si>
    <t>Max Spread</t>
  </si>
  <si>
    <t>Time Start</t>
  </si>
  <si>
    <t>Time End</t>
  </si>
  <si>
    <t>Open Time</t>
  </si>
  <si>
    <t>Speed EA</t>
  </si>
  <si>
    <t>New Basket Delay</t>
  </si>
  <si>
    <t>Basket Trailing Enabled</t>
  </si>
  <si>
    <t>Trailing Start</t>
  </si>
  <si>
    <t>Trailing Step</t>
  </si>
  <si>
    <t>Kill Switch Enabled</t>
  </si>
  <si>
    <t>Kill Equity Level</t>
  </si>
  <si>
    <t>Kill Cooldown</t>
  </si>
  <si>
    <t>Exposure Cap Order #</t>
  </si>
  <si>
    <t>Exposure Cap Lot #</t>
  </si>
  <si>
    <t>Regime Enable</t>
  </si>
  <si>
    <t>Regime Action</t>
  </si>
  <si>
    <t>Enable Recovery StepUp</t>
  </si>
  <si>
    <t>Recovery Wait</t>
  </si>
  <si>
    <t>Recovery Max Lots</t>
  </si>
  <si>
    <t>Notes</t>
  </si>
  <si>
    <t>Net Profit</t>
  </si>
  <si>
    <t>Trading Days</t>
  </si>
  <si>
    <t>Avg Daily</t>
  </si>
  <si>
    <t>Max DD</t>
  </si>
  <si>
    <t>2ND DD</t>
  </si>
  <si>
    <t>3RD DD</t>
  </si>
  <si>
    <t>Avg DD Biggest 10</t>
  </si>
  <si>
    <t>Total Baskets</t>
  </si>
  <si>
    <t>Win Baskets #</t>
  </si>
  <si>
    <t>Win Baskets $</t>
  </si>
  <si>
    <t>Loss Baskets #</t>
  </si>
  <si>
    <t>Loss Baskets $</t>
  </si>
  <si>
    <t>Avg Basket Profit</t>
  </si>
  <si>
    <t>TimesNearKill</t>
  </si>
  <si>
    <t>Kill Count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</si>
  <si>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</si>
  <si>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</si>
  <si>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</si>
  <si>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</si>
  <si>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</si>
  <si>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</si>
  <si>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</si>
  <si>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</si>
  <si>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</si>
  <si>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10+</t>
  </si>
  <si>
    <t>Reached Cap-Lot#</t>
  </si>
  <si>
    <t>R_Run</t>
  </si>
  <si>
    <t>Avg Win</t>
  </si>
  <si>
    <t>Avg Loss</t>
  </si>
  <si>
    <t>Win Rate</t>
  </si>
  <si>
    <t>Loss Rate</t>
  </si>
  <si>
    <t>Expectancy</t>
  </si>
  <si>
    <t>Daily Risk Efficiency</t>
  </si>
  <si>
    <t>Config Status</t>
  </si>
  <si>
    <t>892522910</t>
  </si>
  <si>
    <t>Legacy-v2</t>
  </si>
  <si>
    <t>Run Key</t>
  </si>
  <si>
    <t>892522910|Legacy-v2</t>
  </si>
  <si>
    <t>AccountNumber</t>
  </si>
  <si>
    <t>BrokerName</t>
  </si>
  <si>
    <t>BasketID</t>
  </si>
  <si>
    <t>Symbol</t>
  </si>
  <si>
    <t>SymbolNormalized</t>
  </si>
  <si>
    <t>Timeframe</t>
  </si>
  <si>
    <t>StartTime</t>
  </si>
  <si>
    <t>EndTime</t>
  </si>
  <si>
    <t>DurationSeconds</t>
  </si>
  <si>
    <t>Direction</t>
  </si>
  <si>
    <t>OrdersCount</t>
  </si>
  <si>
    <t>TotalLots</t>
  </si>
  <si>
    <t>FixedLots</t>
  </si>
  <si>
    <t>MaxOrdersConcurrent</t>
  </si>
  <si>
    <t>MaxTotalLots</t>
  </si>
  <si>
    <t>MaxFloatingDrawdownAbs</t>
  </si>
  <si>
    <t>MaxFloatingProfit</t>
  </si>
  <si>
    <t>ClosePL</t>
  </si>
  <si>
    <t>CloseReason</t>
  </si>
  <si>
    <t>OutcomeClass</t>
  </si>
  <si>
    <t>SpreadAtEntry</t>
  </si>
  <si>
    <t>EquityAtEntry</t>
  </si>
  <si>
    <t>HeadroomAtEntry</t>
  </si>
  <si>
    <t>MinHeadroom</t>
  </si>
  <si>
    <t>ExposureBlocks</t>
  </si>
  <si>
    <t>PipsStep</t>
  </si>
  <si>
    <t>TakeProfit</t>
  </si>
  <si>
    <t>KillEquityLevel</t>
  </si>
  <si>
    <t>MaxOrdersInBasket</t>
  </si>
  <si>
    <t>MaxTotalLotsInBasket</t>
  </si>
  <si>
    <t>EquityAtExit</t>
  </si>
  <si>
    <t>BalanceAfter</t>
  </si>
  <si>
    <t>TradeDate</t>
  </si>
  <si>
    <t>RunID</t>
  </si>
  <si>
    <t>RunStartTime</t>
  </si>
  <si>
    <t>RunStartBalance</t>
  </si>
  <si>
    <t>EAName</t>
  </si>
  <si>
    <t>EAVersion</t>
  </si>
  <si>
    <t>Magic</t>
  </si>
  <si>
    <t>PointsPerPip</t>
  </si>
  <si>
    <t>Tral</t>
  </si>
  <si>
    <t>TralStart</t>
  </si>
  <si>
    <t>MaxSpread</t>
  </si>
  <si>
    <t>TimeStart</t>
  </si>
  <si>
    <t>TimeEnd</t>
  </si>
  <si>
    <t>OpenTime</t>
  </si>
  <si>
    <t>NewBasketDelaySeconds</t>
  </si>
  <si>
    <t>SpeedEA</t>
  </si>
  <si>
    <t>UseBasketTrailingTP</t>
  </si>
  <si>
    <t>TrailingStart</t>
  </si>
  <si>
    <t>TrailingStep</t>
  </si>
  <si>
    <t>KillSwitchEnable</t>
  </si>
  <si>
    <t>KillCooldownMinutes</t>
  </si>
  <si>
    <t>RegimeEnable</t>
  </si>
  <si>
    <t>RegimeAction</t>
  </si>
  <si>
    <t>RegimeADXPeriod</t>
  </si>
  <si>
    <t>RegimeADXLevel</t>
  </si>
  <si>
    <t>RegimeADXBars</t>
  </si>
  <si>
    <t>RegimeRangeBars</t>
  </si>
  <si>
    <t>RegimeRecoveryBars</t>
  </si>
  <si>
    <t>EnableTradingDaysFilter</t>
  </si>
  <si>
    <t>TradeMonday</t>
  </si>
  <si>
    <t>TradeTuesday</t>
  </si>
  <si>
    <t>TradeWednesday</t>
  </si>
  <si>
    <t>TradeThursday</t>
  </si>
  <si>
    <t>TradeFriday</t>
  </si>
  <si>
    <t>EnableRecoveryStepUp</t>
  </si>
  <si>
    <t>RecoveryWaitMinutes</t>
  </si>
  <si>
    <t>RecoveryMaxTotalLotsInBasket</t>
  </si>
  <si>
    <t>CsvSchemaVersion</t>
  </si>
  <si>
    <t>FolderAccountNumber</t>
  </si>
  <si>
    <t>RunKey</t>
  </si>
  <si>
    <t>FolderAccountMismatch</t>
  </si>
  <si>
    <t>ConfigFingerprint</t>
  </si>
  <si>
    <t>Check</t>
  </si>
  <si>
    <t>Status</t>
  </si>
  <si>
    <t>CSV schema</t>
  </si>
  <si>
    <t>Folder/account mismatches</t>
  </si>
  <si>
    <t>Configuration changes</t>
  </si>
  <si>
    <t>Formula monitored</t>
  </si>
  <si>
    <t>Refresh setup</t>
  </si>
  <si>
    <t>Power Query Setup — Editable Standard Excel Import</t>
  </si>
  <si>
    <t>Setting</t>
  </si>
  <si>
    <t>Value</t>
  </si>
  <si>
    <t>OneDrive root</t>
  </si>
  <si>
    <t>Expected folder</t>
  </si>
  <si>
    <t>RowCount</t>
  </si>
  <si>
    <t>SourceHash</t>
  </si>
  <si>
    <t>DestinationHash</t>
  </si>
  <si>
    <t>SourceLastWriteUtc</t>
  </si>
  <si>
    <t>PublishedUtc</t>
  </si>
  <si>
    <t>HeartbeatAgeHours</t>
  </si>
  <si>
    <t>IsFresh</t>
  </si>
  <si>
    <t>CloudDeliveryVerified</t>
  </si>
  <si>
    <t>amartrading\Account_&lt;MT4Login&gt;\Baskets.csv and SyncStatus.json</t>
  </si>
  <si>
    <t>Embedded query names</t>
  </si>
  <si>
    <t>AmarTrading_Baskets; AmarTrading_SyncStatus</t>
  </si>
  <si>
    <t>The two AmarTrading queries are embedded in this workbook. Edit OneDrive root above, then choose Refresh All.</t>
  </si>
  <si>
    <t>shared AmarTrading_Baskets =</t>
  </si>
  <si>
    <t>let</t>
  </si>
  <si>
    <t xml:space="preserve">    OneDriveRoot = Text.Trim(Text.From(Excel.CurrentWorkbook(){[Name="OneDriveRoot"]}[Content]{0}[Column1])),</t>
  </si>
  <si>
    <t xml:space="preserve">    ExpectedColumns = {</t>
  </si>
  <si>
    <t xml:space="preserve">        "AccountNumber","BrokerName","BasketID","Symbol","SymbolNormalized","Timeframe","StartTime","EndTime","DurationSeconds","Direction","OrdersCount","TotalLots","FixedLots","MaxOrdersConcurrent","MaxTotalLots","MaxFloatingDrawdownAbs","MaxFloatingProfit","ClosePL","CloseReason","OutcomeClass","SpreadAtEntry","EquityAtEntry","HeadroomAtEntry","MinHeadroom","TimesNearKill","ExposureBlocks","PipsStep","TakeProfit","KillEquityLevel","MaxOrdersInBasket","MaxTotalLotsInBasket","EquityAtExit","BalanceAfter","TradeDate","RunID","RunStartTime","RunStartBalance","EAName","EAVersion","Magic","PointsPerPip","Tral","TralStart","MaxSpread","TimeStart","TimeEnd","OpenTime","NewBasketDelaySeconds","SpeedEA","UseBasketTrailingTP","TrailingStart","TrailingStep","KillSwitchEnable","KillCooldownMinutes","RegimeEnable","RegimeAction","RegimeADXPeriod","RegimeADXLevel","RegimeADXBars","RegimeRangeBars","RegimeRecoveryBars","EnableTradingDaysFilter","TradeMonday","TradeTuesday","TradeWednesday","TradeThursday","TradeFriday","EnableRecoveryStepUp","RecoveryWaitMinutes","RecoveryMaxTotalLotsInBasket","CsvSchemaVersion"</t>
  </si>
  <si>
    <t xml:space="preserve">    },</t>
  </si>
  <si>
    <t xml:space="preserve">    FingerprintFields = {</t>
  </si>
  <si>
    <t xml:space="preserve">        "FixedLots","Magic","PointsPerPip","PipsStep","TakeProfit","Tral","TralStart","MaxSpread",</t>
  </si>
  <si>
    <t xml:space="preserve">        "TimeStart","TimeEnd","OpenTime","NewBasketDelaySeconds","SpeedEA","UseBasketTrailingTP",</t>
  </si>
  <si>
    <t xml:space="preserve">        "TrailingStart","TrailingStep","KillSwitchEnable","KillEquityLevel","KillCooldownMinutes",</t>
  </si>
  <si>
    <t xml:space="preserve">        "MaxOrdersInBasket","MaxTotalLotsInBasket","RegimeEnable","RegimeAction","RegimeADXPeriod",</t>
  </si>
  <si>
    <t xml:space="preserve">        "RegimeADXLevel","RegimeADXBars","RegimeRangeBars","RegimeRecoveryBars","EnableTradingDaysFilter",</t>
  </si>
  <si>
    <t xml:space="preserve">        "TradeMonday","TradeTuesday","TradeWednesday","TradeThursday","TradeFriday",</t>
  </si>
  <si>
    <t xml:space="preserve">        "EnableRecoveryStepUp","RecoveryWaitMinutes","RecoveryMaxTotalLotsInBasket"</t>
  </si>
  <si>
    <t xml:space="preserve">    GetFolderFiles = (FolderPath as text, Priority as number) as table =&gt;</t>
  </si>
  <si>
    <t xml:space="preserve">        let</t>
  </si>
  <si>
    <t xml:space="preserve">            Loaded = try Table.Buffer(Folder.Files(FolderPath)) otherwise #table(type table [Content = binary, Name = text, #"Folder Path" = text], {}),</t>
  </si>
  <si>
    <t xml:space="preserve">            WithPriority = Table.AddColumn(Loaded, "FolderPriority", each Priority, Int64.Type)</t>
  </si>
  <si>
    <t xml:space="preserve">        in</t>
  </si>
  <si>
    <t xml:space="preserve">            WithPriority,</t>
  </si>
  <si>
    <t xml:space="preserve">    CanonicalFiles = GetFolderFiles(OneDriveRoot &amp; "\amartrading", 0),</t>
  </si>
  <si>
    <t xml:space="preserve">    LegacyFiles = GetFolderFiles(OneDriveRoot &amp; "\AmmarTrading", 1),</t>
  </si>
  <si>
    <t xml:space="preserve">    Files = Table.Combine({CanonicalFiles, LegacyFiles}),</t>
  </si>
  <si>
    <t xml:space="preserve">    BasketFiles = Table.SelectRows(Files, each [Name] = "Baskets.csv" and Text.StartsWith(List.Last(Text.Split(Text.TrimEnd([Folder Path], "\"), "\")), "Account_")),</t>
  </si>
  <si>
    <t xml:space="preserve">    WithFolderLogin = Table.AddColumn(BasketFiles, "FolderAccountNumber", each Text.AfterDelimiter(List.Last(Text.Split(Text.TrimEnd([Folder Path], "\"), "\")), "Account_"), type text),</t>
  </si>
  <si>
    <t xml:space="preserve">    CanonicalAccounts = List.Buffer(Table.SelectRows(WithFolderLogin, each [FolderPriority] = 0)[FolderAccountNumber]),</t>
  </si>
  <si>
    <t xml:space="preserve">    PreferredFiles = Table.SelectRows(WithFolderLogin, each [FolderPriority] = 0 or not List.Contains(CanonicalAccounts, [FolderAccountNumber])),</t>
  </si>
  <si>
    <t xml:space="preserve">    WithCsv = Table.AddColumn(PreferredFiles, "Data", each Table.SelectColumns(Table.PromoteHeaders(Csv.Document([Content], [Delimiter=",", Encoding=65001, QuoteStyle=QuoteStyle.Csv]), [PromoteAllScalars=true]), ExpectedColumns, MissingField.UseNull)),</t>
  </si>
  <si>
    <t xml:space="preserve">    Keep = Table.SelectColumns(WithCsv, {"FolderAccountNumber","Data"}),</t>
  </si>
  <si>
    <t xml:space="preserve">    Expanded = Table.ExpandTableColumn(Keep, "Data", ExpectedColumns, ExpectedColumns),</t>
  </si>
  <si>
    <t xml:space="preserve">    Typed = Table.TransformColumnTypes(Expanded, {</t>
  </si>
  <si>
    <t xml:space="preserve">        {"FolderAccountNumber", type text},{"AccountNumber", type text},{"BasketID", Int64.Type},{"Timeframe", Int64.Type},</t>
  </si>
  <si>
    <t xml:space="preserve">        {"StartTime", type datetime},{"EndTime", type datetime},{"DurationSeconds", Int64.Type},{"OrdersCount", Int64.Type},</t>
  </si>
  <si>
    <t xml:space="preserve">        {"TotalLots", type number},{"FixedLots", type number},{"MaxOrdersConcurrent", Int64.Type},{"MaxTotalLots", type number},</t>
  </si>
  <si>
    <t xml:space="preserve">        {"MaxFloatingDrawdownAbs", type number},{"MaxFloatingProfit", type number},{"ClosePL", type number},{"SpreadAtEntry", type number},</t>
  </si>
  <si>
    <t xml:space="preserve">        {"EquityAtEntry", type number},{"HeadroomAtEntry", type number},{"MinHeadroom", type number},{"TimesNearKill", Int64.Type},</t>
  </si>
  <si>
    <t xml:space="preserve">        {"ExposureBlocks", Int64.Type},{"PipsStep", Int64.Type},{"TakeProfit", type number},{"KillEquityLevel", type number},</t>
  </si>
  <si>
    <t xml:space="preserve">        {"MaxOrdersInBasket", Int64.Type},{"MaxTotalLotsInBasket", type number},{"EquityAtExit", type number},{"BalanceAfter", type number},</t>
  </si>
  <si>
    <t xml:space="preserve">        {"TradeDate", type date},{"RunStartTime", type datetime},{"RunStartBalance", type number},{"Magic", Int64.Type},</t>
  </si>
  <si>
    <t xml:space="preserve">        {"PointsPerPip", Int64.Type},{"Tral", Int64.Type},{"TralStart", Int64.Type},{"MaxSpread", Int64.Type},</t>
  </si>
  <si>
    <t xml:space="preserve">        {"TimeStart", Int64.Type},{"TimeEnd", Int64.Type},{"OpenTime", Int64.Type},{"NewBasketDelaySeconds", Int64.Type},</t>
  </si>
  <si>
    <t xml:space="preserve">        {"SpeedEA", Int64.Type},{"UseBasketTrailingTP", Int64.Type},{"TrailingStart", type number},{"TrailingStep", type number},</t>
  </si>
  <si>
    <t xml:space="preserve">        {"KillSwitchEnable", Int64.Type},{"KillCooldownMinutes", Int64.Type},{"RegimeEnable", Int64.Type},{"RegimeAction", Int64.Type},</t>
  </si>
  <si>
    <t xml:space="preserve">        {"RegimeADXPeriod", Int64.Type},{"RegimeADXLevel", type number},{"RegimeADXBars", Int64.Type},{"RegimeRangeBars", Int64.Type},</t>
  </si>
  <si>
    <t xml:space="preserve">        {"RegimeRecoveryBars", Int64.Type},{"EnableTradingDaysFilter", Int64.Type},{"TradeMonday", Int64.Type},{"TradeTuesday", Int64.Type},</t>
  </si>
  <si>
    <t xml:space="preserve">        {"TradeWednesday", Int64.Type},{"TradeThursday", Int64.Type},{"TradeFriday", Int64.Type},{"EnableRecoveryStepUp", Int64.Type},</t>
  </si>
  <si>
    <t xml:space="preserve">        {"RecoveryWaitMinutes", Int64.Type},{"RecoveryMaxTotalLotsInBasket", type number},{"CsvSchemaVersion", Int64.Type}</t>
  </si>
  <si>
    <t xml:space="preserve">    }, "en-US"),</t>
  </si>
  <si>
    <t xml:space="preserve">    WithLegacyRunID = Table.ReplaceValue(Typed, null, "Legacy-v2", Replacer.ReplaceValue, {"RunID"}),</t>
  </si>
  <si>
    <t xml:space="preserve">    WithRunKey = Table.AddColumn(WithLegacyRunID, "RunKey", each [AccountNumber] &amp; "|" &amp; [RunID], type text),</t>
  </si>
  <si>
    <t xml:space="preserve">    WithMismatch = Table.AddColumn(WithRunKey, "FolderAccountMismatch", each [FolderAccountNumber] &lt;&gt; [AccountNumber], type logical),</t>
  </si>
  <si>
    <t xml:space="preserve">    WithConfigFingerprint = Table.AddColumn(WithMismatch, "ConfigFingerprint", (row) =&gt; Text.Combine(List.Transform(FingerprintFields, (field) =&gt; let value = Record.Field(row, field) in if value = null then "" else Text.From(value, "en-US")), "|"), type text),</t>
  </si>
  <si>
    <t xml:space="preserve">    FinalColumns = List.Combine({ExpectedColumns, {"FolderAccountNumber","RunKey","FolderAccountMismatch","ConfigFingerprint"}}),</t>
  </si>
  <si>
    <t xml:space="preserve">    Final = Table.ReorderColumns(WithConfigFingerprint, FinalColumns, MissingField.UseNull)</t>
  </si>
  <si>
    <t>in</t>
  </si>
  <si>
    <t xml:space="preserve">    Final</t>
  </si>
  <si>
    <t>shared AmarTrading_SyncStatus =</t>
  </si>
  <si>
    <t xml:space="preserve">    FreshnessHours = 26,</t>
  </si>
  <si>
    <t xml:space="preserve">    StatusFiles = Table.SelectRows(Files, each [Name] = "SyncStatus.json" and Text.StartsWith(List.Last(Text.Split(Text.TrimEnd([Folder Path], "\"), "\")), "Account_")),</t>
  </si>
  <si>
    <t xml:space="preserve">    WithFolderLogin = Table.AddColumn(StatusFiles, "FolderAccountNumber", each Text.AfterDelimiter(List.Last(Text.Split(Text.TrimEnd([Folder Path], "\"), "\")), "Account_"), type text),</t>
  </si>
  <si>
    <t xml:space="preserve">    WithJson = Table.AddColumn(PreferredFiles, "StatusRecord", each Json.Document([Content])),</t>
  </si>
  <si>
    <t xml:space="preserve">    Keep = Table.SelectColumns(WithJson, {"FolderAccountNumber","StatusRecord"}),</t>
  </si>
  <si>
    <t xml:space="preserve">    Expanded = Table.ExpandRecordColumn(Keep, "StatusRecord", {"AccountNumber","Status","RowCount","SourceHash","DestinationHash","SourceLastWriteUtc","PublishedUtc","CloudDeliveryVerified"}, {"AccountNumber","Status","RowCount","SourceHash","DestinationHash","SourceLastWriteUtc","PublishedUtc","CloudDeliveryVerified"}),</t>
  </si>
  <si>
    <t xml:space="preserve">    Typed = Table.TransformColumnTypes(Expanded, {{"FolderAccountNumber", type text},{"AccountNumber", type text},{"Status", type text},{"RowCount", Int64.Type},{"SourceHash", type text},{"DestinationHash", type text},{"SourceLastWriteUtc", type datetimezone},{"PublishedUtc", type datetimezone},{"CloudDeliveryVerified", type logical}}, "en-US"),</t>
  </si>
  <si>
    <t xml:space="preserve">    WithMismatch = Table.AddColumn(Typed, "FolderAccountMismatch", each [FolderAccountNumber] &lt;&gt; [AccountNumber], type logical),</t>
  </si>
  <si>
    <t xml:space="preserve">    WithAge = Table.AddColumn(WithMismatch, "HeartbeatAgeHours", each if [PublishedUtc] = null then null else Duration.TotalHours(DateTimeZone.UtcNow() - [PublishedUtc]), type number),</t>
  </si>
  <si>
    <t xml:space="preserve">    WithFreshness = Table.AddColumn(WithAge, "IsFresh", each [Status] = "Success" and [HeartbeatAgeHours] &lt;&gt; null and [HeartbeatAgeHours] &gt;= -0.0833 and [HeartbeatAgeHours] &lt;= FreshnessHours, type logical),</t>
  </si>
  <si>
    <t xml:space="preserve">    Final = Table.ReorderColumns(WithFreshness, {"AccountNumber","FolderAccountNumber","FolderAccountMismatch","Status","RowCount","SourceHash","DestinationHash","SourceLastWriteUtc","PublishedUtc","HeartbeatAgeHours","IsFresh","CloudDeliveryVerified"})</t>
  </si>
  <si>
    <t>C:\Users\Dryou\OneDrive</t>
  </si>
  <si>
    <t>892525830</t>
  </si>
  <si>
    <t>Success</t>
  </si>
  <si>
    <t>94c4355fa98f292185ecd6242b7d3c9691774c4b0105f0ebce72e888beeb6a7e</t>
  </si>
  <si>
    <t>892525831</t>
  </si>
  <si>
    <t>d4f799412f711558597f0aac65e95c475a5d950ec5b0c57d997dfc21dfaa23c7</t>
  </si>
  <si>
    <t>892525833</t>
  </si>
  <si>
    <t>31fb85e6ff35772e2c1c9faab1a1adc41d6c67745775248d167ebb4ba4c244a4</t>
  </si>
  <si>
    <t>892525834</t>
  </si>
  <si>
    <t>ef891ac770eec41f1ff80e6ad96e203df58a8fd0c160b7ccacf373c0d4851d9d</t>
  </si>
  <si>
    <t>Vantage Markets (Pty) Ltd</t>
  </si>
  <si>
    <t>XAUUSD+</t>
  </si>
  <si>
    <t>XAUUSD</t>
  </si>
  <si>
    <t>BUY</t>
  </si>
  <si>
    <t>OTHER</t>
  </si>
  <si>
    <t>RECOVERY_PROFIT</t>
  </si>
  <si>
    <t>892525830_1400_XAUUSD_1787893638</t>
  </si>
  <si>
    <t>AmmarTradingGoldEA</t>
  </si>
  <si>
    <t>3.00</t>
  </si>
  <si>
    <t>892525830|892525830_1400_XAUUSD_1787893638</t>
  </si>
  <si>
    <t>0.04|1400|0|35|50|35|85|35|2|23|1|0|10|1|10|5|1|5000|1440|0|0|0|0|14|25|3|8|3|1|1|1|1|1|1|0|60|0</t>
  </si>
  <si>
    <t>TP</t>
  </si>
  <si>
    <t>SELL</t>
  </si>
  <si>
    <t>KILL</t>
  </si>
  <si>
    <t>892525831_1400_XAUUSD_1788139132</t>
  </si>
  <si>
    <t>892525831|892525831_1400_XAUUSD_1788139132</t>
  </si>
  <si>
    <t>0.01|1400|0|35|50|35|85|35|2|23|1|0|10|1|5|2|1|5000|1440|0|0|0|0|14|25|3|8|3|1|1|1|1|1|1|0|60|0</t>
  </si>
  <si>
    <t>892525833_1400_XAUUSD_1788139132</t>
  </si>
  <si>
    <t>892525833|892525833_1400_XAUUSD_1788139132</t>
  </si>
  <si>
    <t>0.04|1400|0|35|50|35|85|35|2|23|1|0|10|1|7|3|1|5000|1440|0|0|0|0|14|25|3|8|3|1|1|1|1|1|1|0|60|0</t>
  </si>
  <si>
    <t>892525834_1400_XAUUSD_1787961419</t>
  </si>
  <si>
    <t>892525834|892525834_1400_XAUUSD_1787961419</t>
  </si>
  <si>
    <t>NORMAL_PROFIT</t>
  </si>
  <si>
    <t>AmarTrading - REAL VPS verification</t>
  </si>
  <si>
    <t>Source VPS: fxut8768197</t>
  </si>
  <si>
    <t>Snapshot UTC: 2026-09-04T21:47:16.2806658Z</t>
  </si>
  <si>
    <t>Local OneDrive: C:\Users\Dryou\OneDrive</t>
  </si>
  <si>
    <t>Account</t>
  </si>
  <si>
    <t>CSV rows</t>
  </si>
  <si>
    <t>Excel rows</t>
  </si>
  <si>
    <t>CSV ClosePL</t>
  </si>
  <si>
    <t>Excel ClosePL</t>
  </si>
  <si>
    <t>Result</t>
  </si>
  <si>
    <t>PASS</t>
  </si>
  <si>
    <t>PASS: Refresh All matches all 1,062 CSV rows across four real accounts.</t>
  </si>
  <si>
    <t>PASS: 8 copied file hashes match the VPS snapshot.</t>
  </si>
  <si>
    <t>Cloud sync on VPS needs OneDrive sign-in. This test uses a copied snapshot.</t>
  </si>
  <si>
    <t>Current result</t>
  </si>
  <si>
    <t>Meaning</t>
  </si>
  <si>
    <t>Imported basket rows</t>
  </si>
  <si>
    <t>Live table row count after Refresh All; no sample baseline.</t>
  </si>
  <si>
    <t>Derived from the imported CsvSchemaVersion column.</t>
  </si>
  <si>
    <t>Account/run groups</t>
  </si>
  <si>
    <t>Zero means imported account identifiers agree with their folders.</t>
  </si>
  <si>
    <t>Account Analysis compares configuration fingerprints within each run.</t>
  </si>
  <si>
    <t>Status records</t>
  </si>
  <si>
    <t>Local heartbeat records; cloud delivery requires separate verification.</t>
  </si>
  <si>
    <t>Fresh heartbeats</t>
  </si>
  <si>
    <t>Derived from heartbeat timestamps and status.</t>
  </si>
  <si>
    <t>Queries embedded</t>
  </si>
  <si>
    <t>Set OneDriveRoot on Power Query Setup, then Data &gt; Refresh All. No M code pasting is needed.</t>
  </si>
  <si>
    <t>PASS: Account Analysis and Data Quality also match the real CSV data.</t>
  </si>
  <si>
    <t>Account/run analysis (Excel 2019 compatible). Refresh All updates imported data; current account/run groups are listed below.</t>
  </si>
  <si>
    <t>Count of populated Account Analysis rows; no dynamic spill reference.</t>
  </si>
  <si>
    <t>Analysis group coverage</t>
  </si>
  <si>
    <t>Every imported account/run pair must have a matching Account Analysis row.</t>
  </si>
  <si>
    <t>Duplicate analysis keys</t>
  </si>
  <si>
    <t>Account and Run ID together must be unique.</t>
  </si>
  <si>
    <t>Excel compatibility</t>
  </si>
  <si>
    <t>Excel 2019 formulas</t>
  </si>
  <si>
    <t>Analysis rows are prefilled for current groups; copy a complete row through hidden drawdown helpers for a new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</si>
</sst>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\$#,##0.00;[Red]\(\$#,##0.00\);\-"/>
  </numFmts>
  <fonts count="10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6"/>
      <color rgb="FFFFFFFF"/>
      <name val="Carlito"/>
    </font>
    <font>
      <i/>
      <sz val="11"/>
      <color rgb="FF666666"/>
      <name val="Carlito"/>
    </font>
    <font>
      <sz val="11"/>
      <color rgb="FF000000"/>
      <name val="Carlito"/>
    </font>
    <font>
      <i/>
      <sz val="11"/>
      <name val="Carlito"/>
    </font>
    <font>
      <sz val="9"/>
      <name val="Consolas"/>
    </font>
    <font>
      <sz val="8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47C20"/>
      </patternFill>
    </fill>
    <fill>
      <patternFill patternType="solid">
        <fgColor rgb="FF9E3D38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7B7B7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5" fillId="5" borderId="2" xfId="0" applyFont="1" applyFill="1" applyBorder="1" applyAlignment="1">
      <alignment wrapText="1"/>
    </xf>
    <xf numFmtId="164" fontId="5" fillId="5" borderId="2" xfId="0" applyNumberFormat="1" applyFont="1" applyFill="1" applyBorder="1" applyAlignment="1">
      <alignment wrapText="1"/>
    </xf>
    <xf numFmtId="164" fontId="0" fillId="0" borderId="2" xfId="0" applyNumberFormat="1" applyBorder="1" applyAlignment="1">
      <alignment wrapText="1"/>
    </xf>
    <xf numFmtId="165" fontId="5" fillId="5" borderId="2" xfId="0" applyNumberFormat="1" applyFont="1" applyFill="1" applyBorder="1" applyAlignment="1">
      <alignment wrapText="1"/>
    </xf>
    <xf numFmtId="165" fontId="0" fillId="0" borderId="2" xfId="0" applyNumberFormat="1" applyBorder="1" applyAlignment="1">
      <alignment wrapText="1"/>
    </xf>
    <xf numFmtId="10" fontId="5" fillId="5" borderId="2" xfId="0" applyNumberFormat="1" applyFont="1" applyFill="1" applyBorder="1" applyAlignment="1">
      <alignment wrapText="1"/>
    </xf>
    <xf numFmtId="10" fontId="0" fillId="0" borderId="2" xfId="0" applyNumberFormat="1" applyBorder="1" applyAlignment="1">
      <alignment wrapText="1"/>
    </xf>
    <xf numFmtId="0" fontId="2" fillId="6" borderId="2" xfId="0" applyFont="1" applyFill="1" applyBorder="1"/>
    <xf numFmtId="22" fontId="0" fillId="0" borderId="0" xfId="0" applyNumberFormat="1"/>
    <xf numFmtId="14" fontId="0" fillId="0" borderId="0" xfId="0" applyNumberFormat="1"/>
    <xf numFmtId="0" fontId="7" fillId="0" borderId="0" xfId="0" quotePrefix="1" applyFont="1"/>
    <xf numFmtId="0" fontId="0" fillId="0" borderId="0" xfId="0" quotePrefix="1"/>
    <xf numFmtId="0" fontId="9" fillId="0" borderId="0" xfId="0" applyFont="1"/>
    <xf numFmtId="0" fontId="9" fillId="0" borderId="3" xfId="0" applyFont="1" applyBorder="1"/>
    <xf numFmtId="0" fontId="0" fillId="0" borderId="3" xfId="0" applyBorder="1"/>
    <xf numFmtId="4" fontId="0" fillId="0" borderId="3" xfId="0" applyNumberFormat="1" applyBorder="1"/>
    <xf numFmtId="49" fontId="5" fillId="5" borderId="2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wrapText="1"/>
    </xf>
    <xf numFmtId="0" fontId="4" fillId="4" borderId="4" xfId="0" applyFont="1" applyFill="1" applyBorder="1"/>
    <xf numFmtId="0" fontId="3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wrapText="1"/>
    </xf>
  </cellXfs>
  <cellStyles count="1">
    <cellStyle name="Normal" xfId="0" builtinId="0"/>
  </cellStyles>
  <dxfs count="15">
    <dxf>
      <numFmt numFmtId="27" formatCode="m/d/yyyy\ h:mm"/>
    </dxf>
    <dxf>
      <numFmt numFmtId="19" formatCode="m/d/yyyy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5328CE68-1D10-440A-863C-42AA5662DA66}" autoFormatId="0" applyNumberFormats="0" applyBorderFormats="0" applyFontFormats="1" applyPatternFormats="1" applyAlignmentFormats="0" applyWidthHeightFormats="0">
  <queryTableRefresh nextId="13">
    <queryTableFields count="12">
      <queryTableField id="1" name="AccountNumber" tableColumnId="13"/>
      <queryTableField id="2" name="FolderAccountNumber" tableColumnId="14"/>
      <queryTableField id="3" name="FolderAccountMismatch" tableColumnId="15"/>
      <queryTableField id="4" name="Status" tableColumnId="16"/>
      <queryTableField id="5" name="RowCount" tableColumnId="17"/>
      <queryTableField id="6" name="SourceHash" tableColumnId="18"/>
      <queryTableField id="7" name="DestinationHash" tableColumnId="19"/>
      <queryTableField id="8" name="SourceLastWriteUtc" tableColumnId="20"/>
      <queryTableField id="9" name="PublishedUtc" tableColumnId="21"/>
      <queryTableField id="10" name="HeartbeatAgeHours" tableColumnId="22"/>
      <queryTableField id="11" name="IsFresh" tableColumnId="23"/>
      <queryTableField id="12" name="CloudDeliveryVerified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61469A43-CA2B-4A14-B086-F9D1F316172E}" autoFormatId="0" applyNumberFormats="0" applyBorderFormats="0" applyFontFormats="1" applyPatternFormats="1" applyAlignmentFormats="0" applyWidthHeightFormats="0">
  <queryTableRefresh nextId="76">
    <queryTableFields count="75">
      <queryTableField id="1" name="AccountNumber" tableColumnId="76"/>
      <queryTableField id="2" name="BrokerName" tableColumnId="77"/>
      <queryTableField id="3" name="BasketID" tableColumnId="78"/>
      <queryTableField id="4" name="Symbol" tableColumnId="79"/>
      <queryTableField id="5" name="SymbolNormalized" tableColumnId="80"/>
      <queryTableField id="6" name="Timeframe" tableColumnId="81"/>
      <queryTableField id="7" name="StartTime" tableColumnId="82"/>
      <queryTableField id="8" name="EndTime" tableColumnId="83"/>
      <queryTableField id="9" name="DurationSeconds" tableColumnId="84"/>
      <queryTableField id="10" name="Direction" tableColumnId="85"/>
      <queryTableField id="11" name="OrdersCount" tableColumnId="86"/>
      <queryTableField id="12" name="TotalLots" tableColumnId="87"/>
      <queryTableField id="13" name="FixedLots" tableColumnId="88"/>
      <queryTableField id="14" name="MaxOrdersConcurrent" tableColumnId="89"/>
      <queryTableField id="15" name="MaxTotalLots" tableColumnId="90"/>
      <queryTableField id="16" name="MaxFloatingDrawdownAbs" tableColumnId="91"/>
      <queryTableField id="17" name="MaxFloatingProfit" tableColumnId="92"/>
      <queryTableField id="18" name="ClosePL" tableColumnId="93"/>
      <queryTableField id="19" name="CloseReason" tableColumnId="94"/>
      <queryTableField id="20" name="OutcomeClass" tableColumnId="95"/>
      <queryTableField id="21" name="SpreadAtEntry" tableColumnId="96"/>
      <queryTableField id="22" name="EquityAtEntry" tableColumnId="97"/>
      <queryTableField id="23" name="HeadroomAtEntry" tableColumnId="98"/>
      <queryTableField id="24" name="MinHeadroom" tableColumnId="99"/>
      <queryTableField id="25" name="TimesNearKill" tableColumnId="100"/>
      <queryTableField id="26" name="ExposureBlocks" tableColumnId="101"/>
      <queryTableField id="27" name="PipsStep" tableColumnId="102"/>
      <queryTableField id="28" name="TakeProfit" tableColumnId="103"/>
      <queryTableField id="29" name="KillEquityLevel" tableColumnId="104"/>
      <queryTableField id="30" name="MaxOrdersInBasket" tableColumnId="105"/>
      <queryTableField id="31" name="MaxTotalLotsInBasket" tableColumnId="106"/>
      <queryTableField id="32" name="EquityAtExit" tableColumnId="107"/>
      <queryTableField id="33" name="BalanceAfter" tableColumnId="108"/>
      <queryTableField id="34" name="TradeDate" tableColumnId="109"/>
      <queryTableField id="35" name="RunID" tableColumnId="110"/>
      <queryTableField id="36" name="RunStartTime" tableColumnId="111"/>
      <queryTableField id="37" name="RunStartBalance" tableColumnId="112"/>
      <queryTableField id="38" name="EAName" tableColumnId="113"/>
      <queryTableField id="39" name="EAVersion" tableColumnId="114"/>
      <queryTableField id="40" name="Magic" tableColumnId="115"/>
      <queryTableField id="41" name="PointsPerPip" tableColumnId="116"/>
      <queryTableField id="42" name="Tral" tableColumnId="117"/>
      <queryTableField id="43" name="TralStart" tableColumnId="118"/>
      <queryTableField id="44" name="MaxSpread" tableColumnId="119"/>
      <queryTableField id="45" name="TimeStart" tableColumnId="120"/>
      <queryTableField id="46" name="TimeEnd" tableColumnId="121"/>
      <queryTableField id="47" name="OpenTime" tableColumnId="122"/>
      <queryTableField id="48" name="NewBasketDelaySeconds" tableColumnId="123"/>
      <queryTableField id="49" name="SpeedEA" tableColumnId="124"/>
      <queryTableField id="50" name="UseBasketTrailingTP" tableColumnId="125"/>
      <queryTableField id="51" name="TrailingStart" tableColumnId="126"/>
      <queryTableField id="52" name="TrailingStep" tableColumnId="127"/>
      <queryTableField id="53" name="KillSwitchEnable" tableColumnId="128"/>
      <queryTableField id="54" name="KillCooldownMinutes" tableColumnId="129"/>
      <queryTableField id="55" name="RegimeEnable" tableColumnId="130"/>
      <queryTableField id="56" name="RegimeAction" tableColumnId="131"/>
      <queryTableField id="57" name="RegimeADXPeriod" tableColumnId="132"/>
      <queryTableField id="58" name="RegimeADXLevel" tableColumnId="133"/>
      <queryTableField id="59" name="RegimeADXBars" tableColumnId="134"/>
      <queryTableField id="60" name="RegimeRangeBars" tableColumnId="135"/>
      <queryTableField id="61" name="RegimeRecoveryBars" tableColumnId="136"/>
      <queryTableField id="62" name="EnableTradingDaysFilter" tableColumnId="137"/>
      <queryTableField id="63" name="TradeMonday" tableColumnId="138"/>
      <queryTableField id="64" name="TradeTuesday" tableColumnId="139"/>
      <queryTableField id="65" name="TradeWednesday" tableColumnId="140"/>
      <queryTableField id="66" name="TradeThursday" tableColumnId="141"/>
      <queryTableField id="67" name="TradeFriday" tableColumnId="142"/>
      <queryTableField id="68" name="EnableRecoveryStepUp" tableColumnId="143"/>
      <queryTableField id="69" name="RecoveryWaitMinutes" tableColumnId="144"/>
      <queryTableField id="70" name="RecoveryMaxTotalLotsInBasket" tableColumnId="145"/>
      <queryTableField id="71" name="CsvSchemaVersion" tableColumnId="146"/>
      <queryTableField id="72" name="FolderAccountNumber" tableColumnId="147"/>
      <queryTableField id="73" name="RunKey" tableColumnId="148"/>
      <queryTableField id="74" name="FolderAccountMismatch" tableColumnId="149"/>
      <queryTableField id="75" name="ConfigFingerprint" tableColumnId="1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728E3A-89B0-415C-B7B5-AB5C5F01E2E9}" name="SyncStatusTable" displayName="SyncStatusTable" ref="A1:L5" tableType="queryTable" totalsRowShown="0">
  <autoFilter ref="A1:L5" xr:uid="{03728E3A-89B0-415C-B7B5-AB5C5F01E2E9}"/>
  <tableColumns count="12">
    <tableColumn id="13" xr3:uid="{E0B2E4CF-2CE1-4AFF-A7FE-9C5AB2EF0E8E}" uniqueName="13" name="AccountNumber" queryTableFieldId="1" dataDxfId="14"/>
    <tableColumn id="14" xr3:uid="{7DCF0359-51F0-4C50-86D7-E1BDAA17FE20}" uniqueName="14" name="FolderAccountNumber" queryTableFieldId="2" dataDxfId="13"/>
    <tableColumn id="15" xr3:uid="{6ECBBCA5-0A5A-4303-BD6C-05304CEFF9CC}" uniqueName="15" name="FolderAccountMismatch" queryTableFieldId="3"/>
    <tableColumn id="16" xr3:uid="{33F7CDFB-FC2D-4567-8098-24EA5E24E7D4}" uniqueName="16" name="Status" queryTableFieldId="4" dataDxfId="12"/>
    <tableColumn id="17" xr3:uid="{9341A534-59FB-4967-B5AE-CEE30E96A8DF}" uniqueName="17" name="RowCount" queryTableFieldId="5"/>
    <tableColumn id="18" xr3:uid="{503EE8EB-16DF-4D9C-B579-8E793664B08A}" uniqueName="18" name="SourceHash" queryTableFieldId="6" dataDxfId="11"/>
    <tableColumn id="19" xr3:uid="{22C64E71-E121-4124-B0D5-4719EFB174B7}" uniqueName="19" name="DestinationHash" queryTableFieldId="7" dataDxfId="10"/>
    <tableColumn id="20" xr3:uid="{B1D8BA46-CF3C-4445-A0FA-8DD336F9933D}" uniqueName="20" name="SourceLastWriteUtc" queryTableFieldId="8" dataDxfId="5"/>
    <tableColumn id="21" xr3:uid="{0C74E712-D8DC-407E-9905-60C90DC8FB6F}" uniqueName="21" name="PublishedUtc" queryTableFieldId="9" dataDxfId="4"/>
    <tableColumn id="22" xr3:uid="{52952647-CDDF-4E69-A601-73218E91757F}" uniqueName="22" name="HeartbeatAgeHours" queryTableFieldId="10"/>
    <tableColumn id="23" xr3:uid="{9248976B-8DF0-41CC-9D78-BF312706CD26}" uniqueName="23" name="IsFresh" queryTableFieldId="11"/>
    <tableColumn id="24" xr3:uid="{FAC3B8F4-59E4-459B-BD99-A53DB1E56FEF}" uniqueName="24" name="CloudDeliveryVerified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ManualFieldsTable" displayName="ManualFieldsTable" ref="A1:H101" totalsRowShown="0">
  <tableColumns count="8">
    <tableColumn id="1" xr3:uid="{00000000-0010-0000-0000-000001000000}" name="Run Key"/>
    <tableColumn id="2" xr3:uid="{00000000-0010-0000-0000-000002000000}" name="Account #"/>
    <tableColumn id="3" xr3:uid="{00000000-0010-0000-0000-000003000000}" name="Run ID"/>
    <tableColumn id="4" xr3:uid="{00000000-0010-0000-0000-000004000000}" name="Name"/>
    <tableColumn id="5" xr3:uid="{00000000-0010-0000-0000-000005000000}" name="Account Type"/>
    <tableColumn id="6" xr3:uid="{00000000-0010-0000-0000-000006000000}" name="Server / VPS"/>
    <tableColumn id="7" xr3:uid="{00000000-0010-0000-0000-000007000000}" name="MT4 Label"/>
    <tableColumn id="8" xr3:uid="{00000000-0010-0000-0000-000008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0CDCA7-347D-40FB-9F91-4D905AE4787B}" name="BasketDataTable" displayName="BasketDataTable" ref="A1:BW1063" tableType="queryTable" totalsRowShown="0">
  <autoFilter ref="A1:BW1063" xr:uid="{250CDCA7-347D-40FB-9F91-4D905AE4787B}"/>
  <tableColumns count="75">
    <tableColumn id="76" xr3:uid="{CE6B1083-4BB1-45D6-8548-B018CB68EBEF}" uniqueName="76" name="AccountNumber" queryTableFieldId="1" dataDxfId="9"/>
    <tableColumn id="77" xr3:uid="{885DB414-E941-4FD9-B7DE-A22C09C4C449}" uniqueName="77" name="BrokerName" queryTableFieldId="2"/>
    <tableColumn id="78" xr3:uid="{ADA6418F-A3AF-4296-BA13-D4F40F07BAF7}" uniqueName="78" name="BasketID" queryTableFieldId="3"/>
    <tableColumn id="79" xr3:uid="{B2FBEA23-664D-4F73-990B-B1ED3EDED001}" uniqueName="79" name="Symbol" queryTableFieldId="4"/>
    <tableColumn id="80" xr3:uid="{6C019F2A-6E48-4B72-A7EA-9653650466D4}" uniqueName="80" name="SymbolNormalized" queryTableFieldId="5"/>
    <tableColumn id="81" xr3:uid="{140F78FF-56A0-4D72-9E24-D389F74ADA3A}" uniqueName="81" name="Timeframe" queryTableFieldId="6"/>
    <tableColumn id="82" xr3:uid="{FDFDC75F-02B1-4606-8C93-6F983D7209D5}" uniqueName="82" name="StartTime" queryTableFieldId="7" dataDxfId="3"/>
    <tableColumn id="83" xr3:uid="{EA24DB64-96E7-4F4E-99A5-80E66B15AA4D}" uniqueName="83" name="EndTime" queryTableFieldId="8" dataDxfId="2"/>
    <tableColumn id="84" xr3:uid="{24148E25-EF78-4EFD-BF87-76F268468855}" uniqueName="84" name="DurationSeconds" queryTableFieldId="9"/>
    <tableColumn id="85" xr3:uid="{6236C989-4BA6-4EE3-A699-FE12C06D65F8}" uniqueName="85" name="Direction" queryTableFieldId="10"/>
    <tableColumn id="86" xr3:uid="{6F47389A-07BF-40C1-9458-509FD1FD82B8}" uniqueName="86" name="OrdersCount" queryTableFieldId="11"/>
    <tableColumn id="87" xr3:uid="{A90C48A1-C675-4678-AFB8-C05B70042DF5}" uniqueName="87" name="TotalLots" queryTableFieldId="12"/>
    <tableColumn id="88" xr3:uid="{4F51DEF6-09FC-4327-ACC3-2F696F58EE50}" uniqueName="88" name="FixedLots" queryTableFieldId="13"/>
    <tableColumn id="89" xr3:uid="{CA68EFFA-8CB4-4B80-B21F-93F5BA6BC5DF}" uniqueName="89" name="MaxOrdersConcurrent" queryTableFieldId="14"/>
    <tableColumn id="90" xr3:uid="{31A79234-3D07-4946-9703-A6636EBC2F68}" uniqueName="90" name="MaxTotalLots" queryTableFieldId="15"/>
    <tableColumn id="91" xr3:uid="{879911BA-3527-4972-8A8E-53A7CD0A1AC2}" uniqueName="91" name="MaxFloatingDrawdownAbs" queryTableFieldId="16"/>
    <tableColumn id="92" xr3:uid="{67A82838-1C23-4776-8038-E54B7AE9A1DA}" uniqueName="92" name="MaxFloatingProfit" queryTableFieldId="17"/>
    <tableColumn id="93" xr3:uid="{5E69852C-89ED-4F89-9C44-F17480E9D9F1}" uniqueName="93" name="ClosePL" queryTableFieldId="18"/>
    <tableColumn id="94" xr3:uid="{A5994D33-5358-4934-A261-00ABF57E7D0F}" uniqueName="94" name="CloseReason" queryTableFieldId="19"/>
    <tableColumn id="95" xr3:uid="{4E2CC80E-865F-4AE6-9858-6E7D640EB0C4}" uniqueName="95" name="OutcomeClass" queryTableFieldId="20"/>
    <tableColumn id="96" xr3:uid="{25E5F310-2E3B-4287-AD25-1A96A7D1FA2E}" uniqueName="96" name="SpreadAtEntry" queryTableFieldId="21"/>
    <tableColumn id="97" xr3:uid="{64381515-39A6-4E35-8A2A-93EE03BFD4E5}" uniqueName="97" name="EquityAtEntry" queryTableFieldId="22"/>
    <tableColumn id="98" xr3:uid="{29C15F36-AAC3-486C-88EA-664E75F2B58A}" uniqueName="98" name="HeadroomAtEntry" queryTableFieldId="23"/>
    <tableColumn id="99" xr3:uid="{A3EBDF48-2242-4E7E-A0C0-9D2ACBE46EFB}" uniqueName="99" name="MinHeadroom" queryTableFieldId="24"/>
    <tableColumn id="100" xr3:uid="{7047C35F-CAA2-49E4-AB83-7F89D1351292}" uniqueName="100" name="TimesNearKill" queryTableFieldId="25"/>
    <tableColumn id="101" xr3:uid="{88B65318-42F2-4779-8CE2-1FF091D43511}" uniqueName="101" name="ExposureBlocks" queryTableFieldId="26"/>
    <tableColumn id="102" xr3:uid="{CCA245AF-DB4E-41B3-BD55-571930451346}" uniqueName="102" name="PipsStep" queryTableFieldId="27"/>
    <tableColumn id="103" xr3:uid="{B948D45D-4C3F-41C2-9035-C10C849C1E91}" uniqueName="103" name="TakeProfit" queryTableFieldId="28"/>
    <tableColumn id="104" xr3:uid="{C502F0B7-4589-4C49-90A5-110227689727}" uniqueName="104" name="KillEquityLevel" queryTableFieldId="29"/>
    <tableColumn id="105" xr3:uid="{1022E579-1FDF-4CE1-85BF-179D0C2B5A1C}" uniqueName="105" name="MaxOrdersInBasket" queryTableFieldId="30"/>
    <tableColumn id="106" xr3:uid="{E4980E5F-1D7B-43C5-AB58-DCBECA57049E}" uniqueName="106" name="MaxTotalLotsInBasket" queryTableFieldId="31"/>
    <tableColumn id="107" xr3:uid="{A28908EA-DD90-413B-9E5E-AE26FF7A2273}" uniqueName="107" name="EquityAtExit" queryTableFieldId="32"/>
    <tableColumn id="108" xr3:uid="{5EB19B24-DB59-4E8C-8633-EBBE8B98E638}" uniqueName="108" name="BalanceAfter" queryTableFieldId="33"/>
    <tableColumn id="109" xr3:uid="{D815DF08-2BD2-412D-B58D-2DAE283D5222}" uniqueName="109" name="TradeDate" queryTableFieldId="34" dataDxfId="1"/>
    <tableColumn id="110" xr3:uid="{6581F4C8-8D87-495D-9C43-1D8B05D40A05}" uniqueName="110" name="RunID" queryTableFieldId="35"/>
    <tableColumn id="111" xr3:uid="{2F061851-8078-496C-AF45-ACCD408FCDB8}" uniqueName="111" name="RunStartTime" queryTableFieldId="36" dataDxfId="0"/>
    <tableColumn id="112" xr3:uid="{5D82D02A-2397-40E9-AC9A-DE6914AAE604}" uniqueName="112" name="RunStartBalance" queryTableFieldId="37"/>
    <tableColumn id="113" xr3:uid="{8096A9FA-C98C-4523-A5AD-E4DFFCDF859C}" uniqueName="113" name="EAName" queryTableFieldId="38"/>
    <tableColumn id="114" xr3:uid="{2F5148DD-2E89-4755-8C89-C0063DEFD0A9}" uniqueName="114" name="EAVersion" queryTableFieldId="39"/>
    <tableColumn id="115" xr3:uid="{3AFE263A-5D97-4F84-A83C-5F0D232C1F59}" uniqueName="115" name="Magic" queryTableFieldId="40"/>
    <tableColumn id="116" xr3:uid="{E74BA369-8EC3-4B58-BC4B-48FA123C6040}" uniqueName="116" name="PointsPerPip" queryTableFieldId="41"/>
    <tableColumn id="117" xr3:uid="{11DE96E1-4917-4E8E-9B57-07DB5E313F8B}" uniqueName="117" name="Tral" queryTableFieldId="42"/>
    <tableColumn id="118" xr3:uid="{8D610903-F134-48B3-B948-14CEFF63DDA8}" uniqueName="118" name="TralStart" queryTableFieldId="43"/>
    <tableColumn id="119" xr3:uid="{6D596094-695D-4BDD-B6E8-5EC8174C37B0}" uniqueName="119" name="MaxSpread" queryTableFieldId="44"/>
    <tableColumn id="120" xr3:uid="{82463378-08AA-493F-B2F9-D556603A7552}" uniqueName="120" name="TimeStart" queryTableFieldId="45"/>
    <tableColumn id="121" xr3:uid="{015FFA5A-FA85-4FD3-8D62-BEB0FF7019E5}" uniqueName="121" name="TimeEnd" queryTableFieldId="46"/>
    <tableColumn id="122" xr3:uid="{CB7759D8-20E4-4D29-86FC-05F3585CD298}" uniqueName="122" name="OpenTime" queryTableFieldId="47"/>
    <tableColumn id="123" xr3:uid="{CB212F79-1548-4076-A2EC-32085E1AA995}" uniqueName="123" name="NewBasketDelaySeconds" queryTableFieldId="48"/>
    <tableColumn id="124" xr3:uid="{31FE8FC7-B042-4038-A6D3-777C8652D869}" uniqueName="124" name="SpeedEA" queryTableFieldId="49"/>
    <tableColumn id="125" xr3:uid="{6F2364CD-4C0A-4931-A367-12B49F702C3C}" uniqueName="125" name="UseBasketTrailingTP" queryTableFieldId="50"/>
    <tableColumn id="126" xr3:uid="{FA848E63-02E1-4190-88AB-C5590EF79116}" uniqueName="126" name="TrailingStart" queryTableFieldId="51"/>
    <tableColumn id="127" xr3:uid="{95A2F977-5BB0-452F-BD90-F5B2FE699E07}" uniqueName="127" name="TrailingStep" queryTableFieldId="52"/>
    <tableColumn id="128" xr3:uid="{77CCC998-A214-4FCB-9DBC-A2A3CDCDDABA}" uniqueName="128" name="KillSwitchEnable" queryTableFieldId="53"/>
    <tableColumn id="129" xr3:uid="{3FE3E5E0-4750-49C5-81AD-84F5EBE604C9}" uniqueName="129" name="KillCooldownMinutes" queryTableFieldId="54"/>
    <tableColumn id="130" xr3:uid="{FE8247AC-9E2F-4F02-AF94-EE98ED882CD7}" uniqueName="130" name="RegimeEnable" queryTableFieldId="55"/>
    <tableColumn id="131" xr3:uid="{9B773E92-0092-4B08-82A6-F38A50CEC312}" uniqueName="131" name="RegimeAction" queryTableFieldId="56"/>
    <tableColumn id="132" xr3:uid="{0A1E2B5D-D30C-4911-9229-6FF9F650D694}" uniqueName="132" name="RegimeADXPeriod" queryTableFieldId="57"/>
    <tableColumn id="133" xr3:uid="{F4E061B3-7868-4EBA-9B5C-F5A6C856573D}" uniqueName="133" name="RegimeADXLevel" queryTableFieldId="58"/>
    <tableColumn id="134" xr3:uid="{BDDD670A-70DB-480A-9DC9-DFB9DB04A187}" uniqueName="134" name="RegimeADXBars" queryTableFieldId="59"/>
    <tableColumn id="135" xr3:uid="{010AE00A-35FC-46BC-8234-7EA76A6B9CE4}" uniqueName="135" name="RegimeRangeBars" queryTableFieldId="60"/>
    <tableColumn id="136" xr3:uid="{43F36296-61E7-4A2E-9DE0-BD42F60403C3}" uniqueName="136" name="RegimeRecoveryBars" queryTableFieldId="61"/>
    <tableColumn id="137" xr3:uid="{E3B235D2-A5FE-4968-8169-0E366C1F694F}" uniqueName="137" name="EnableTradingDaysFilter" queryTableFieldId="62"/>
    <tableColumn id="138" xr3:uid="{0FA4A209-884A-4F99-9F83-483F7BB5DB71}" uniqueName="138" name="TradeMonday" queryTableFieldId="63"/>
    <tableColumn id="139" xr3:uid="{43629451-E0D5-44B5-B8A0-1A04198C1F33}" uniqueName="139" name="TradeTuesday" queryTableFieldId="64"/>
    <tableColumn id="140" xr3:uid="{34B95044-1E39-47A9-928C-7B5DBD835928}" uniqueName="140" name="TradeWednesday" queryTableFieldId="65"/>
    <tableColumn id="141" xr3:uid="{88FAE8F9-E4A6-4F45-B0C3-6AF7E116B28D}" uniqueName="141" name="TradeThursday" queryTableFieldId="66"/>
    <tableColumn id="142" xr3:uid="{B081BAFE-1372-4BF9-9477-B0703108AA2B}" uniqueName="142" name="TradeFriday" queryTableFieldId="67"/>
    <tableColumn id="143" xr3:uid="{CD58073D-57F2-4E1F-93FD-F22DCE73FF1D}" uniqueName="143" name="EnableRecoveryStepUp" queryTableFieldId="68"/>
    <tableColumn id="144" xr3:uid="{2D62E7D9-93B9-463B-9BD0-126B20403FF2}" uniqueName="144" name="RecoveryWaitMinutes" queryTableFieldId="69"/>
    <tableColumn id="145" xr3:uid="{2D6C58C6-6350-44E8-830B-C62B33C53CE3}" uniqueName="145" name="RecoveryMaxTotalLotsInBasket" queryTableFieldId="70"/>
    <tableColumn id="146" xr3:uid="{8A3DA9E4-2FF9-4527-A9A1-D27840958C3E}" uniqueName="146" name="CsvSchemaVersion" queryTableFieldId="71"/>
    <tableColumn id="147" xr3:uid="{A5E62291-5761-4186-A6F6-99CEF14D3538}" uniqueName="147" name="FolderAccountNumber" queryTableFieldId="72" dataDxfId="8"/>
    <tableColumn id="148" xr3:uid="{069264B2-4172-4C5D-AC88-27A96ABB9C9E}" uniqueName="148" name="RunKey" queryTableFieldId="73" dataDxfId="7"/>
    <tableColumn id="149" xr3:uid="{C606C6B7-585E-45E4-8AA5-1C742FDD12DA}" uniqueName="149" name="FolderAccountMismatch" queryTableFieldId="74"/>
    <tableColumn id="150" xr3:uid="{B8CCAAC3-0A19-45BB-8FA2-11B1D9A65D24}" uniqueName="150" name="ConfigFingerprint" queryTableFieldId="75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1210-A85F-4BDB-BA0D-6A62D1F3D05B}">
  <dimension ref="A1:F15"/>
  <sheetViews>
    <sheetView tabSelected="1" zoomScale="60" zoomScaleNormal="60" workbookViewId="0"/>
  </sheetViews>
  <sheetFormatPr defaultRowHeight="14.25"/>
  <cols>
    <col min="1" max="1" width="25.625" customWidth="1"/>
    <col min="2" max="6" width="18.625" customWidth="1"/>
  </cols>
  <sheetData>
    <row r="1" spans="1:6" ht="15">
      <c r="A1" s="17" t="s">
        <v>275</v>
      </c>
      <c r="B1" s="17"/>
      <c r="C1" s="17"/>
      <c r="D1" s="17"/>
      <c r="E1" s="17"/>
      <c r="F1" s="17"/>
    </row>
    <row r="2" spans="1:6">
      <c r="A2" t="s">
        <v>276</v>
      </c>
    </row>
    <row r="3" spans="1:6">
      <c r="A3" t="s">
        <v>277</v>
      </c>
    </row>
    <row r="4" spans="1:6">
      <c r="A4" t="s">
        <v>278</v>
      </c>
    </row>
    <row r="6" spans="1:6" ht="15">
      <c r="A6" s="18" t="s">
        <v>279</v>
      </c>
      <c r="B6" s="18" t="s">
        <v>280</v>
      </c>
      <c r="C6" s="18" t="s">
        <v>281</v>
      </c>
      <c r="D6" s="18" t="s">
        <v>282</v>
      </c>
      <c r="E6" s="18" t="s">
        <v>283</v>
      </c>
      <c r="F6" s="18" t="s">
        <v>284</v>
      </c>
    </row>
    <row r="7" spans="1:6">
      <c r="A7" s="19">
        <v>892525830</v>
      </c>
      <c r="B7" s="19">
        <v>323</v>
      </c>
      <c r="C7" s="19">
        <v>323</v>
      </c>
      <c r="D7" s="20">
        <v>-2127.4899999999998</v>
      </c>
      <c r="E7" s="20">
        <v>-2127.4899999999998</v>
      </c>
      <c r="F7" s="19" t="s">
        <v>285</v>
      </c>
    </row>
    <row r="8" spans="1:6">
      <c r="A8" s="19">
        <v>892525831</v>
      </c>
      <c r="B8" s="19">
        <v>327</v>
      </c>
      <c r="C8" s="19">
        <v>327</v>
      </c>
      <c r="D8" s="20">
        <v>794.31</v>
      </c>
      <c r="E8" s="20">
        <v>794.31</v>
      </c>
      <c r="F8" s="19" t="s">
        <v>285</v>
      </c>
    </row>
    <row r="9" spans="1:6">
      <c r="A9" s="19">
        <v>892525833</v>
      </c>
      <c r="B9" s="19">
        <v>261</v>
      </c>
      <c r="C9" s="19">
        <v>261</v>
      </c>
      <c r="D9" s="20">
        <v>-3328.87</v>
      </c>
      <c r="E9" s="20">
        <v>-3328.87</v>
      </c>
      <c r="F9" s="19" t="s">
        <v>285</v>
      </c>
    </row>
    <row r="10" spans="1:6">
      <c r="A10" s="19">
        <v>892525834</v>
      </c>
      <c r="B10" s="19">
        <v>151</v>
      </c>
      <c r="C10" s="19">
        <v>151</v>
      </c>
      <c r="D10" s="20">
        <v>223.81</v>
      </c>
      <c r="E10" s="20">
        <v>223.81</v>
      </c>
      <c r="F10" s="19" t="s">
        <v>285</v>
      </c>
    </row>
    <row r="12" spans="1:6">
      <c r="A12" t="s">
        <v>286</v>
      </c>
    </row>
    <row r="13" spans="1:6">
      <c r="A13" t="s">
        <v>287</v>
      </c>
    </row>
    <row r="14" spans="1:6">
      <c r="A14" t="s">
        <v>288</v>
      </c>
    </row>
    <row r="15" spans="1:6">
      <c r="A15" t="s">
        <v>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F7FC-A30E-4261-B206-32FDB4042ABF}">
  <dimension ref="A1:L5"/>
  <sheetViews>
    <sheetView workbookViewId="0"/>
  </sheetViews>
  <sheetFormatPr defaultRowHeight="14.25"/>
  <cols>
    <col min="1" max="1" width="17.125" bestFit="1" customWidth="1"/>
    <col min="2" max="2" width="23" bestFit="1" customWidth="1"/>
    <col min="3" max="3" width="24.5" bestFit="1" customWidth="1"/>
    <col min="4" max="4" width="8.5" bestFit="1" customWidth="1"/>
    <col min="5" max="5" width="12.125" bestFit="1" customWidth="1"/>
    <col min="6" max="7" width="65" bestFit="1" customWidth="1"/>
    <col min="8" max="8" width="20.875" bestFit="1" customWidth="1"/>
    <col min="9" max="9" width="14.75" bestFit="1" customWidth="1"/>
    <col min="10" max="10" width="20.625" bestFit="1" customWidth="1"/>
    <col min="11" max="11" width="9.5" bestFit="1" customWidth="1"/>
    <col min="12" max="12" width="22.625" bestFit="1" customWidth="1"/>
  </cols>
  <sheetData>
    <row r="1" spans="1:12">
      <c r="A1" t="s">
        <v>76</v>
      </c>
      <c r="B1" t="s">
        <v>146</v>
      </c>
      <c r="C1" t="s">
        <v>148</v>
      </c>
      <c r="D1" t="s">
        <v>151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</row>
    <row r="2" spans="1:12">
      <c r="A2" t="s">
        <v>243</v>
      </c>
      <c r="B2" t="s">
        <v>243</v>
      </c>
      <c r="C2" t="b">
        <v>0</v>
      </c>
      <c r="D2" t="s">
        <v>244</v>
      </c>
      <c r="E2">
        <v>323</v>
      </c>
      <c r="F2" t="s">
        <v>245</v>
      </c>
      <c r="G2" t="s">
        <v>245</v>
      </c>
      <c r="H2" s="13">
        <v>46269.331937326388</v>
      </c>
      <c r="I2" s="13">
        <v>46269.904947754629</v>
      </c>
      <c r="J2">
        <v>115.51772863119444</v>
      </c>
      <c r="K2" t="b">
        <v>0</v>
      </c>
      <c r="L2" t="b">
        <v>0</v>
      </c>
    </row>
    <row r="3" spans="1:12">
      <c r="A3" t="s">
        <v>246</v>
      </c>
      <c r="B3" t="s">
        <v>246</v>
      </c>
      <c r="C3" t="b">
        <v>0</v>
      </c>
      <c r="D3" t="s">
        <v>244</v>
      </c>
      <c r="E3">
        <v>327</v>
      </c>
      <c r="F3" t="s">
        <v>247</v>
      </c>
      <c r="G3" t="s">
        <v>247</v>
      </c>
      <c r="H3" s="13">
        <v>46269.355522129626</v>
      </c>
      <c r="I3" s="13">
        <v>46269.905127152779</v>
      </c>
      <c r="J3">
        <v>115.51342313080555</v>
      </c>
      <c r="K3" t="b">
        <v>0</v>
      </c>
      <c r="L3" t="b">
        <v>0</v>
      </c>
    </row>
    <row r="4" spans="1:12">
      <c r="A4" t="s">
        <v>248</v>
      </c>
      <c r="B4" t="s">
        <v>248</v>
      </c>
      <c r="C4" t="b">
        <v>0</v>
      </c>
      <c r="D4" t="s">
        <v>244</v>
      </c>
      <c r="E4">
        <v>261</v>
      </c>
      <c r="F4" t="s">
        <v>249</v>
      </c>
      <c r="G4" t="s">
        <v>249</v>
      </c>
      <c r="H4" s="13">
        <v>46269.355523935184</v>
      </c>
      <c r="I4" s="13">
        <v>46269.905009421294</v>
      </c>
      <c r="J4">
        <v>115.51624861491666</v>
      </c>
      <c r="K4" t="b">
        <v>0</v>
      </c>
      <c r="L4" t="b">
        <v>0</v>
      </c>
    </row>
    <row r="5" spans="1:12">
      <c r="A5" t="s">
        <v>250</v>
      </c>
      <c r="B5" t="s">
        <v>250</v>
      </c>
      <c r="C5" t="b">
        <v>0</v>
      </c>
      <c r="D5" t="s">
        <v>244</v>
      </c>
      <c r="E5">
        <v>151</v>
      </c>
      <c r="F5" t="s">
        <v>251</v>
      </c>
      <c r="G5" t="s">
        <v>251</v>
      </c>
      <c r="H5" s="13">
        <v>46269.359884062498</v>
      </c>
      <c r="I5" s="13">
        <v>46269.90506005787</v>
      </c>
      <c r="J5">
        <v>115.51503335261111</v>
      </c>
      <c r="K5" t="b">
        <v>0</v>
      </c>
      <c r="L5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04"/>
  <sheetViews>
    <sheetView showGridLines="0" zoomScale="70" zoomScaleNormal="70" workbookViewId="0">
      <selection sqref="A1:BO1"/>
    </sheetView>
  </sheetViews>
  <sheetFormatPr defaultRowHeight="14.25"/>
  <cols>
    <col min="1" max="2" width="12" customWidth="1"/>
    <col min="3" max="3" width="22" customWidth="1"/>
    <col min="4" max="12" width="12" customWidth="1"/>
    <col min="13" max="13" width="16" customWidth="1"/>
    <col min="14" max="19" width="12" customWidth="1"/>
    <col min="20" max="20" width="16" customWidth="1"/>
    <col min="21" max="22" width="12" customWidth="1"/>
    <col min="23" max="23" width="16" customWidth="1"/>
    <col min="24" max="25" width="12" customWidth="1"/>
    <col min="26" max="26" width="16" customWidth="1"/>
    <col min="27" max="29" width="12" customWidth="1"/>
    <col min="30" max="30" width="16" customWidth="1"/>
    <col min="31" max="32" width="12" customWidth="1"/>
    <col min="33" max="33" width="32" customWidth="1"/>
    <col min="34" max="65" width="12" customWidth="1"/>
    <col min="66" max="66" width="16" customWidth="1"/>
    <col min="67" max="67" width="26" customWidth="1"/>
    <col min="68" max="77" width="0" hidden="1" customWidth="1"/>
  </cols>
  <sheetData>
    <row r="1" spans="1:77" ht="27.9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</row>
    <row r="2" spans="1:77" ht="1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 t="s">
        <v>2</v>
      </c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 t="s">
        <v>3</v>
      </c>
      <c r="AX2" s="25"/>
      <c r="AY2" s="25"/>
      <c r="AZ2" s="25"/>
      <c r="BA2" s="25"/>
      <c r="BB2" s="25"/>
      <c r="BC2" s="25"/>
      <c r="BD2" s="25"/>
      <c r="BE2" s="25"/>
      <c r="BF2" s="25"/>
      <c r="BG2" s="25" t="s">
        <v>4</v>
      </c>
      <c r="BH2" s="25"/>
      <c r="BI2" s="25"/>
      <c r="BJ2" s="25"/>
      <c r="BK2" s="25"/>
      <c r="BL2" s="25"/>
      <c r="BM2" s="25"/>
      <c r="BN2" s="25"/>
      <c r="BO2" s="25"/>
    </row>
    <row r="3" spans="1:77" ht="4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39</v>
      </c>
      <c r="AJ3" s="1" t="s">
        <v>40</v>
      </c>
      <c r="AK3" s="1" t="s">
        <v>41</v>
      </c>
      <c r="AL3" s="1" t="s">
        <v>42</v>
      </c>
      <c r="AM3" s="1" t="s">
        <v>43</v>
      </c>
      <c r="AN3" s="1" t="s">
        <v>44</v>
      </c>
      <c r="AO3" s="1" t="s">
        <v>45</v>
      </c>
      <c r="AP3" s="1" t="s">
        <v>46</v>
      </c>
      <c r="AQ3" s="1" t="s">
        <v>47</v>
      </c>
      <c r="AR3" s="1" t="s">
        <v>48</v>
      </c>
      <c r="AS3" s="1" t="s">
        <v>49</v>
      </c>
      <c r="AT3" s="1" t="s">
        <v>50</v>
      </c>
      <c r="AU3" s="1" t="s">
        <v>51</v>
      </c>
      <c r="AV3" s="1" t="s">
        <v>52</v>
      </c>
      <c r="AW3" s="1" t="s">
        <v>53</v>
      </c>
      <c r="AX3" s="1" t="s">
        <v>54</v>
      </c>
      <c r="AY3" s="1" t="s">
        <v>55</v>
      </c>
      <c r="AZ3" s="1" t="s">
        <v>56</v>
      </c>
      <c r="BA3" s="1" t="s">
        <v>57</v>
      </c>
      <c r="BB3" s="1" t="s">
        <v>58</v>
      </c>
      <c r="BC3" s="1" t="s">
        <v>59</v>
      </c>
      <c r="BD3" s="1" t="s">
        <v>60</v>
      </c>
      <c r="BE3" s="1" t="s">
        <v>61</v>
      </c>
      <c r="BF3" s="1" t="s">
        <v>62</v>
      </c>
      <c r="BG3" s="1" t="s">
        <v>63</v>
      </c>
      <c r="BH3" s="1" t="s">
        <v>64</v>
      </c>
      <c r="BI3" s="1" t="s">
        <v>65</v>
      </c>
      <c r="BJ3" s="1" t="s">
        <v>66</v>
      </c>
      <c r="BK3" s="1" t="s">
        <v>67</v>
      </c>
      <c r="BL3" s="1" t="s">
        <v>68</v>
      </c>
      <c r="BM3" s="1" t="s">
        <v>69</v>
      </c>
      <c r="BN3" s="1" t="s">
        <v>70</v>
      </c>
      <c r="BO3" s="1" t="s">
        <v>71</v>
      </c>
    </row>
    <row r="4" spans="1:77">
      <c r="A4" s="23" t="s">
        <v>304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</row>
    <row r="5" spans="1:77" ht="57">
      <c r="A5" s="21" t="s">
        <v>243</v>
      </c>
      <c r="B5" s="21" t="s">
        <v>258</v>
      </c>
      <c r="C5" s="5" t="str">
        <f>IFERROR(VLOOKUP($A5&amp;"|"&amp;$B5,ManualFieldsTable[],4,FALSE),"")</f>
        <v/>
      </c>
      <c r="D5" s="6">
        <f>IFERROR(INDEX(BasketDataTable[StartTime],MATCH($A5&amp;"|"&amp;$B5,BasketDataTable[RunKey],0)),"")</f>
        <v>46262.214490740742</v>
      </c>
      <c r="E5" s="5" t="str">
        <f>IFERROR(VLOOKUP($A5&amp;"|"&amp;$B5,ManualFieldsTable[],5,FALSE),"")</f>
        <v/>
      </c>
      <c r="F5" s="8">
        <f>IFERROR(LOOKUP(2,1/((BasketDataTable[AccountNumber]=$A5)*(BasketDataTable[RunID]=$B5)),BasketDataTable[RunStartBalance]),"")</f>
        <v>6066.68</v>
      </c>
      <c r="G5" s="5" t="str">
        <f>IFERROR(VLOOKUP($A5&amp;"|"&amp;$B5,ManualFieldsTable[],6,FALSE),"")</f>
        <v/>
      </c>
      <c r="H5" s="5" t="str">
        <f>IFERROR(VLOOKUP($A5&amp;"|"&amp;$B5,ManualFieldsTable[],7,FALSE),"")</f>
        <v/>
      </c>
      <c r="I5" s="5">
        <f>IFERROR(LOOKUP(2,1/((BasketDataTable[AccountNumber]=$A5)*(BasketDataTable[RunID]=$B5)),BasketDataTable[FixedLots]),"")</f>
        <v>0.04</v>
      </c>
      <c r="J5" s="5">
        <f>IFERROR(LOOKUP(2,1/((BasketDataTable[AccountNumber]=$A5)*(BasketDataTable[RunID]=$B5)),BasketDataTable[PipsStep]),"")</f>
        <v>35</v>
      </c>
      <c r="K5" s="8">
        <f>IFERROR(LOOKUP(2,1/((BasketDataTable[AccountNumber]=$A5)*(BasketDataTable[RunID]=$B5)),BasketDataTable[TakeProfit]),"")</f>
        <v>50</v>
      </c>
      <c r="L5" s="5">
        <f>IFERROR(LOOKUP(2,1/((BasketDataTable[AccountNumber]=$A5)*(BasketDataTable[RunID]=$B5)),BasketDataTable[Tral]),"")</f>
        <v>35</v>
      </c>
      <c r="M5" s="5">
        <f>IFERROR(LOOKUP(2,1/((BasketDataTable[AccountNumber]=$A5)*(BasketDataTable[RunID]=$B5)),BasketDataTable[TralStart]),"")</f>
        <v>85</v>
      </c>
      <c r="N5" s="5">
        <f>IFERROR(LOOKUP(2,1/((BasketDataTable[AccountNumber]=$A5)*(BasketDataTable[RunID]=$B5)),BasketDataTable[MaxSpread]),"")</f>
        <v>35</v>
      </c>
      <c r="O5" s="5">
        <f>IFERROR(LOOKUP(2,1/((BasketDataTable[AccountNumber]=$A5)*(BasketDataTable[RunID]=$B5)),BasketDataTable[TimeStart]),"")</f>
        <v>2</v>
      </c>
      <c r="P5" s="5">
        <f>IFERROR(LOOKUP(2,1/((BasketDataTable[AccountNumber]=$A5)*(BasketDataTable[RunID]=$B5)),BasketDataTable[TimeEnd]),"")</f>
        <v>23</v>
      </c>
      <c r="Q5" s="5">
        <f>IFERROR(LOOKUP(2,1/((BasketDataTable[AccountNumber]=$A5)*(BasketDataTable[RunID]=$B5)),BasketDataTable[OpenTime]),"")</f>
        <v>1</v>
      </c>
      <c r="R5" s="5">
        <f>IFERROR(LOOKUP(2,1/((BasketDataTable[AccountNumber]=$A5)*(BasketDataTable[RunID]=$B5)),BasketDataTable[SpeedEA]),"")</f>
        <v>10</v>
      </c>
      <c r="S5" s="5">
        <f>IFERROR(LOOKUP(2,1/((BasketDataTable[AccountNumber]=$A5)*(BasketDataTable[RunID]=$B5)),BasketDataTable[NewBasketDelaySeconds]),"")</f>
        <v>0</v>
      </c>
      <c r="T5" s="5">
        <f>IFERROR(LOOKUP(2,1/((BasketDataTable[AccountNumber]=$A5)*(BasketDataTable[RunID]=$B5)),BasketDataTable[UseBasketTrailingTP]),"")</f>
        <v>1</v>
      </c>
      <c r="U5" s="8">
        <f>IFERROR(LOOKUP(2,1/((BasketDataTable[AccountNumber]=$A5)*(BasketDataTable[RunID]=$B5)),BasketDataTable[TrailingStart]),"")</f>
        <v>10</v>
      </c>
      <c r="V5" s="8">
        <f>IFERROR(LOOKUP(2,1/((BasketDataTable[AccountNumber]=$A5)*(BasketDataTable[RunID]=$B5)),BasketDataTable[TrailingStep]),"")</f>
        <v>5</v>
      </c>
      <c r="W5" s="5">
        <f>IFERROR(LOOKUP(2,1/((BasketDataTable[AccountNumber]=$A5)*(BasketDataTable[RunID]=$B5)),BasketDataTable[KillSwitchEnable]),"")</f>
        <v>1</v>
      </c>
      <c r="X5" s="8">
        <f>IFERROR(LOOKUP(2,1/((BasketDataTable[AccountNumber]=$A5)*(BasketDataTable[RunID]=$B5)),BasketDataTable[KillEquityLevel]),"")</f>
        <v>5000</v>
      </c>
      <c r="Y5" s="5">
        <f>IFERROR(LOOKUP(2,1/((BasketDataTable[AccountNumber]=$A5)*(BasketDataTable[RunID]=$B5)),BasketDataTable[KillCooldownMinutes]),"")</f>
        <v>1440</v>
      </c>
      <c r="Z5" s="5">
        <f>IFERROR(LOOKUP(2,1/((BasketDataTable[AccountNumber]=$A5)*(BasketDataTable[RunID]=$B5)),BasketDataTable[MaxOrdersInBasket]),"")</f>
        <v>0</v>
      </c>
      <c r="AA5" s="8">
        <f>IFERROR(LOOKUP(2,1/((BasketDataTable[AccountNumber]=$A5)*(BasketDataTable[RunID]=$B5)),BasketDataTable[MaxTotalLotsInBasket]),"")</f>
        <v>0</v>
      </c>
      <c r="AB5" s="5">
        <f>IFERROR(LOOKUP(2,1/((BasketDataTable[AccountNumber]=$A5)*(BasketDataTable[RunID]=$B5)),BasketDataTable[RegimeEnable]),"")</f>
        <v>0</v>
      </c>
      <c r="AC5" s="5">
        <f>IFERROR(LOOKUP(2,1/((BasketDataTable[AccountNumber]=$A5)*(BasketDataTable[RunID]=$B5)),BasketDataTable[RegimeAction]),"")</f>
        <v>0</v>
      </c>
      <c r="AD5" s="5">
        <f>IFERROR(LOOKUP(2,1/((BasketDataTable[AccountNumber]=$A5)*(BasketDataTable[RunID]=$B5)),BasketDataTable[EnableRecoveryStepUp]),"")</f>
        <v>0</v>
      </c>
      <c r="AE5" s="5">
        <f>IFERROR(LOOKUP(2,1/((BasketDataTable[AccountNumber]=$A5)*(BasketDataTable[RunID]=$B5)),BasketDataTable[RecoveryWaitMinutes]),"")</f>
        <v>60</v>
      </c>
      <c r="AF5" s="8">
        <f>IFERROR(LOOKUP(2,1/((BasketDataTable[AccountNumber]=$A5)*(BasketDataTable[RunID]=$B5)),BasketDataTable[RecoveryMaxTotalLotsInBasket]),"")</f>
        <v>0</v>
      </c>
      <c r="AG5" s="5" t="str">
        <f>IFERROR(VLOOKUP($A5&amp;"|"&amp;$B5,ManualFieldsTable[],8,FALSE),"")</f>
        <v/>
      </c>
      <c r="AH5" s="8">
        <f>IFERROR(SUMIFS(BasketDataTable[ClosePL],BasketDataTable[AccountNumber],$A5,BasketDataTable[RunID],$B5),0)</f>
        <v>-2127.4899999999989</v>
      </c>
      <c r="AI5" s="5">
        <f>IFERROR(SUMPRODUCT((((BasketDataTable[AccountNumber]=$A5)*(BasketDataTable[RunID]=$B5)))*(BasketDataTable[TradeDate]&lt;&gt;"")/COUNTIFS(BasketDataTable[AccountNumber],BasketDataTable[AccountNumber],BasketDataTable[RunID],BasketDataTable[RunID],BasketDataTable[TradeDate],BasketDataTable[TradeDate])),0)</f>
        <v>5.9999999999999822</v>
      </c>
      <c r="AJ5" s="8">
        <f>IFERROR(AH5/AI5,0)</f>
        <v>-354.5816666666675</v>
      </c>
      <c r="AK5" s="8">
        <f t="shared" ref="AK5:AM8" si="0">BP5</f>
        <v>5008.3999999999996</v>
      </c>
      <c r="AL5" s="8">
        <f t="shared" si="0"/>
        <v>1994.56</v>
      </c>
      <c r="AM5" s="8">
        <f t="shared" si="0"/>
        <v>1486.24</v>
      </c>
      <c r="AN5" s="8">
        <f>IFERROR(AVERAGE(BP5:BY5),0)</f>
        <v>1316.6119999999996</v>
      </c>
      <c r="AO5" s="5">
        <f>COUNTIFS(BasketDataTable[AccountNumber],$A5,BasketDataTable[RunID],$B5)</f>
        <v>323</v>
      </c>
      <c r="AP5" s="5">
        <f>COUNTIFS(BasketDataTable[AccountNumber],$A5,BasketDataTable[RunID],$B5,BasketDataTable[ClosePL],"&gt;0")</f>
        <v>316</v>
      </c>
      <c r="AQ5" s="8">
        <f>SUMIFS(BasketDataTable[ClosePL],BasketDataTable[AccountNumber],$A5,BasketDataTable[RunID],$B5,BasketDataTable[ClosePL],"&gt;0")</f>
        <v>2893.0500000000006</v>
      </c>
      <c r="AR5" s="5">
        <f>COUNTIFS(BasketDataTable[AccountNumber],$A5,BasketDataTable[RunID],$B5,BasketDataTable[ClosePL],"&lt;0")</f>
        <v>6</v>
      </c>
      <c r="AS5" s="8">
        <f>-SUMIFS(BasketDataTable[ClosePL],BasketDataTable[AccountNumber],$A5,BasketDataTable[RunID],$B5,BasketDataTable[ClosePL],"&lt;0")</f>
        <v>5020.54</v>
      </c>
      <c r="AT5" s="8">
        <f>IFERROR(AH5/AO5,0)</f>
        <v>-6.5866563467492227</v>
      </c>
      <c r="AU5" s="5">
        <f>SUMIFS(BasketDataTable[TimesNearKill],BasketDataTable[AccountNumber],$A5,BasketDataTable[RunID],$B5)</f>
        <v>1</v>
      </c>
      <c r="AV5" s="5">
        <f>COUNTIFS(BasketDataTable[AccountNumber],$A5,BasketDataTable[RunID],$B5,BasketDataTable[CloseReason],"KILL")</f>
        <v>1</v>
      </c>
      <c r="AW5" s="5">
        <f>COUNTIFS(BasketDataTable[AccountNumber],$A5,BasketDataTable[RunID],$B5,BasketDataTable[MaxOrdersConcurrent],"&gt;=1")</f>
        <v>323</v>
      </c>
      <c r="AX5" s="5">
        <f>COUNTIFS(BasketDataTable[AccountNumber],$A5,BasketDataTable[RunID],$B5,BasketDataTable[MaxOrdersConcurrent],"&gt;=2")</f>
        <v>72</v>
      </c>
      <c r="AY5" s="5">
        <f>COUNTIFS(BasketDataTable[AccountNumber],$A5,BasketDataTable[RunID],$B5,BasketDataTable[MaxOrdersConcurrent],"&gt;=3")</f>
        <v>47</v>
      </c>
      <c r="AZ5" s="5">
        <f>COUNTIFS(BasketDataTable[AccountNumber],$A5,BasketDataTable[RunID],$B5,BasketDataTable[MaxOrdersConcurrent],"&gt;=4")</f>
        <v>28</v>
      </c>
      <c r="BA5" s="5">
        <f>COUNTIFS(BasketDataTable[AccountNumber],$A5,BasketDataTable[RunID],$B5,BasketDataTable[MaxOrdersConcurrent],"&gt;=5")</f>
        <v>19</v>
      </c>
      <c r="BB5" s="5">
        <f>COUNTIFS(BasketDataTable[AccountNumber],$A5,BasketDataTable[RunID],$B5,BasketDataTable[MaxOrdersConcurrent],"&gt;=6")</f>
        <v>15</v>
      </c>
      <c r="BC5" s="5">
        <f>COUNTIFS(BasketDataTable[AccountNumber],$A5,BasketDataTable[RunID],$B5,BasketDataTable[MaxOrdersConcurrent],"&gt;=7")</f>
        <v>12</v>
      </c>
      <c r="BD5" s="5">
        <f>COUNTIFS(BasketDataTable[AccountNumber],$A5,BasketDataTable[RunID],$B5,BasketDataTable[MaxOrdersConcurrent],"&gt;=8")</f>
        <v>10</v>
      </c>
      <c r="BE5" s="5">
        <f>COUNTIFS(BasketDataTable[AccountNumber],$A5,BasketDataTable[RunID],$B5,BasketDataTable[MaxOrdersConcurrent],"&gt;=9")</f>
        <v>9</v>
      </c>
      <c r="BF5" s="5">
        <f>COUNTIFS(BasketDataTable[AccountNumber],$A5,BasketDataTable[RunID],$B5,BasketDataTable[MaxOrdersConcurrent],"&gt;=10")</f>
        <v>9</v>
      </c>
      <c r="BG5" s="5">
        <f>SUMPRODUCT(((BasketDataTable[AccountNumber]=$A5)*(BasketDataTable[RunID]=$B5))*(BasketDataTable[MaxTotalLotsInBasket]&gt;0)*(BasketDataTable[MaxTotalLots]&gt;=BasketDataTable[MaxTotalLotsInBasket]))</f>
        <v>0</v>
      </c>
      <c r="BH5" s="8">
        <f>IFERROR(AH5/AN5,0)</f>
        <v>-1.6158822796693326</v>
      </c>
      <c r="BI5" s="8">
        <f>IFERROR(AQ5/AP5,0)</f>
        <v>9.1552215189873429</v>
      </c>
      <c r="BJ5" s="8">
        <f>IFERROR(AS5/AR5,0)</f>
        <v>836.75666666666666</v>
      </c>
      <c r="BK5" s="10">
        <f>IFERROR(AP5/AO5,0)</f>
        <v>0.97832817337461297</v>
      </c>
      <c r="BL5" s="10">
        <f>IFERROR(AR5/AO5,0)</f>
        <v>1.8575851393188854E-2</v>
      </c>
      <c r="BM5" s="8">
        <f>(BI5*BK5)-(BJ5*BL5)</f>
        <v>-6.5866563467492245</v>
      </c>
      <c r="BN5" s="8">
        <f>IFERROR(AJ5/AN5,0)</f>
        <v>-0.2693137132782229</v>
      </c>
      <c r="BO5" s="5" t="str">
        <f>IF(AO5=0,"No basket data",IF(SUMPRODUCT(((BasketDataTable[AccountNumber]=$A5)*(BasketDataTable[RunID]=$B5)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</f>
        <v>OK</v>
      </c>
      <c r="BP5">
        <f>IF($AO5&gt;=1,IFERROR(_xlfn.AGGREGATE(14,6,BasketDataTable[MaxFloatingDrawdownAbs]/((BasketDataTable[AccountNumber]=$A5)*(BasketDataTable[RunID]=$B5)),1),""),"")</f>
        <v>5008.3999999999996</v>
      </c>
      <c r="BQ5">
        <f>IF($AO5&gt;=2,IFERROR(_xlfn.AGGREGATE(14,6,BasketDataTable[MaxFloatingDrawdownAbs]/((BasketDataTable[AccountNumber]=$A5)*(BasketDataTable[RunID]=$B5)),2),""),"")</f>
        <v>1994.56</v>
      </c>
      <c r="BR5">
        <f>IF($AO5&gt;=3,IFERROR(_xlfn.AGGREGATE(14,6,BasketDataTable[MaxFloatingDrawdownAbs]/((BasketDataTable[AccountNumber]=$A5)*(BasketDataTable[RunID]=$B5)),3),""),"")</f>
        <v>1486.24</v>
      </c>
      <c r="BS5">
        <f>IF($AO5&gt;=4,IFERROR(_xlfn.AGGREGATE(14,6,BasketDataTable[MaxFloatingDrawdownAbs]/((BasketDataTable[AccountNumber]=$A5)*(BasketDataTable[RunID]=$B5)),4),""),"")</f>
        <v>1168.56</v>
      </c>
      <c r="BT5">
        <f>IF($AO5&gt;=5,IFERROR(_xlfn.AGGREGATE(14,6,BasketDataTable[MaxFloatingDrawdownAbs]/((BasketDataTable[AccountNumber]=$A5)*(BasketDataTable[RunID]=$B5)),5),""),"")</f>
        <v>738.8</v>
      </c>
      <c r="BU5">
        <f>IF($AO5&gt;=6,IFERROR(_xlfn.AGGREGATE(14,6,BasketDataTable[MaxFloatingDrawdownAbs]/((BasketDataTable[AccountNumber]=$A5)*(BasketDataTable[RunID]=$B5)),6),""),"")</f>
        <v>702.2</v>
      </c>
      <c r="BV5">
        <f>IF($AO5&gt;=7,IFERROR(_xlfn.AGGREGATE(14,6,BasketDataTable[MaxFloatingDrawdownAbs]/((BasketDataTable[AccountNumber]=$A5)*(BasketDataTable[RunID]=$B5)),7),""),"")</f>
        <v>693.76</v>
      </c>
      <c r="BW5">
        <f>IF($AO5&gt;=8,IFERROR(_xlfn.AGGREGATE(14,6,BasketDataTable[MaxFloatingDrawdownAbs]/((BasketDataTable[AccountNumber]=$A5)*(BasketDataTable[RunID]=$B5)),8),""),"")</f>
        <v>507.72</v>
      </c>
      <c r="BX5">
        <f>IF($AO5&gt;=9,IFERROR(_xlfn.AGGREGATE(14,6,BasketDataTable[MaxFloatingDrawdownAbs]/((BasketDataTable[AccountNumber]=$A5)*(BasketDataTable[RunID]=$B5)),9),""),"")</f>
        <v>456.48</v>
      </c>
      <c r="BY5">
        <f>IF($AO5&gt;=10,IFERROR(_xlfn.AGGREGATE(14,6,BasketDataTable[MaxFloatingDrawdownAbs]/((BasketDataTable[AccountNumber]=$A5)*(BasketDataTable[RunID]=$B5)),10),""),"")</f>
        <v>409.4</v>
      </c>
    </row>
    <row r="6" spans="1:77" ht="57">
      <c r="A6" s="22" t="s">
        <v>246</v>
      </c>
      <c r="B6" s="22" t="s">
        <v>266</v>
      </c>
      <c r="C6" s="4" t="str">
        <f>IFERROR(VLOOKUP($A6&amp;"|"&amp;$B6,ManualFieldsTable[],4,FALSE),"")</f>
        <v/>
      </c>
      <c r="D6" s="7">
        <f>IFERROR(INDEX(BasketDataTable[StartTime],MATCH($A6&amp;"|"&amp;$B6,BasketDataTable[RunKey],0)),"")</f>
        <v>46265.087812500002</v>
      </c>
      <c r="E6" s="4" t="str">
        <f>IFERROR(VLOOKUP($A6&amp;"|"&amp;$B6,ManualFieldsTable[],5,FALSE),"")</f>
        <v/>
      </c>
      <c r="F6" s="9">
        <f>IFERROR(LOOKUP(2,1/((BasketDataTable[AccountNumber]=$A6)*(BasketDataTable[RunID]=$B6)),BasketDataTable[RunStartBalance]),"")</f>
        <v>6763.31</v>
      </c>
      <c r="G6" s="4" t="str">
        <f>IFERROR(VLOOKUP($A6&amp;"|"&amp;$B6,ManualFieldsTable[],6,FALSE),"")</f>
        <v/>
      </c>
      <c r="H6" s="4" t="str">
        <f>IFERROR(VLOOKUP($A6&amp;"|"&amp;$B6,ManualFieldsTable[],7,FALSE),"")</f>
        <v/>
      </c>
      <c r="I6" s="3">
        <f>IFERROR(LOOKUP(2,1/((BasketDataTable[AccountNumber]=$A6)*(BasketDataTable[RunID]=$B6)),BasketDataTable[FixedLots]),"")</f>
        <v>0.01</v>
      </c>
      <c r="J6" s="3">
        <f>IFERROR(LOOKUP(2,1/((BasketDataTable[AccountNumber]=$A6)*(BasketDataTable[RunID]=$B6)),BasketDataTable[PipsStep]),"")</f>
        <v>35</v>
      </c>
      <c r="K6" s="9">
        <f>IFERROR(LOOKUP(2,1/((BasketDataTable[AccountNumber]=$A6)*(BasketDataTable[RunID]=$B6)),BasketDataTable[TakeProfit]),"")</f>
        <v>50</v>
      </c>
      <c r="L6" s="3">
        <f>IFERROR(LOOKUP(2,1/((BasketDataTable[AccountNumber]=$A6)*(BasketDataTable[RunID]=$B6)),BasketDataTable[Tral]),"")</f>
        <v>35</v>
      </c>
      <c r="M6" s="3">
        <f>IFERROR(LOOKUP(2,1/((BasketDataTable[AccountNumber]=$A6)*(BasketDataTable[RunID]=$B6)),BasketDataTable[TralStart]),"")</f>
        <v>85</v>
      </c>
      <c r="N6" s="3">
        <f>IFERROR(LOOKUP(2,1/((BasketDataTable[AccountNumber]=$A6)*(BasketDataTable[RunID]=$B6)),BasketDataTable[MaxSpread]),"")</f>
        <v>35</v>
      </c>
      <c r="O6" s="3">
        <f>IFERROR(LOOKUP(2,1/((BasketDataTable[AccountNumber]=$A6)*(BasketDataTable[RunID]=$B6)),BasketDataTable[TimeStart]),"")</f>
        <v>2</v>
      </c>
      <c r="P6" s="3">
        <f>IFERROR(LOOKUP(2,1/((BasketDataTable[AccountNumber]=$A6)*(BasketDataTable[RunID]=$B6)),BasketDataTable[TimeEnd]),"")</f>
        <v>23</v>
      </c>
      <c r="Q6" s="3">
        <f>IFERROR(LOOKUP(2,1/((BasketDataTable[AccountNumber]=$A6)*(BasketDataTable[RunID]=$B6)),BasketDataTable[OpenTime]),"")</f>
        <v>1</v>
      </c>
      <c r="R6" s="3">
        <f>IFERROR(LOOKUP(2,1/((BasketDataTable[AccountNumber]=$A6)*(BasketDataTable[RunID]=$B6)),BasketDataTable[SpeedEA]),"")</f>
        <v>10</v>
      </c>
      <c r="S6" s="3">
        <f>IFERROR(LOOKUP(2,1/((BasketDataTable[AccountNumber]=$A6)*(BasketDataTable[RunID]=$B6)),BasketDataTable[NewBasketDelaySeconds]),"")</f>
        <v>0</v>
      </c>
      <c r="T6" s="3">
        <f>IFERROR(LOOKUP(2,1/((BasketDataTable[AccountNumber]=$A6)*(BasketDataTable[RunID]=$B6)),BasketDataTable[UseBasketTrailingTP]),"")</f>
        <v>1</v>
      </c>
      <c r="U6" s="9">
        <f>IFERROR(LOOKUP(2,1/((BasketDataTable[AccountNumber]=$A6)*(BasketDataTable[RunID]=$B6)),BasketDataTable[TrailingStart]),"")</f>
        <v>5</v>
      </c>
      <c r="V6" s="9">
        <f>IFERROR(LOOKUP(2,1/((BasketDataTable[AccountNumber]=$A6)*(BasketDataTable[RunID]=$B6)),BasketDataTable[TrailingStep]),"")</f>
        <v>2</v>
      </c>
      <c r="W6" s="3">
        <f>IFERROR(LOOKUP(2,1/((BasketDataTable[AccountNumber]=$A6)*(BasketDataTable[RunID]=$B6)),BasketDataTable[KillSwitchEnable]),"")</f>
        <v>1</v>
      </c>
      <c r="X6" s="9">
        <f>IFERROR(LOOKUP(2,1/((BasketDataTable[AccountNumber]=$A6)*(BasketDataTable[RunID]=$B6)),BasketDataTable[KillEquityLevel]),"")</f>
        <v>5000</v>
      </c>
      <c r="Y6" s="3">
        <f>IFERROR(LOOKUP(2,1/((BasketDataTable[AccountNumber]=$A6)*(BasketDataTable[RunID]=$B6)),BasketDataTable[KillCooldownMinutes]),"")</f>
        <v>1440</v>
      </c>
      <c r="Z6" s="3">
        <f>IFERROR(LOOKUP(2,1/((BasketDataTable[AccountNumber]=$A6)*(BasketDataTable[RunID]=$B6)),BasketDataTable[MaxOrdersInBasket]),"")</f>
        <v>0</v>
      </c>
      <c r="AA6" s="9">
        <f>IFERROR(LOOKUP(2,1/((BasketDataTable[AccountNumber]=$A6)*(BasketDataTable[RunID]=$B6)),BasketDataTable[MaxTotalLotsInBasket]),"")</f>
        <v>0</v>
      </c>
      <c r="AB6" s="3">
        <f>IFERROR(LOOKUP(2,1/((BasketDataTable[AccountNumber]=$A6)*(BasketDataTable[RunID]=$B6)),BasketDataTable[RegimeEnable]),"")</f>
        <v>0</v>
      </c>
      <c r="AC6" s="3">
        <f>IFERROR(LOOKUP(2,1/((BasketDataTable[AccountNumber]=$A6)*(BasketDataTable[RunID]=$B6)),BasketDataTable[RegimeAction]),"")</f>
        <v>0</v>
      </c>
      <c r="AD6" s="3">
        <f>IFERROR(LOOKUP(2,1/((BasketDataTable[AccountNumber]=$A6)*(BasketDataTable[RunID]=$B6)),BasketDataTable[EnableRecoveryStepUp]),"")</f>
        <v>0</v>
      </c>
      <c r="AE6" s="3">
        <f>IFERROR(LOOKUP(2,1/((BasketDataTable[AccountNumber]=$A6)*(BasketDataTable[RunID]=$B6)),BasketDataTable[RecoveryWaitMinutes]),"")</f>
        <v>60</v>
      </c>
      <c r="AF6" s="9">
        <f>IFERROR(LOOKUP(2,1/((BasketDataTable[AccountNumber]=$A6)*(BasketDataTable[RunID]=$B6)),BasketDataTable[RecoveryMaxTotalLotsInBasket]),"")</f>
        <v>0</v>
      </c>
      <c r="AG6" s="4" t="str">
        <f>IFERROR(VLOOKUP($A6&amp;"|"&amp;$B6,ManualFieldsTable[],8,FALSE),"")</f>
        <v/>
      </c>
      <c r="AH6" s="9">
        <f>IFERROR(SUMIFS(BasketDataTable[ClosePL],BasketDataTable[AccountNumber],$A6,BasketDataTable[RunID],$B6),0)</f>
        <v>794.3099999999996</v>
      </c>
      <c r="AI6" s="3">
        <f>IFERROR(SUMPRODUCT((((BasketDataTable[AccountNumber]=$A6)*(BasketDataTable[RunID]=$B6)))*(BasketDataTable[TradeDate]&lt;&gt;"")/COUNTIFS(BasketDataTable[AccountNumber],BasketDataTable[AccountNumber],BasketDataTable[RunID],BasketDataTable[RunID],BasketDataTable[TradeDate],BasketDataTable[TradeDate])),0)</f>
        <v>4.9999999999999947</v>
      </c>
      <c r="AJ6" s="9">
        <f>IFERROR(AH6/AI6,0)</f>
        <v>158.86200000000008</v>
      </c>
      <c r="AK6" s="9">
        <f t="shared" si="0"/>
        <v>586.35</v>
      </c>
      <c r="AL6" s="9">
        <f t="shared" si="0"/>
        <v>525.97</v>
      </c>
      <c r="AM6" s="9">
        <f t="shared" si="0"/>
        <v>512.66</v>
      </c>
      <c r="AN6" s="9">
        <f>IFERROR(AVERAGE(BP6:BY6),0)</f>
        <v>281.32499999999993</v>
      </c>
      <c r="AO6" s="3">
        <f>COUNTIFS(BasketDataTable[AccountNumber],$A6,BasketDataTable[RunID],$B6)</f>
        <v>327</v>
      </c>
      <c r="AP6" s="3">
        <f>COUNTIFS(BasketDataTable[AccountNumber],$A6,BasketDataTable[RunID],$B6,BasketDataTable[ClosePL],"&gt;0")</f>
        <v>322</v>
      </c>
      <c r="AQ6" s="9">
        <f>SUMIFS(BasketDataTable[ClosePL],BasketDataTable[AccountNumber],$A6,BasketDataTable[RunID],$B6,BasketDataTable[ClosePL],"&gt;0")</f>
        <v>800.25999999999965</v>
      </c>
      <c r="AR6" s="3">
        <f>COUNTIFS(BasketDataTable[AccountNumber],$A6,BasketDataTable[RunID],$B6,BasketDataTable[ClosePL],"&lt;0")</f>
        <v>4</v>
      </c>
      <c r="AS6" s="9">
        <f>-SUMIFS(BasketDataTable[ClosePL],BasketDataTable[AccountNumber],$A6,BasketDataTable[RunID],$B6,BasketDataTable[ClosePL],"&lt;0")</f>
        <v>5.95</v>
      </c>
      <c r="AT6" s="9">
        <f>IFERROR(AH6/AO6,0)</f>
        <v>2.4290825688073383</v>
      </c>
      <c r="AU6" s="3">
        <f>SUMIFS(BasketDataTable[TimesNearKill],BasketDataTable[AccountNumber],$A6,BasketDataTable[RunID],$B6)</f>
        <v>0</v>
      </c>
      <c r="AV6" s="3">
        <f>COUNTIFS(BasketDataTable[AccountNumber],$A6,BasketDataTable[RunID],$B6,BasketDataTable[CloseReason],"KILL")</f>
        <v>0</v>
      </c>
      <c r="AW6" s="3">
        <f>COUNTIFS(BasketDataTable[AccountNumber],$A6,BasketDataTable[RunID],$B6,BasketDataTable[MaxOrdersConcurrent],"&gt;=1")</f>
        <v>327</v>
      </c>
      <c r="AX6" s="3">
        <f>COUNTIFS(BasketDataTable[AccountNumber],$A6,BasketDataTable[RunID],$B6,BasketDataTable[MaxOrdersConcurrent],"&gt;=2")</f>
        <v>79</v>
      </c>
      <c r="AY6" s="3">
        <f>COUNTIFS(BasketDataTable[AccountNumber],$A6,BasketDataTable[RunID],$B6,BasketDataTable[MaxOrdersConcurrent],"&gt;=3")</f>
        <v>61</v>
      </c>
      <c r="AZ6" s="3">
        <f>COUNTIFS(BasketDataTable[AccountNumber],$A6,BasketDataTable[RunID],$B6,BasketDataTable[MaxOrdersConcurrent],"&gt;=4")</f>
        <v>33</v>
      </c>
      <c r="BA6" s="3">
        <f>COUNTIFS(BasketDataTable[AccountNumber],$A6,BasketDataTable[RunID],$B6,BasketDataTable[MaxOrdersConcurrent],"&gt;=5")</f>
        <v>19</v>
      </c>
      <c r="BB6" s="3">
        <f>COUNTIFS(BasketDataTable[AccountNumber],$A6,BasketDataTable[RunID],$B6,BasketDataTable[MaxOrdersConcurrent],"&gt;=6")</f>
        <v>12</v>
      </c>
      <c r="BC6" s="3">
        <f>COUNTIFS(BasketDataTable[AccountNumber],$A6,BasketDataTable[RunID],$B6,BasketDataTable[MaxOrdersConcurrent],"&gt;=7")</f>
        <v>9</v>
      </c>
      <c r="BD6" s="3">
        <f>COUNTIFS(BasketDataTable[AccountNumber],$A6,BasketDataTable[RunID],$B6,BasketDataTable[MaxOrdersConcurrent],"&gt;=8")</f>
        <v>9</v>
      </c>
      <c r="BE6" s="3">
        <f>COUNTIFS(BasketDataTable[AccountNumber],$A6,BasketDataTable[RunID],$B6,BasketDataTable[MaxOrdersConcurrent],"&gt;=9")</f>
        <v>8</v>
      </c>
      <c r="BF6" s="3">
        <f>COUNTIFS(BasketDataTable[AccountNumber],$A6,BasketDataTable[RunID],$B6,BasketDataTable[MaxOrdersConcurrent],"&gt;=10")</f>
        <v>8</v>
      </c>
      <c r="BG6" s="3">
        <f>SUMPRODUCT(((BasketDataTable[AccountNumber]=$A6)*(BasketDataTable[RunID]=$B6))*(BasketDataTable[MaxTotalLotsInBasket]&gt;0)*(BasketDataTable[MaxTotalLots]&gt;=BasketDataTable[MaxTotalLotsInBasket]))</f>
        <v>0</v>
      </c>
      <c r="BH6" s="9">
        <f>IFERROR(AH6/AN6,0)</f>
        <v>2.8234604105571841</v>
      </c>
      <c r="BI6" s="9">
        <f>IFERROR(AQ6/AP6,0)</f>
        <v>2.485279503105589</v>
      </c>
      <c r="BJ6" s="9">
        <f>IFERROR(AS6/AR6,0)</f>
        <v>1.4875</v>
      </c>
      <c r="BK6" s="11">
        <f>IFERROR(AP6/AO6,0)</f>
        <v>0.98470948012232418</v>
      </c>
      <c r="BL6" s="11">
        <f>IFERROR(AR6/AO6,0)</f>
        <v>1.2232415902140673E-2</v>
      </c>
      <c r="BM6" s="9">
        <f>(BI6*BK6)-(BJ6*BL6)</f>
        <v>2.4290825688073387</v>
      </c>
      <c r="BN6" s="9">
        <f>IFERROR(AJ6/AN6,0)</f>
        <v>0.5646920821114374</v>
      </c>
      <c r="BO6" s="3" t="str">
        <f>IF(AO6=0,"No basket data",IF(SUMPRODUCT(((BasketDataTable[AccountNumber]=$A6)*(BasketDataTable[RunID]=$B6)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</f>
        <v>OK</v>
      </c>
      <c r="BP6">
        <f>IF($AO6&gt;=1,IFERROR(_xlfn.AGGREGATE(14,6,BasketDataTable[MaxFloatingDrawdownAbs]/((BasketDataTable[AccountNumber]=$A6)*(BasketDataTable[RunID]=$B6)),1),""),"")</f>
        <v>586.35</v>
      </c>
      <c r="BQ6">
        <f>IF($AO6&gt;=2,IFERROR(_xlfn.AGGREGATE(14,6,BasketDataTable[MaxFloatingDrawdownAbs]/((BasketDataTable[AccountNumber]=$A6)*(BasketDataTable[RunID]=$B6)),2),""),"")</f>
        <v>525.97</v>
      </c>
      <c r="BR6">
        <f>IF($AO6&gt;=3,IFERROR(_xlfn.AGGREGATE(14,6,BasketDataTable[MaxFloatingDrawdownAbs]/((BasketDataTable[AccountNumber]=$A6)*(BasketDataTable[RunID]=$B6)),3),""),"")</f>
        <v>512.66</v>
      </c>
      <c r="BS6">
        <f>IF($AO6&gt;=4,IFERROR(_xlfn.AGGREGATE(14,6,BasketDataTable[MaxFloatingDrawdownAbs]/((BasketDataTable[AccountNumber]=$A6)*(BasketDataTable[RunID]=$B6)),4),""),"")</f>
        <v>402.53</v>
      </c>
      <c r="BT6">
        <f>IF($AO6&gt;=5,IFERROR(_xlfn.AGGREGATE(14,6,BasketDataTable[MaxFloatingDrawdownAbs]/((BasketDataTable[AccountNumber]=$A6)*(BasketDataTable[RunID]=$B6)),5),""),"")</f>
        <v>290.95</v>
      </c>
      <c r="BU6">
        <f>IF($AO6&gt;=6,IFERROR(_xlfn.AGGREGATE(14,6,BasketDataTable[MaxFloatingDrawdownAbs]/((BasketDataTable[AccountNumber]=$A6)*(BasketDataTable[RunID]=$B6)),6),""),"")</f>
        <v>138.63999999999999</v>
      </c>
      <c r="BV6">
        <f>IF($AO6&gt;=7,IFERROR(_xlfn.AGGREGATE(14,6,BasketDataTable[MaxFloatingDrawdownAbs]/((BasketDataTable[AccountNumber]=$A6)*(BasketDataTable[RunID]=$B6)),7),""),"")</f>
        <v>123.83</v>
      </c>
      <c r="BW6">
        <f>IF($AO6&gt;=8,IFERROR(_xlfn.AGGREGATE(14,6,BasketDataTable[MaxFloatingDrawdownAbs]/((BasketDataTable[AccountNumber]=$A6)*(BasketDataTable[RunID]=$B6)),8),""),"")</f>
        <v>101.7</v>
      </c>
      <c r="BX6">
        <f>IF($AO6&gt;=9,IFERROR(_xlfn.AGGREGATE(14,6,BasketDataTable[MaxFloatingDrawdownAbs]/((BasketDataTable[AccountNumber]=$A6)*(BasketDataTable[RunID]=$B6)),9),""),"")</f>
        <v>76.150000000000006</v>
      </c>
      <c r="BY6">
        <f>IF($AO6&gt;=10,IFERROR(_xlfn.AGGREGATE(14,6,BasketDataTable[MaxFloatingDrawdownAbs]/((BasketDataTable[AccountNumber]=$A6)*(BasketDataTable[RunID]=$B6)),10),""),"")</f>
        <v>54.47</v>
      </c>
    </row>
    <row r="7" spans="1:77" ht="57">
      <c r="A7" s="22" t="s">
        <v>248</v>
      </c>
      <c r="B7" s="22" t="s">
        <v>269</v>
      </c>
      <c r="C7" s="4" t="str">
        <f>IFERROR(VLOOKUP($A7&amp;"|"&amp;$B7,ManualFieldsTable[],4,FALSE),"")</f>
        <v/>
      </c>
      <c r="D7" s="7">
        <f>IFERROR(INDEX(BasketDataTable[StartTime],MATCH($A7&amp;"|"&amp;$B7,BasketDataTable[RunKey],0)),"")</f>
        <v>46265.087824074071</v>
      </c>
      <c r="E7" s="4" t="str">
        <f>IFERROR(VLOOKUP($A7&amp;"|"&amp;$B7,ManualFieldsTable[],5,FALSE),"")</f>
        <v/>
      </c>
      <c r="F7" s="9">
        <f>IFERROR(LOOKUP(2,1/((BasketDataTable[AccountNumber]=$A7)*(BasketDataTable[RunID]=$B7)),BasketDataTable[RunStartBalance]),"")</f>
        <v>7052.98</v>
      </c>
      <c r="G7" s="4" t="str">
        <f>IFERROR(VLOOKUP($A7&amp;"|"&amp;$B7,ManualFieldsTable[],6,FALSE),"")</f>
        <v/>
      </c>
      <c r="H7" s="4" t="str">
        <f>IFERROR(VLOOKUP($A7&amp;"|"&amp;$B7,ManualFieldsTable[],7,FALSE),"")</f>
        <v/>
      </c>
      <c r="I7" s="3">
        <f>IFERROR(LOOKUP(2,1/((BasketDataTable[AccountNumber]=$A7)*(BasketDataTable[RunID]=$B7)),BasketDataTable[FixedLots]),"")</f>
        <v>0.04</v>
      </c>
      <c r="J7" s="3">
        <f>IFERROR(LOOKUP(2,1/((BasketDataTable[AccountNumber]=$A7)*(BasketDataTable[RunID]=$B7)),BasketDataTable[PipsStep]),"")</f>
        <v>35</v>
      </c>
      <c r="K7" s="9">
        <f>IFERROR(LOOKUP(2,1/((BasketDataTable[AccountNumber]=$A7)*(BasketDataTable[RunID]=$B7)),BasketDataTable[TakeProfit]),"")</f>
        <v>50</v>
      </c>
      <c r="L7" s="3">
        <f>IFERROR(LOOKUP(2,1/((BasketDataTable[AccountNumber]=$A7)*(BasketDataTable[RunID]=$B7)),BasketDataTable[Tral]),"")</f>
        <v>35</v>
      </c>
      <c r="M7" s="3">
        <f>IFERROR(LOOKUP(2,1/((BasketDataTable[AccountNumber]=$A7)*(BasketDataTable[RunID]=$B7)),BasketDataTable[TralStart]),"")</f>
        <v>85</v>
      </c>
      <c r="N7" s="3">
        <f>IFERROR(LOOKUP(2,1/((BasketDataTable[AccountNumber]=$A7)*(BasketDataTable[RunID]=$B7)),BasketDataTable[MaxSpread]),"")</f>
        <v>35</v>
      </c>
      <c r="O7" s="3">
        <f>IFERROR(LOOKUP(2,1/((BasketDataTable[AccountNumber]=$A7)*(BasketDataTable[RunID]=$B7)),BasketDataTable[TimeStart]),"")</f>
        <v>2</v>
      </c>
      <c r="P7" s="3">
        <f>IFERROR(LOOKUP(2,1/((BasketDataTable[AccountNumber]=$A7)*(BasketDataTable[RunID]=$B7)),BasketDataTable[TimeEnd]),"")</f>
        <v>23</v>
      </c>
      <c r="Q7" s="3">
        <f>IFERROR(LOOKUP(2,1/((BasketDataTable[AccountNumber]=$A7)*(BasketDataTable[RunID]=$B7)),BasketDataTable[OpenTime]),"")</f>
        <v>1</v>
      </c>
      <c r="R7" s="3">
        <f>IFERROR(LOOKUP(2,1/((BasketDataTable[AccountNumber]=$A7)*(BasketDataTable[RunID]=$B7)),BasketDataTable[SpeedEA]),"")</f>
        <v>10</v>
      </c>
      <c r="S7" s="3">
        <f>IFERROR(LOOKUP(2,1/((BasketDataTable[AccountNumber]=$A7)*(BasketDataTable[RunID]=$B7)),BasketDataTable[NewBasketDelaySeconds]),"")</f>
        <v>0</v>
      </c>
      <c r="T7" s="3">
        <f>IFERROR(LOOKUP(2,1/((BasketDataTable[AccountNumber]=$A7)*(BasketDataTable[RunID]=$B7)),BasketDataTable[UseBasketTrailingTP]),"")</f>
        <v>1</v>
      </c>
      <c r="U7" s="9">
        <f>IFERROR(LOOKUP(2,1/((BasketDataTable[AccountNumber]=$A7)*(BasketDataTable[RunID]=$B7)),BasketDataTable[TrailingStart]),"")</f>
        <v>7</v>
      </c>
      <c r="V7" s="9">
        <f>IFERROR(LOOKUP(2,1/((BasketDataTable[AccountNumber]=$A7)*(BasketDataTable[RunID]=$B7)),BasketDataTable[TrailingStep]),"")</f>
        <v>3</v>
      </c>
      <c r="W7" s="3">
        <f>IFERROR(LOOKUP(2,1/((BasketDataTable[AccountNumber]=$A7)*(BasketDataTable[RunID]=$B7)),BasketDataTable[KillSwitchEnable]),"")</f>
        <v>1</v>
      </c>
      <c r="X7" s="9">
        <f>IFERROR(LOOKUP(2,1/((BasketDataTable[AccountNumber]=$A7)*(BasketDataTable[RunID]=$B7)),BasketDataTable[KillEquityLevel]),"")</f>
        <v>5000</v>
      </c>
      <c r="Y7" s="3">
        <f>IFERROR(LOOKUP(2,1/((BasketDataTable[AccountNumber]=$A7)*(BasketDataTable[RunID]=$B7)),BasketDataTable[KillCooldownMinutes]),"")</f>
        <v>1440</v>
      </c>
      <c r="Z7" s="3">
        <f>IFERROR(LOOKUP(2,1/((BasketDataTable[AccountNumber]=$A7)*(BasketDataTable[RunID]=$B7)),BasketDataTable[MaxOrdersInBasket]),"")</f>
        <v>0</v>
      </c>
      <c r="AA7" s="9">
        <f>IFERROR(LOOKUP(2,1/((BasketDataTable[AccountNumber]=$A7)*(BasketDataTable[RunID]=$B7)),BasketDataTable[MaxTotalLotsInBasket]),"")</f>
        <v>0</v>
      </c>
      <c r="AB7" s="3">
        <f>IFERROR(LOOKUP(2,1/((BasketDataTable[AccountNumber]=$A7)*(BasketDataTable[RunID]=$B7)),BasketDataTable[RegimeEnable]),"")</f>
        <v>0</v>
      </c>
      <c r="AC7" s="3">
        <f>IFERROR(LOOKUP(2,1/((BasketDataTable[AccountNumber]=$A7)*(BasketDataTable[RunID]=$B7)),BasketDataTable[RegimeAction]),"")</f>
        <v>0</v>
      </c>
      <c r="AD7" s="3">
        <f>IFERROR(LOOKUP(2,1/((BasketDataTable[AccountNumber]=$A7)*(BasketDataTable[RunID]=$B7)),BasketDataTable[EnableRecoveryStepUp]),"")</f>
        <v>0</v>
      </c>
      <c r="AE7" s="3">
        <f>IFERROR(LOOKUP(2,1/((BasketDataTable[AccountNumber]=$A7)*(BasketDataTable[RunID]=$B7)),BasketDataTable[RecoveryWaitMinutes]),"")</f>
        <v>60</v>
      </c>
      <c r="AF7" s="9">
        <f>IFERROR(LOOKUP(2,1/((BasketDataTable[AccountNumber]=$A7)*(BasketDataTable[RunID]=$B7)),BasketDataTable[RecoveryMaxTotalLotsInBasket]),"")</f>
        <v>0</v>
      </c>
      <c r="AG7" s="4" t="str">
        <f>IFERROR(VLOOKUP($A7&amp;"|"&amp;$B7,ManualFieldsTable[],8,FALSE),"")</f>
        <v/>
      </c>
      <c r="AH7" s="9">
        <f>IFERROR(SUMIFS(BasketDataTable[ClosePL],BasketDataTable[AccountNumber],$A7,BasketDataTable[RunID],$B7),0)</f>
        <v>-3328.87</v>
      </c>
      <c r="AI7" s="3">
        <f>IFERROR(SUMPRODUCT((((BasketDataTable[AccountNumber]=$A7)*(BasketDataTable[RunID]=$B7)))*(BasketDataTable[TradeDate]&lt;&gt;"")/COUNTIFS(BasketDataTable[AccountNumber],BasketDataTable[AccountNumber],BasketDataTable[RunID],BasketDataTable[RunID],BasketDataTable[TradeDate],BasketDataTable[TradeDate])),0)</f>
        <v>4.9999999999999964</v>
      </c>
      <c r="AJ7" s="9">
        <f>IFERROR(AH7/AI7,0)</f>
        <v>-665.77400000000046</v>
      </c>
      <c r="AK7" s="9">
        <f t="shared" si="0"/>
        <v>5021.68</v>
      </c>
      <c r="AL7" s="9">
        <f t="shared" si="0"/>
        <v>2007.2</v>
      </c>
      <c r="AM7" s="9">
        <f t="shared" si="0"/>
        <v>1495.56</v>
      </c>
      <c r="AN7" s="9">
        <f>IFERROR(AVERAGE(BP7:BY7),0)</f>
        <v>1097.9190000000003</v>
      </c>
      <c r="AO7" s="3">
        <f>COUNTIFS(BasketDataTable[AccountNumber],$A7,BasketDataTable[RunID],$B7)</f>
        <v>261</v>
      </c>
      <c r="AP7" s="3">
        <f>COUNTIFS(BasketDataTable[AccountNumber],$A7,BasketDataTable[RunID],$B7,BasketDataTable[ClosePL],"&gt;0")</f>
        <v>253</v>
      </c>
      <c r="AQ7" s="9">
        <f>SUMIFS(BasketDataTable[ClosePL],BasketDataTable[AccountNumber],$A7,BasketDataTable[RunID],$B7,BasketDataTable[ClosePL],"&gt;0")</f>
        <v>1760.2100000000005</v>
      </c>
      <c r="AR7" s="3">
        <f>COUNTIFS(BasketDataTable[AccountNumber],$A7,BasketDataTable[RunID],$B7,BasketDataTable[ClosePL],"&lt;0")</f>
        <v>8</v>
      </c>
      <c r="AS7" s="9">
        <f>-SUMIFS(BasketDataTable[ClosePL],BasketDataTable[AccountNumber],$A7,BasketDataTable[RunID],$B7,BasketDataTable[ClosePL],"&lt;0")</f>
        <v>5089.08</v>
      </c>
      <c r="AT7" s="9">
        <f>IFERROR(AH7/AO7,0)</f>
        <v>-12.754291187739463</v>
      </c>
      <c r="AU7" s="3">
        <f>SUMIFS(BasketDataTable[TimesNearKill],BasketDataTable[AccountNumber],$A7,BasketDataTable[RunID],$B7)</f>
        <v>1</v>
      </c>
      <c r="AV7" s="3">
        <f>COUNTIFS(BasketDataTable[AccountNumber],$A7,BasketDataTable[RunID],$B7,BasketDataTable[CloseReason],"KILL")</f>
        <v>1</v>
      </c>
      <c r="AW7" s="3">
        <f>COUNTIFS(BasketDataTable[AccountNumber],$A7,BasketDataTable[RunID],$B7,BasketDataTable[MaxOrdersConcurrent],"&gt;=1")</f>
        <v>261</v>
      </c>
      <c r="AX7" s="3">
        <f>COUNTIFS(BasketDataTable[AccountNumber],$A7,BasketDataTable[RunID],$B7,BasketDataTable[MaxOrdersConcurrent],"&gt;=2")</f>
        <v>64</v>
      </c>
      <c r="AY7" s="3">
        <f>COUNTIFS(BasketDataTable[AccountNumber],$A7,BasketDataTable[RunID],$B7,BasketDataTable[MaxOrdersConcurrent],"&gt;=3")</f>
        <v>40</v>
      </c>
      <c r="AZ7" s="3">
        <f>COUNTIFS(BasketDataTable[AccountNumber],$A7,BasketDataTable[RunID],$B7,BasketDataTable[MaxOrdersConcurrent],"&gt;=4")</f>
        <v>23</v>
      </c>
      <c r="BA7" s="3">
        <f>COUNTIFS(BasketDataTable[AccountNumber],$A7,BasketDataTable[RunID],$B7,BasketDataTable[MaxOrdersConcurrent],"&gt;=5")</f>
        <v>13</v>
      </c>
      <c r="BB7" s="3">
        <f>COUNTIFS(BasketDataTable[AccountNumber],$A7,BasketDataTable[RunID],$B7,BasketDataTable[MaxOrdersConcurrent],"&gt;=6")</f>
        <v>9</v>
      </c>
      <c r="BC7" s="3">
        <f>COUNTIFS(BasketDataTable[AccountNumber],$A7,BasketDataTable[RunID],$B7,BasketDataTable[MaxOrdersConcurrent],"&gt;=7")</f>
        <v>7</v>
      </c>
      <c r="BD7" s="3">
        <f>COUNTIFS(BasketDataTable[AccountNumber],$A7,BasketDataTable[RunID],$B7,BasketDataTable[MaxOrdersConcurrent],"&gt;=8")</f>
        <v>6</v>
      </c>
      <c r="BE7" s="3">
        <f>COUNTIFS(BasketDataTable[AccountNumber],$A7,BasketDataTable[RunID],$B7,BasketDataTable[MaxOrdersConcurrent],"&gt;=9")</f>
        <v>6</v>
      </c>
      <c r="BF7" s="3">
        <f>COUNTIFS(BasketDataTable[AccountNumber],$A7,BasketDataTable[RunID],$B7,BasketDataTable[MaxOrdersConcurrent],"&gt;=10")</f>
        <v>6</v>
      </c>
      <c r="BG7" s="3">
        <f>SUMPRODUCT(((BasketDataTable[AccountNumber]=$A7)*(BasketDataTable[RunID]=$B7))*(BasketDataTable[MaxTotalLotsInBasket]&gt;0)*(BasketDataTable[MaxTotalLots]&gt;=BasketDataTable[MaxTotalLotsInBasket]))</f>
        <v>0</v>
      </c>
      <c r="BH7" s="9">
        <f>IFERROR(AH7/AN7,0)</f>
        <v>-3.0319814121078137</v>
      </c>
      <c r="BI7" s="9">
        <f>IFERROR(AQ7/AP7,0)</f>
        <v>6.9573517786561281</v>
      </c>
      <c r="BJ7" s="9">
        <f>IFERROR(AS7/AR7,0)</f>
        <v>636.13499999999999</v>
      </c>
      <c r="BK7" s="11">
        <f>IFERROR(AP7/AO7,0)</f>
        <v>0.96934865900383138</v>
      </c>
      <c r="BL7" s="11">
        <f>IFERROR(AR7/AO7,0)</f>
        <v>3.0651340996168581E-2</v>
      </c>
      <c r="BM7" s="9">
        <f>(BI7*BK7)-(BJ7*BL7)</f>
        <v>-12.754291187739462</v>
      </c>
      <c r="BN7" s="9">
        <f>IFERROR(AJ7/AN7,0)</f>
        <v>-0.60639628242156318</v>
      </c>
      <c r="BO7" s="3" t="str">
        <f>IF(AO7=0,"No basket data",IF(SUMPRODUCT(((BasketDataTable[AccountNumber]=$A7)*(BasketDataTable[RunID]=$B7)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</f>
        <v>OK</v>
      </c>
      <c r="BP7">
        <f>IF($AO7&gt;=1,IFERROR(_xlfn.AGGREGATE(14,6,BasketDataTable[MaxFloatingDrawdownAbs]/((BasketDataTable[AccountNumber]=$A7)*(BasketDataTable[RunID]=$B7)),1),""),"")</f>
        <v>5021.68</v>
      </c>
      <c r="BQ7">
        <f>IF($AO7&gt;=2,IFERROR(_xlfn.AGGREGATE(14,6,BasketDataTable[MaxFloatingDrawdownAbs]/((BasketDataTable[AccountNumber]=$A7)*(BasketDataTable[RunID]=$B7)),2),""),"")</f>
        <v>2007.2</v>
      </c>
      <c r="BR7">
        <f>IF($AO7&gt;=3,IFERROR(_xlfn.AGGREGATE(14,6,BasketDataTable[MaxFloatingDrawdownAbs]/((BasketDataTable[AccountNumber]=$A7)*(BasketDataTable[RunID]=$B7)),3),""),"")</f>
        <v>1495.56</v>
      </c>
      <c r="BS7">
        <f>IF($AO7&gt;=4,IFERROR(_xlfn.AGGREGATE(14,6,BasketDataTable[MaxFloatingDrawdownAbs]/((BasketDataTable[AccountNumber]=$A7)*(BasketDataTable[RunID]=$B7)),4),""),"")</f>
        <v>691.52</v>
      </c>
      <c r="BT7">
        <f>IF($AO7&gt;=5,IFERROR(_xlfn.AGGREGATE(14,6,BasketDataTable[MaxFloatingDrawdownAbs]/((BasketDataTable[AccountNumber]=$A7)*(BasketDataTable[RunID]=$B7)),5),""),"")</f>
        <v>495.12</v>
      </c>
      <c r="BU7">
        <f>IF($AO7&gt;=6,IFERROR(_xlfn.AGGREGATE(14,6,BasketDataTable[MaxFloatingDrawdownAbs]/((BasketDataTable[AccountNumber]=$A7)*(BasketDataTable[RunID]=$B7)),6),""),"")</f>
        <v>408.07</v>
      </c>
      <c r="BV7">
        <f>IF($AO7&gt;=7,IFERROR(_xlfn.AGGREGATE(14,6,BasketDataTable[MaxFloatingDrawdownAbs]/((BasketDataTable[AccountNumber]=$A7)*(BasketDataTable[RunID]=$B7)),7),""),"")</f>
        <v>374.28</v>
      </c>
      <c r="BW7">
        <f>IF($AO7&gt;=8,IFERROR(_xlfn.AGGREGATE(14,6,BasketDataTable[MaxFloatingDrawdownAbs]/((BasketDataTable[AccountNumber]=$A7)*(BasketDataTable[RunID]=$B7)),8),""),"")</f>
        <v>168.52</v>
      </c>
      <c r="BX7">
        <f>IF($AO7&gt;=9,IFERROR(_xlfn.AGGREGATE(14,6,BasketDataTable[MaxFloatingDrawdownAbs]/((BasketDataTable[AccountNumber]=$A7)*(BasketDataTable[RunID]=$B7)),9),""),"")</f>
        <v>166.68</v>
      </c>
      <c r="BY7">
        <f>IF($AO7&gt;=10,IFERROR(_xlfn.AGGREGATE(14,6,BasketDataTable[MaxFloatingDrawdownAbs]/((BasketDataTable[AccountNumber]=$A7)*(BasketDataTable[RunID]=$B7)),10),""),"")</f>
        <v>150.56</v>
      </c>
    </row>
    <row r="8" spans="1:77" ht="57">
      <c r="A8" s="22" t="s">
        <v>250</v>
      </c>
      <c r="B8" s="22" t="s">
        <v>272</v>
      </c>
      <c r="C8" s="4" t="str">
        <f>IFERROR(VLOOKUP($A8&amp;"|"&amp;$B8,ManualFieldsTable[],4,FALSE),"")</f>
        <v/>
      </c>
      <c r="D8" s="7">
        <f>IFERROR(INDEX(BasketDataTable[StartTime],MATCH($A8&amp;"|"&amp;$B8,BasketDataTable[RunKey],0)),"")</f>
        <v>46265.087592592594</v>
      </c>
      <c r="E8" s="4" t="str">
        <f>IFERROR(VLOOKUP($A8&amp;"|"&amp;$B8,ManualFieldsTable[],5,FALSE),"")</f>
        <v/>
      </c>
      <c r="F8" s="9">
        <f>IFERROR(LOOKUP(2,1/((BasketDataTable[AccountNumber]=$A8)*(BasketDataTable[RunID]=$B8)),BasketDataTable[RunStartBalance]),"")</f>
        <v>5509.79</v>
      </c>
      <c r="G8" s="4" t="str">
        <f>IFERROR(VLOOKUP($A8&amp;"|"&amp;$B8,ManualFieldsTable[],6,FALSE),"")</f>
        <v/>
      </c>
      <c r="H8" s="4" t="str">
        <f>IFERROR(VLOOKUP($A8&amp;"|"&amp;$B8,ManualFieldsTable[],7,FALSE),"")</f>
        <v/>
      </c>
      <c r="I8" s="3">
        <f>IFERROR(LOOKUP(2,1/((BasketDataTable[AccountNumber]=$A8)*(BasketDataTable[RunID]=$B8)),BasketDataTable[FixedLots]),"")</f>
        <v>0.01</v>
      </c>
      <c r="J8" s="3">
        <f>IFERROR(LOOKUP(2,1/((BasketDataTable[AccountNumber]=$A8)*(BasketDataTable[RunID]=$B8)),BasketDataTable[PipsStep]),"")</f>
        <v>35</v>
      </c>
      <c r="K8" s="9">
        <f>IFERROR(LOOKUP(2,1/((BasketDataTable[AccountNumber]=$A8)*(BasketDataTable[RunID]=$B8)),BasketDataTable[TakeProfit]),"")</f>
        <v>50</v>
      </c>
      <c r="L8" s="3">
        <f>IFERROR(LOOKUP(2,1/((BasketDataTable[AccountNumber]=$A8)*(BasketDataTable[RunID]=$B8)),BasketDataTable[Tral]),"")</f>
        <v>35</v>
      </c>
      <c r="M8" s="3">
        <f>IFERROR(LOOKUP(2,1/((BasketDataTable[AccountNumber]=$A8)*(BasketDataTable[RunID]=$B8)),BasketDataTable[TralStart]),"")</f>
        <v>85</v>
      </c>
      <c r="N8" s="3">
        <f>IFERROR(LOOKUP(2,1/((BasketDataTable[AccountNumber]=$A8)*(BasketDataTable[RunID]=$B8)),BasketDataTable[MaxSpread]),"")</f>
        <v>35</v>
      </c>
      <c r="O8" s="3">
        <f>IFERROR(LOOKUP(2,1/((BasketDataTable[AccountNumber]=$A8)*(BasketDataTable[RunID]=$B8)),BasketDataTable[TimeStart]),"")</f>
        <v>2</v>
      </c>
      <c r="P8" s="3">
        <f>IFERROR(LOOKUP(2,1/((BasketDataTable[AccountNumber]=$A8)*(BasketDataTable[RunID]=$B8)),BasketDataTable[TimeEnd]),"")</f>
        <v>23</v>
      </c>
      <c r="Q8" s="3">
        <f>IFERROR(LOOKUP(2,1/((BasketDataTable[AccountNumber]=$A8)*(BasketDataTable[RunID]=$B8)),BasketDataTable[OpenTime]),"")</f>
        <v>1</v>
      </c>
      <c r="R8" s="3">
        <f>IFERROR(LOOKUP(2,1/((BasketDataTable[AccountNumber]=$A8)*(BasketDataTable[RunID]=$B8)),BasketDataTable[SpeedEA]),"")</f>
        <v>10</v>
      </c>
      <c r="S8" s="3">
        <f>IFERROR(LOOKUP(2,1/((BasketDataTable[AccountNumber]=$A8)*(BasketDataTable[RunID]=$B8)),BasketDataTable[NewBasketDelaySeconds]),"")</f>
        <v>0</v>
      </c>
      <c r="T8" s="3">
        <f>IFERROR(LOOKUP(2,1/((BasketDataTable[AccountNumber]=$A8)*(BasketDataTable[RunID]=$B8)),BasketDataTable[UseBasketTrailingTP]),"")</f>
        <v>1</v>
      </c>
      <c r="U8" s="9">
        <f>IFERROR(LOOKUP(2,1/((BasketDataTable[AccountNumber]=$A8)*(BasketDataTable[RunID]=$B8)),BasketDataTable[TrailingStart]),"")</f>
        <v>5</v>
      </c>
      <c r="V8" s="9">
        <f>IFERROR(LOOKUP(2,1/((BasketDataTable[AccountNumber]=$A8)*(BasketDataTable[RunID]=$B8)),BasketDataTable[TrailingStep]),"")</f>
        <v>2</v>
      </c>
      <c r="W8" s="3">
        <f>IFERROR(LOOKUP(2,1/((BasketDataTable[AccountNumber]=$A8)*(BasketDataTable[RunID]=$B8)),BasketDataTable[KillSwitchEnable]),"")</f>
        <v>1</v>
      </c>
      <c r="X8" s="9">
        <f>IFERROR(LOOKUP(2,1/((BasketDataTable[AccountNumber]=$A8)*(BasketDataTable[RunID]=$B8)),BasketDataTable[KillEquityLevel]),"")</f>
        <v>5000</v>
      </c>
      <c r="Y8" s="3">
        <f>IFERROR(LOOKUP(2,1/((BasketDataTable[AccountNumber]=$A8)*(BasketDataTable[RunID]=$B8)),BasketDataTable[KillCooldownMinutes]),"")</f>
        <v>1440</v>
      </c>
      <c r="Z8" s="3">
        <f>IFERROR(LOOKUP(2,1/((BasketDataTable[AccountNumber]=$A8)*(BasketDataTable[RunID]=$B8)),BasketDataTable[MaxOrdersInBasket]),"")</f>
        <v>0</v>
      </c>
      <c r="AA8" s="9">
        <f>IFERROR(LOOKUP(2,1/((BasketDataTable[AccountNumber]=$A8)*(BasketDataTable[RunID]=$B8)),BasketDataTable[MaxTotalLotsInBasket]),"")</f>
        <v>0</v>
      </c>
      <c r="AB8" s="3">
        <f>IFERROR(LOOKUP(2,1/((BasketDataTable[AccountNumber]=$A8)*(BasketDataTable[RunID]=$B8)),BasketDataTable[RegimeEnable]),"")</f>
        <v>0</v>
      </c>
      <c r="AC8" s="3">
        <f>IFERROR(LOOKUP(2,1/((BasketDataTable[AccountNumber]=$A8)*(BasketDataTable[RunID]=$B8)),BasketDataTable[RegimeAction]),"")</f>
        <v>0</v>
      </c>
      <c r="AD8" s="3">
        <f>IFERROR(LOOKUP(2,1/((BasketDataTable[AccountNumber]=$A8)*(BasketDataTable[RunID]=$B8)),BasketDataTable[EnableRecoveryStepUp]),"")</f>
        <v>0</v>
      </c>
      <c r="AE8" s="3">
        <f>IFERROR(LOOKUP(2,1/((BasketDataTable[AccountNumber]=$A8)*(BasketDataTable[RunID]=$B8)),BasketDataTable[RecoveryWaitMinutes]),"")</f>
        <v>60</v>
      </c>
      <c r="AF8" s="9">
        <f>IFERROR(LOOKUP(2,1/((BasketDataTable[AccountNumber]=$A8)*(BasketDataTable[RunID]=$B8)),BasketDataTable[RecoveryMaxTotalLotsInBasket]),"")</f>
        <v>0</v>
      </c>
      <c r="AG8" s="4" t="str">
        <f>IFERROR(VLOOKUP($A8&amp;"|"&amp;$B8,ManualFieldsTable[],8,FALSE),"")</f>
        <v/>
      </c>
      <c r="AH8" s="9">
        <f>IFERROR(SUMIFS(BasketDataTable[ClosePL],BasketDataTable[AccountNumber],$A8,BasketDataTable[RunID],$B8),0)</f>
        <v>223.81</v>
      </c>
      <c r="AI8" s="3">
        <f>IFERROR(SUMPRODUCT((((BasketDataTable[AccountNumber]=$A8)*(BasketDataTable[RunID]=$B8)))*(BasketDataTable[TradeDate]&lt;&gt;"")/COUNTIFS(BasketDataTable[AccountNumber],BasketDataTable[AccountNumber],BasketDataTable[RunID],BasketDataTable[RunID],BasketDataTable[TradeDate],BasketDataTable[TradeDate])),0)</f>
        <v>4.9999999999999911</v>
      </c>
      <c r="AJ8" s="9">
        <f>IFERROR(AH8/AI8,0)</f>
        <v>44.762000000000079</v>
      </c>
      <c r="AK8" s="9">
        <f t="shared" si="0"/>
        <v>145.37</v>
      </c>
      <c r="AL8" s="9">
        <f t="shared" si="0"/>
        <v>87.58</v>
      </c>
      <c r="AM8" s="9">
        <f t="shared" si="0"/>
        <v>38.64</v>
      </c>
      <c r="AN8" s="9">
        <f>IFERROR(AVERAGE(BP8:BY8),0)</f>
        <v>43.196999999999996</v>
      </c>
      <c r="AO8" s="3">
        <f>COUNTIFS(BasketDataTable[AccountNumber],$A8,BasketDataTable[RunID],$B8)</f>
        <v>151</v>
      </c>
      <c r="AP8" s="3">
        <f>COUNTIFS(BasketDataTable[AccountNumber],$A8,BasketDataTable[RunID],$B8,BasketDataTable[ClosePL],"&gt;0")</f>
        <v>150</v>
      </c>
      <c r="AQ8" s="9">
        <f>SUMIFS(BasketDataTable[ClosePL],BasketDataTable[AccountNumber],$A8,BasketDataTable[RunID],$B8,BasketDataTable[ClosePL],"&gt;0")</f>
        <v>223.81</v>
      </c>
      <c r="AR8" s="3">
        <f>COUNTIFS(BasketDataTable[AccountNumber],$A8,BasketDataTable[RunID],$B8,BasketDataTable[ClosePL],"&lt;0")</f>
        <v>0</v>
      </c>
      <c r="AS8" s="9">
        <f>-SUMIFS(BasketDataTable[ClosePL],BasketDataTable[AccountNumber],$A8,BasketDataTable[RunID],$B8,BasketDataTable[ClosePL],"&lt;0")</f>
        <v>0</v>
      </c>
      <c r="AT8" s="9">
        <f>IFERROR(AH8/AO8,0)</f>
        <v>1.4821854304635762</v>
      </c>
      <c r="AU8" s="3">
        <f>SUMIFS(BasketDataTable[TimesNearKill],BasketDataTable[AccountNumber],$A8,BasketDataTable[RunID],$B8)</f>
        <v>0</v>
      </c>
      <c r="AV8" s="3">
        <f>COUNTIFS(BasketDataTable[AccountNumber],$A8,BasketDataTable[RunID],$B8,BasketDataTable[CloseReason],"KILL")</f>
        <v>0</v>
      </c>
      <c r="AW8" s="3">
        <f>COUNTIFS(BasketDataTable[AccountNumber],$A8,BasketDataTable[RunID],$B8,BasketDataTable[MaxOrdersConcurrent],"&gt;=1")</f>
        <v>151</v>
      </c>
      <c r="AX8" s="3">
        <f>COUNTIFS(BasketDataTable[AccountNumber],$A8,BasketDataTable[RunID],$B8,BasketDataTable[MaxOrdersConcurrent],"&gt;=2")</f>
        <v>14</v>
      </c>
      <c r="AY8" s="3">
        <f>COUNTIFS(BasketDataTable[AccountNumber],$A8,BasketDataTable[RunID],$B8,BasketDataTable[MaxOrdersConcurrent],"&gt;=3")</f>
        <v>9</v>
      </c>
      <c r="AZ8" s="3">
        <f>COUNTIFS(BasketDataTable[AccountNumber],$A8,BasketDataTable[RunID],$B8,BasketDataTable[MaxOrdersConcurrent],"&gt;=4")</f>
        <v>6</v>
      </c>
      <c r="BA8" s="3">
        <f>COUNTIFS(BasketDataTable[AccountNumber],$A8,BasketDataTable[RunID],$B8,BasketDataTable[MaxOrdersConcurrent],"&gt;=5")</f>
        <v>4</v>
      </c>
      <c r="BB8" s="3">
        <f>COUNTIFS(BasketDataTable[AccountNumber],$A8,BasketDataTable[RunID],$B8,BasketDataTable[MaxOrdersConcurrent],"&gt;=6")</f>
        <v>3</v>
      </c>
      <c r="BC8" s="3">
        <f>COUNTIFS(BasketDataTable[AccountNumber],$A8,BasketDataTable[RunID],$B8,BasketDataTable[MaxOrdersConcurrent],"&gt;=7")</f>
        <v>2</v>
      </c>
      <c r="BD8" s="3">
        <f>COUNTIFS(BasketDataTable[AccountNumber],$A8,BasketDataTable[RunID],$B8,BasketDataTable[MaxOrdersConcurrent],"&gt;=8")</f>
        <v>2</v>
      </c>
      <c r="BE8" s="3">
        <f>COUNTIFS(BasketDataTable[AccountNumber],$A8,BasketDataTable[RunID],$B8,BasketDataTable[MaxOrdersConcurrent],"&gt;=9")</f>
        <v>1</v>
      </c>
      <c r="BF8" s="3">
        <f>COUNTIFS(BasketDataTable[AccountNumber],$A8,BasketDataTable[RunID],$B8,BasketDataTable[MaxOrdersConcurrent],"&gt;=10")</f>
        <v>0</v>
      </c>
      <c r="BG8" s="3">
        <f>SUMPRODUCT(((BasketDataTable[AccountNumber]=$A8)*(BasketDataTable[RunID]=$B8))*(BasketDataTable[MaxTotalLotsInBasket]&gt;0)*(BasketDataTable[MaxTotalLots]&gt;=BasketDataTable[MaxTotalLotsInBasket]))</f>
        <v>0</v>
      </c>
      <c r="BH8" s="9">
        <f>IFERROR(AH8/AN8,0)</f>
        <v>5.1811468389008501</v>
      </c>
      <c r="BI8" s="9">
        <f>IFERROR(AQ8/AP8,0)</f>
        <v>1.4920666666666667</v>
      </c>
      <c r="BJ8" s="9">
        <f>IFERROR(AS8/AR8,0)</f>
        <v>0</v>
      </c>
      <c r="BK8" s="11">
        <f>IFERROR(AP8/AO8,0)</f>
        <v>0.99337748344370858</v>
      </c>
      <c r="BL8" s="11">
        <f>IFERROR(AR8/AO8,0)</f>
        <v>0</v>
      </c>
      <c r="BM8" s="9">
        <f>(BI8*BK8)-(BJ8*BL8)</f>
        <v>1.4821854304635762</v>
      </c>
      <c r="BN8" s="9">
        <f>IFERROR(AJ8/AN8,0)</f>
        <v>1.0362293677801719</v>
      </c>
      <c r="BO8" s="3" t="str">
        <f>IF(AO8=0,"No basket data",IF(SUMPRODUCT(((BasketDataTable[AccountNumber]=$A8)*(BasketDataTable[RunID]=$B8)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</f>
        <v>OK</v>
      </c>
      <c r="BP8">
        <f>IF($AO8&gt;=1,IFERROR(_xlfn.AGGREGATE(14,6,BasketDataTable[MaxFloatingDrawdownAbs]/((BasketDataTable[AccountNumber]=$A8)*(BasketDataTable[RunID]=$B8)),1),""),"")</f>
        <v>145.37</v>
      </c>
      <c r="BQ8">
        <f>IF($AO8&gt;=2,IFERROR(_xlfn.AGGREGATE(14,6,BasketDataTable[MaxFloatingDrawdownAbs]/((BasketDataTable[AccountNumber]=$A8)*(BasketDataTable[RunID]=$B8)),2),""),"")</f>
        <v>87.58</v>
      </c>
      <c r="BR8">
        <f>IF($AO8&gt;=3,IFERROR(_xlfn.AGGREGATE(14,6,BasketDataTable[MaxFloatingDrawdownAbs]/((BasketDataTable[AccountNumber]=$A8)*(BasketDataTable[RunID]=$B8)),3),""),"")</f>
        <v>38.64</v>
      </c>
      <c r="BS8">
        <f>IF($AO8&gt;=4,IFERROR(_xlfn.AGGREGATE(14,6,BasketDataTable[MaxFloatingDrawdownAbs]/((BasketDataTable[AccountNumber]=$A8)*(BasketDataTable[RunID]=$B8)),4),""),"")</f>
        <v>31.34</v>
      </c>
      <c r="BT8">
        <f>IF($AO8&gt;=5,IFERROR(_xlfn.AGGREGATE(14,6,BasketDataTable[MaxFloatingDrawdownAbs]/((BasketDataTable[AccountNumber]=$A8)*(BasketDataTable[RunID]=$B8)),5),""),"")</f>
        <v>28.26</v>
      </c>
      <c r="BU8">
        <f>IF($AO8&gt;=6,IFERROR(_xlfn.AGGREGATE(14,6,BasketDataTable[MaxFloatingDrawdownAbs]/((BasketDataTable[AccountNumber]=$A8)*(BasketDataTable[RunID]=$B8)),6),""),"")</f>
        <v>27.36</v>
      </c>
      <c r="BV8">
        <f>IF($AO8&gt;=7,IFERROR(_xlfn.AGGREGATE(14,6,BasketDataTable[MaxFloatingDrawdownAbs]/((BasketDataTable[AccountNumber]=$A8)*(BasketDataTable[RunID]=$B8)),7),""),"")</f>
        <v>24.56</v>
      </c>
      <c r="BW8">
        <f>IF($AO8&gt;=8,IFERROR(_xlfn.AGGREGATE(14,6,BasketDataTable[MaxFloatingDrawdownAbs]/((BasketDataTable[AccountNumber]=$A8)*(BasketDataTable[RunID]=$B8)),8),""),"")</f>
        <v>19.489999999999998</v>
      </c>
      <c r="BX8">
        <f>IF($AO8&gt;=9,IFERROR(_xlfn.AGGREGATE(14,6,BasketDataTable[MaxFloatingDrawdownAbs]/((BasketDataTable[AccountNumber]=$A8)*(BasketDataTable[RunID]=$B8)),9),""),"")</f>
        <v>14.88</v>
      </c>
      <c r="BY8">
        <f>IF($AO8&gt;=10,IFERROR(_xlfn.AGGREGATE(14,6,BasketDataTable[MaxFloatingDrawdownAbs]/((BasketDataTable[AccountNumber]=$A8)*(BasketDataTable[RunID]=$B8)),10),""),"")</f>
        <v>14.49</v>
      </c>
    </row>
    <row r="9" spans="1:77">
      <c r="A9" s="3"/>
      <c r="B9" s="3"/>
      <c r="C9" s="4"/>
      <c r="D9" s="7"/>
      <c r="E9" s="4"/>
      <c r="F9" s="9"/>
      <c r="G9" s="4"/>
      <c r="H9" s="4"/>
      <c r="I9" s="3"/>
      <c r="J9" s="3"/>
      <c r="K9" s="9"/>
      <c r="L9" s="3"/>
      <c r="M9" s="3"/>
      <c r="N9" s="3"/>
      <c r="O9" s="3"/>
      <c r="P9" s="3"/>
      <c r="Q9" s="3"/>
      <c r="R9" s="3"/>
      <c r="S9" s="3"/>
      <c r="T9" s="3"/>
      <c r="U9" s="9"/>
      <c r="V9" s="9"/>
      <c r="W9" s="3"/>
      <c r="X9" s="9"/>
      <c r="Y9" s="3"/>
      <c r="Z9" s="3"/>
      <c r="AA9" s="9"/>
      <c r="AB9" s="3"/>
      <c r="AC9" s="3"/>
      <c r="AD9" s="3"/>
      <c r="AE9" s="3"/>
      <c r="AF9" s="9"/>
      <c r="AG9" s="4"/>
      <c r="AH9" s="9"/>
      <c r="AI9" s="3"/>
      <c r="AJ9" s="9"/>
      <c r="AK9" s="9"/>
      <c r="AL9" s="9"/>
      <c r="AM9" s="9"/>
      <c r="AN9" s="9"/>
      <c r="AO9" s="3"/>
      <c r="AP9" s="3"/>
      <c r="AQ9" s="9"/>
      <c r="AR9" s="3"/>
      <c r="AS9" s="9"/>
      <c r="AT9" s="9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9"/>
      <c r="BI9" s="9"/>
      <c r="BJ9" s="9"/>
      <c r="BK9" s="11"/>
      <c r="BL9" s="11"/>
      <c r="BM9" s="9"/>
      <c r="BN9" s="9"/>
      <c r="BO9" s="3"/>
    </row>
    <row r="10" spans="1:77">
      <c r="A10" s="3"/>
      <c r="B10" s="3"/>
      <c r="C10" s="4"/>
      <c r="D10" s="7"/>
      <c r="E10" s="4"/>
      <c r="F10" s="9"/>
      <c r="G10" s="4"/>
      <c r="H10" s="4"/>
      <c r="I10" s="3"/>
      <c r="J10" s="3"/>
      <c r="K10" s="9"/>
      <c r="L10" s="3"/>
      <c r="M10" s="3"/>
      <c r="N10" s="3"/>
      <c r="O10" s="3"/>
      <c r="P10" s="3"/>
      <c r="Q10" s="3"/>
      <c r="R10" s="3"/>
      <c r="S10" s="3"/>
      <c r="T10" s="3"/>
      <c r="U10" s="9"/>
      <c r="V10" s="9"/>
      <c r="W10" s="3"/>
      <c r="X10" s="9"/>
      <c r="Y10" s="3"/>
      <c r="Z10" s="3"/>
      <c r="AA10" s="9"/>
      <c r="AB10" s="3"/>
      <c r="AC10" s="3"/>
      <c r="AD10" s="3"/>
      <c r="AE10" s="3"/>
      <c r="AF10" s="9"/>
      <c r="AG10" s="4"/>
      <c r="AH10" s="9"/>
      <c r="AI10" s="3"/>
      <c r="AJ10" s="9"/>
      <c r="AK10" s="9"/>
      <c r="AL10" s="9"/>
      <c r="AM10" s="9"/>
      <c r="AN10" s="9"/>
      <c r="AO10" s="3"/>
      <c r="AP10" s="3"/>
      <c r="AQ10" s="9"/>
      <c r="AR10" s="3"/>
      <c r="AS10" s="9"/>
      <c r="AT10" s="9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9"/>
      <c r="BI10" s="9"/>
      <c r="BJ10" s="9"/>
      <c r="BK10" s="11"/>
      <c r="BL10" s="11"/>
      <c r="BM10" s="9"/>
      <c r="BN10" s="9"/>
      <c r="BO10" s="3"/>
    </row>
    <row r="11" spans="1:77">
      <c r="A11" s="3"/>
      <c r="B11" s="3"/>
      <c r="C11" s="4"/>
      <c r="D11" s="7"/>
      <c r="E11" s="4"/>
      <c r="F11" s="9"/>
      <c r="G11" s="4"/>
      <c r="H11" s="4"/>
      <c r="I11" s="3"/>
      <c r="J11" s="3"/>
      <c r="K11" s="9"/>
      <c r="L11" s="3"/>
      <c r="M11" s="3"/>
      <c r="N11" s="3"/>
      <c r="O11" s="3"/>
      <c r="P11" s="3"/>
      <c r="Q11" s="3"/>
      <c r="R11" s="3"/>
      <c r="S11" s="3"/>
      <c r="T11" s="3"/>
      <c r="U11" s="9"/>
      <c r="V11" s="9"/>
      <c r="W11" s="3"/>
      <c r="X11" s="9"/>
      <c r="Y11" s="3"/>
      <c r="Z11" s="3"/>
      <c r="AA11" s="9"/>
      <c r="AB11" s="3"/>
      <c r="AC11" s="3"/>
      <c r="AD11" s="3"/>
      <c r="AE11" s="3"/>
      <c r="AF11" s="9"/>
      <c r="AG11" s="4"/>
      <c r="AH11" s="9"/>
      <c r="AI11" s="3"/>
      <c r="AJ11" s="9"/>
      <c r="AK11" s="9"/>
      <c r="AL11" s="9"/>
      <c r="AM11" s="9"/>
      <c r="AN11" s="9"/>
      <c r="AO11" s="3"/>
      <c r="AP11" s="3"/>
      <c r="AQ11" s="9"/>
      <c r="AR11" s="3"/>
      <c r="AS11" s="9"/>
      <c r="AT11" s="9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9"/>
      <c r="BI11" s="9"/>
      <c r="BJ11" s="9"/>
      <c r="BK11" s="11"/>
      <c r="BL11" s="11"/>
      <c r="BM11" s="9"/>
      <c r="BN11" s="9"/>
      <c r="BO11" s="3"/>
    </row>
    <row r="12" spans="1:77">
      <c r="A12" s="3"/>
      <c r="B12" s="3"/>
      <c r="C12" s="4"/>
      <c r="D12" s="7"/>
      <c r="E12" s="4"/>
      <c r="F12" s="9"/>
      <c r="G12" s="4"/>
      <c r="H12" s="4"/>
      <c r="I12" s="3"/>
      <c r="J12" s="3"/>
      <c r="K12" s="9"/>
      <c r="L12" s="3"/>
      <c r="M12" s="3"/>
      <c r="N12" s="3"/>
      <c r="O12" s="3"/>
      <c r="P12" s="3"/>
      <c r="Q12" s="3"/>
      <c r="R12" s="3"/>
      <c r="S12" s="3"/>
      <c r="T12" s="3"/>
      <c r="U12" s="9"/>
      <c r="V12" s="9"/>
      <c r="W12" s="3"/>
      <c r="X12" s="9"/>
      <c r="Y12" s="3"/>
      <c r="Z12" s="3"/>
      <c r="AA12" s="9"/>
      <c r="AB12" s="3"/>
      <c r="AC12" s="3"/>
      <c r="AD12" s="3"/>
      <c r="AE12" s="3"/>
      <c r="AF12" s="9"/>
      <c r="AG12" s="4"/>
      <c r="AH12" s="9"/>
      <c r="AI12" s="3"/>
      <c r="AJ12" s="9"/>
      <c r="AK12" s="9"/>
      <c r="AL12" s="9"/>
      <c r="AM12" s="9"/>
      <c r="AN12" s="9"/>
      <c r="AO12" s="3"/>
      <c r="AP12" s="3"/>
      <c r="AQ12" s="9"/>
      <c r="AR12" s="3"/>
      <c r="AS12" s="9"/>
      <c r="AT12" s="9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9"/>
      <c r="BI12" s="9"/>
      <c r="BJ12" s="9"/>
      <c r="BK12" s="11"/>
      <c r="BL12" s="11"/>
      <c r="BM12" s="9"/>
      <c r="BN12" s="9"/>
      <c r="BO12" s="3"/>
    </row>
    <row r="13" spans="1:77">
      <c r="A13" s="3"/>
      <c r="B13" s="3"/>
      <c r="C13" s="4"/>
      <c r="D13" s="7"/>
      <c r="E13" s="4"/>
      <c r="F13" s="9"/>
      <c r="G13" s="4"/>
      <c r="H13" s="4"/>
      <c r="I13" s="3"/>
      <c r="J13" s="3"/>
      <c r="K13" s="9"/>
      <c r="L13" s="3"/>
      <c r="M13" s="3"/>
      <c r="N13" s="3"/>
      <c r="O13" s="3"/>
      <c r="P13" s="3"/>
      <c r="Q13" s="3"/>
      <c r="R13" s="3"/>
      <c r="S13" s="3"/>
      <c r="T13" s="3"/>
      <c r="U13" s="9"/>
      <c r="V13" s="9"/>
      <c r="W13" s="3"/>
      <c r="X13" s="9"/>
      <c r="Y13" s="3"/>
      <c r="Z13" s="3"/>
      <c r="AA13" s="9"/>
      <c r="AB13" s="3"/>
      <c r="AC13" s="3"/>
      <c r="AD13" s="3"/>
      <c r="AE13" s="3"/>
      <c r="AF13" s="9"/>
      <c r="AG13" s="4"/>
      <c r="AH13" s="9"/>
      <c r="AI13" s="3"/>
      <c r="AJ13" s="9"/>
      <c r="AK13" s="9"/>
      <c r="AL13" s="9"/>
      <c r="AM13" s="9"/>
      <c r="AN13" s="9"/>
      <c r="AO13" s="3"/>
      <c r="AP13" s="3"/>
      <c r="AQ13" s="9"/>
      <c r="AR13" s="3"/>
      <c r="AS13" s="9"/>
      <c r="AT13" s="9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9"/>
      <c r="BI13" s="9"/>
      <c r="BJ13" s="9"/>
      <c r="BK13" s="11"/>
      <c r="BL13" s="11"/>
      <c r="BM13" s="9"/>
      <c r="BN13" s="9"/>
      <c r="BO13" s="3"/>
    </row>
    <row r="14" spans="1:77">
      <c r="A14" s="3"/>
      <c r="B14" s="3"/>
      <c r="C14" s="4"/>
      <c r="D14" s="7"/>
      <c r="E14" s="4"/>
      <c r="F14" s="9"/>
      <c r="G14" s="4"/>
      <c r="H14" s="4"/>
      <c r="I14" s="3"/>
      <c r="J14" s="3"/>
      <c r="K14" s="9"/>
      <c r="L14" s="3"/>
      <c r="M14" s="3"/>
      <c r="N14" s="3"/>
      <c r="O14" s="3"/>
      <c r="P14" s="3"/>
      <c r="Q14" s="3"/>
      <c r="R14" s="3"/>
      <c r="S14" s="3"/>
      <c r="T14" s="3"/>
      <c r="U14" s="9"/>
      <c r="V14" s="9"/>
      <c r="W14" s="3"/>
      <c r="X14" s="9"/>
      <c r="Y14" s="3"/>
      <c r="Z14" s="3"/>
      <c r="AA14" s="9"/>
      <c r="AB14" s="3"/>
      <c r="AC14" s="3"/>
      <c r="AD14" s="3"/>
      <c r="AE14" s="3"/>
      <c r="AF14" s="9"/>
      <c r="AG14" s="4"/>
      <c r="AH14" s="9"/>
      <c r="AI14" s="3"/>
      <c r="AJ14" s="9"/>
      <c r="AK14" s="9"/>
      <c r="AL14" s="9"/>
      <c r="AM14" s="9"/>
      <c r="AN14" s="9"/>
      <c r="AO14" s="3"/>
      <c r="AP14" s="3"/>
      <c r="AQ14" s="9"/>
      <c r="AR14" s="3"/>
      <c r="AS14" s="9"/>
      <c r="AT14" s="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9"/>
      <c r="BI14" s="9"/>
      <c r="BJ14" s="9"/>
      <c r="BK14" s="11"/>
      <c r="BL14" s="11"/>
      <c r="BM14" s="9"/>
      <c r="BN14" s="9"/>
      <c r="BO14" s="3"/>
    </row>
    <row r="15" spans="1:77">
      <c r="A15" s="3"/>
      <c r="B15" s="3"/>
      <c r="C15" s="4"/>
      <c r="D15" s="7"/>
      <c r="E15" s="4"/>
      <c r="F15" s="9"/>
      <c r="G15" s="4"/>
      <c r="H15" s="4"/>
      <c r="I15" s="3"/>
      <c r="J15" s="3"/>
      <c r="K15" s="9"/>
      <c r="L15" s="3"/>
      <c r="M15" s="3"/>
      <c r="N15" s="3"/>
      <c r="O15" s="3"/>
      <c r="P15" s="3"/>
      <c r="Q15" s="3"/>
      <c r="R15" s="3"/>
      <c r="S15" s="3"/>
      <c r="T15" s="3"/>
      <c r="U15" s="9"/>
      <c r="V15" s="9"/>
      <c r="W15" s="3"/>
      <c r="X15" s="9"/>
      <c r="Y15" s="3"/>
      <c r="Z15" s="3"/>
      <c r="AA15" s="9"/>
      <c r="AB15" s="3"/>
      <c r="AC15" s="3"/>
      <c r="AD15" s="3"/>
      <c r="AE15" s="3"/>
      <c r="AF15" s="9"/>
      <c r="AG15" s="4"/>
      <c r="AH15" s="9"/>
      <c r="AI15" s="3"/>
      <c r="AJ15" s="9"/>
      <c r="AK15" s="9"/>
      <c r="AL15" s="9"/>
      <c r="AM15" s="9"/>
      <c r="AN15" s="9"/>
      <c r="AO15" s="3"/>
      <c r="AP15" s="3"/>
      <c r="AQ15" s="9"/>
      <c r="AR15" s="3"/>
      <c r="AS15" s="9"/>
      <c r="AT15" s="9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9"/>
      <c r="BI15" s="9"/>
      <c r="BJ15" s="9"/>
      <c r="BK15" s="11"/>
      <c r="BL15" s="11"/>
      <c r="BM15" s="9"/>
      <c r="BN15" s="9"/>
      <c r="BO15" s="3"/>
    </row>
    <row r="16" spans="1:77">
      <c r="A16" s="3"/>
      <c r="B16" s="3"/>
      <c r="C16" s="4"/>
      <c r="D16" s="7"/>
      <c r="E16" s="4"/>
      <c r="F16" s="9"/>
      <c r="G16" s="4"/>
      <c r="H16" s="4"/>
      <c r="I16" s="3"/>
      <c r="J16" s="3"/>
      <c r="K16" s="9"/>
      <c r="L16" s="3"/>
      <c r="M16" s="3"/>
      <c r="N16" s="3"/>
      <c r="O16" s="3"/>
      <c r="P16" s="3"/>
      <c r="Q16" s="3"/>
      <c r="R16" s="3"/>
      <c r="S16" s="3"/>
      <c r="T16" s="3"/>
      <c r="U16" s="9"/>
      <c r="V16" s="9"/>
      <c r="W16" s="3"/>
      <c r="X16" s="9"/>
      <c r="Y16" s="3"/>
      <c r="Z16" s="3"/>
      <c r="AA16" s="9"/>
      <c r="AB16" s="3"/>
      <c r="AC16" s="3"/>
      <c r="AD16" s="3"/>
      <c r="AE16" s="3"/>
      <c r="AF16" s="9"/>
      <c r="AG16" s="4"/>
      <c r="AH16" s="9"/>
      <c r="AI16" s="3"/>
      <c r="AJ16" s="9"/>
      <c r="AK16" s="9"/>
      <c r="AL16" s="9"/>
      <c r="AM16" s="9"/>
      <c r="AN16" s="9"/>
      <c r="AO16" s="3"/>
      <c r="AP16" s="3"/>
      <c r="AQ16" s="9"/>
      <c r="AR16" s="3"/>
      <c r="AS16" s="9"/>
      <c r="AT16" s="9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9"/>
      <c r="BI16" s="9"/>
      <c r="BJ16" s="9"/>
      <c r="BK16" s="11"/>
      <c r="BL16" s="11"/>
      <c r="BM16" s="9"/>
      <c r="BN16" s="9"/>
      <c r="BO16" s="3"/>
    </row>
    <row r="17" spans="1:67">
      <c r="A17" s="3"/>
      <c r="B17" s="3"/>
      <c r="C17" s="4"/>
      <c r="D17" s="7"/>
      <c r="E17" s="4"/>
      <c r="F17" s="9"/>
      <c r="G17" s="4"/>
      <c r="H17" s="4"/>
      <c r="I17" s="3"/>
      <c r="J17" s="3"/>
      <c r="K17" s="9"/>
      <c r="L17" s="3"/>
      <c r="M17" s="3"/>
      <c r="N17" s="3"/>
      <c r="O17" s="3"/>
      <c r="P17" s="3"/>
      <c r="Q17" s="3"/>
      <c r="R17" s="3"/>
      <c r="S17" s="3"/>
      <c r="T17" s="3"/>
      <c r="U17" s="9"/>
      <c r="V17" s="9"/>
      <c r="W17" s="3"/>
      <c r="X17" s="9"/>
      <c r="Y17" s="3"/>
      <c r="Z17" s="3"/>
      <c r="AA17" s="9"/>
      <c r="AB17" s="3"/>
      <c r="AC17" s="3"/>
      <c r="AD17" s="3"/>
      <c r="AE17" s="3"/>
      <c r="AF17" s="9"/>
      <c r="AG17" s="4"/>
      <c r="AH17" s="9"/>
      <c r="AI17" s="3"/>
      <c r="AJ17" s="9"/>
      <c r="AK17" s="9"/>
      <c r="AL17" s="9"/>
      <c r="AM17" s="9"/>
      <c r="AN17" s="9"/>
      <c r="AO17" s="3"/>
      <c r="AP17" s="3"/>
      <c r="AQ17" s="9"/>
      <c r="AR17" s="3"/>
      <c r="AS17" s="9"/>
      <c r="AT17" s="9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9"/>
      <c r="BI17" s="9"/>
      <c r="BJ17" s="9"/>
      <c r="BK17" s="11"/>
      <c r="BL17" s="11"/>
      <c r="BM17" s="9"/>
      <c r="BN17" s="9"/>
      <c r="BO17" s="3"/>
    </row>
    <row r="18" spans="1:67">
      <c r="A18" s="3"/>
      <c r="B18" s="3"/>
      <c r="C18" s="4"/>
      <c r="D18" s="7"/>
      <c r="E18" s="4"/>
      <c r="F18" s="9"/>
      <c r="G18" s="4"/>
      <c r="H18" s="4"/>
      <c r="I18" s="3"/>
      <c r="J18" s="3"/>
      <c r="K18" s="9"/>
      <c r="L18" s="3"/>
      <c r="M18" s="3"/>
      <c r="N18" s="3"/>
      <c r="O18" s="3"/>
      <c r="P18" s="3"/>
      <c r="Q18" s="3"/>
      <c r="R18" s="3"/>
      <c r="S18" s="3"/>
      <c r="T18" s="3"/>
      <c r="U18" s="9"/>
      <c r="V18" s="9"/>
      <c r="W18" s="3"/>
      <c r="X18" s="9"/>
      <c r="Y18" s="3"/>
      <c r="Z18" s="3"/>
      <c r="AA18" s="9"/>
      <c r="AB18" s="3"/>
      <c r="AC18" s="3"/>
      <c r="AD18" s="3"/>
      <c r="AE18" s="3"/>
      <c r="AF18" s="9"/>
      <c r="AG18" s="4"/>
      <c r="AH18" s="9"/>
      <c r="AI18" s="3"/>
      <c r="AJ18" s="9"/>
      <c r="AK18" s="9"/>
      <c r="AL18" s="9"/>
      <c r="AM18" s="9"/>
      <c r="AN18" s="9"/>
      <c r="AO18" s="3"/>
      <c r="AP18" s="3"/>
      <c r="AQ18" s="9"/>
      <c r="AR18" s="3"/>
      <c r="AS18" s="9"/>
      <c r="AT18" s="9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9"/>
      <c r="BI18" s="9"/>
      <c r="BJ18" s="9"/>
      <c r="BK18" s="11"/>
      <c r="BL18" s="11"/>
      <c r="BM18" s="9"/>
      <c r="BN18" s="9"/>
      <c r="BO18" s="3"/>
    </row>
    <row r="19" spans="1:67">
      <c r="A19" s="3"/>
      <c r="B19" s="3"/>
      <c r="C19" s="4"/>
      <c r="D19" s="7"/>
      <c r="E19" s="4"/>
      <c r="F19" s="9"/>
      <c r="G19" s="4"/>
      <c r="H19" s="4"/>
      <c r="I19" s="3"/>
      <c r="J19" s="3"/>
      <c r="K19" s="9"/>
      <c r="L19" s="3"/>
      <c r="M19" s="3"/>
      <c r="N19" s="3"/>
      <c r="O19" s="3"/>
      <c r="P19" s="3"/>
      <c r="Q19" s="3"/>
      <c r="R19" s="3"/>
      <c r="S19" s="3"/>
      <c r="T19" s="3"/>
      <c r="U19" s="9"/>
      <c r="V19" s="9"/>
      <c r="W19" s="3"/>
      <c r="X19" s="9"/>
      <c r="Y19" s="3"/>
      <c r="Z19" s="3"/>
      <c r="AA19" s="9"/>
      <c r="AB19" s="3"/>
      <c r="AC19" s="3"/>
      <c r="AD19" s="3"/>
      <c r="AE19" s="3"/>
      <c r="AF19" s="9"/>
      <c r="AG19" s="4"/>
      <c r="AH19" s="9"/>
      <c r="AI19" s="3"/>
      <c r="AJ19" s="9"/>
      <c r="AK19" s="9"/>
      <c r="AL19" s="9"/>
      <c r="AM19" s="9"/>
      <c r="AN19" s="9"/>
      <c r="AO19" s="3"/>
      <c r="AP19" s="3"/>
      <c r="AQ19" s="9"/>
      <c r="AR19" s="3"/>
      <c r="AS19" s="9"/>
      <c r="AT19" s="9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9"/>
      <c r="BI19" s="9"/>
      <c r="BJ19" s="9"/>
      <c r="BK19" s="11"/>
      <c r="BL19" s="11"/>
      <c r="BM19" s="9"/>
      <c r="BN19" s="9"/>
      <c r="BO19" s="3"/>
    </row>
    <row r="20" spans="1:67">
      <c r="A20" s="3"/>
      <c r="B20" s="3"/>
      <c r="C20" s="4"/>
      <c r="D20" s="7"/>
      <c r="E20" s="4"/>
      <c r="F20" s="9"/>
      <c r="G20" s="4"/>
      <c r="H20" s="4"/>
      <c r="I20" s="3"/>
      <c r="J20" s="3"/>
      <c r="K20" s="9"/>
      <c r="L20" s="3"/>
      <c r="M20" s="3"/>
      <c r="N20" s="3"/>
      <c r="O20" s="3"/>
      <c r="P20" s="3"/>
      <c r="Q20" s="3"/>
      <c r="R20" s="3"/>
      <c r="S20" s="3"/>
      <c r="T20" s="3"/>
      <c r="U20" s="9"/>
      <c r="V20" s="9"/>
      <c r="W20" s="3"/>
      <c r="X20" s="9"/>
      <c r="Y20" s="3"/>
      <c r="Z20" s="3"/>
      <c r="AA20" s="9"/>
      <c r="AB20" s="3"/>
      <c r="AC20" s="3"/>
      <c r="AD20" s="3"/>
      <c r="AE20" s="3"/>
      <c r="AF20" s="9"/>
      <c r="AG20" s="4"/>
      <c r="AH20" s="9"/>
      <c r="AI20" s="3"/>
      <c r="AJ20" s="9"/>
      <c r="AK20" s="9"/>
      <c r="AL20" s="9"/>
      <c r="AM20" s="9"/>
      <c r="AN20" s="9"/>
      <c r="AO20" s="3"/>
      <c r="AP20" s="3"/>
      <c r="AQ20" s="9"/>
      <c r="AR20" s="3"/>
      <c r="AS20" s="9"/>
      <c r="AT20" s="9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9"/>
      <c r="BI20" s="9"/>
      <c r="BJ20" s="9"/>
      <c r="BK20" s="11"/>
      <c r="BL20" s="11"/>
      <c r="BM20" s="9"/>
      <c r="BN20" s="9"/>
      <c r="BO20" s="3"/>
    </row>
    <row r="21" spans="1:67">
      <c r="A21" s="3"/>
      <c r="B21" s="3"/>
      <c r="C21" s="4"/>
      <c r="D21" s="7"/>
      <c r="E21" s="4"/>
      <c r="F21" s="9"/>
      <c r="G21" s="4"/>
      <c r="H21" s="4"/>
      <c r="I21" s="3"/>
      <c r="J21" s="3"/>
      <c r="K21" s="9"/>
      <c r="L21" s="3"/>
      <c r="M21" s="3"/>
      <c r="N21" s="3"/>
      <c r="O21" s="3"/>
      <c r="P21" s="3"/>
      <c r="Q21" s="3"/>
      <c r="R21" s="3"/>
      <c r="S21" s="3"/>
      <c r="T21" s="3"/>
      <c r="U21" s="9"/>
      <c r="V21" s="9"/>
      <c r="W21" s="3"/>
      <c r="X21" s="9"/>
      <c r="Y21" s="3"/>
      <c r="Z21" s="3"/>
      <c r="AA21" s="9"/>
      <c r="AB21" s="3"/>
      <c r="AC21" s="3"/>
      <c r="AD21" s="3"/>
      <c r="AE21" s="3"/>
      <c r="AF21" s="9"/>
      <c r="AG21" s="4"/>
      <c r="AH21" s="9"/>
      <c r="AI21" s="3"/>
      <c r="AJ21" s="9"/>
      <c r="AK21" s="9"/>
      <c r="AL21" s="9"/>
      <c r="AM21" s="9"/>
      <c r="AN21" s="9"/>
      <c r="AO21" s="3"/>
      <c r="AP21" s="3"/>
      <c r="AQ21" s="9"/>
      <c r="AR21" s="3"/>
      <c r="AS21" s="9"/>
      <c r="AT21" s="9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9"/>
      <c r="BI21" s="9"/>
      <c r="BJ21" s="9"/>
      <c r="BK21" s="11"/>
      <c r="BL21" s="11"/>
      <c r="BM21" s="9"/>
      <c r="BN21" s="9"/>
      <c r="BO21" s="3"/>
    </row>
    <row r="22" spans="1:67">
      <c r="A22" s="3"/>
      <c r="B22" s="3"/>
      <c r="C22" s="4"/>
      <c r="D22" s="7"/>
      <c r="E22" s="4"/>
      <c r="F22" s="9"/>
      <c r="G22" s="4"/>
      <c r="H22" s="4"/>
      <c r="I22" s="3"/>
      <c r="J22" s="3"/>
      <c r="K22" s="9"/>
      <c r="L22" s="3"/>
      <c r="M22" s="3"/>
      <c r="N22" s="3"/>
      <c r="O22" s="3"/>
      <c r="P22" s="3"/>
      <c r="Q22" s="3"/>
      <c r="R22" s="3"/>
      <c r="S22" s="3"/>
      <c r="T22" s="3"/>
      <c r="U22" s="9"/>
      <c r="V22" s="9"/>
      <c r="W22" s="3"/>
      <c r="X22" s="9"/>
      <c r="Y22" s="3"/>
      <c r="Z22" s="3"/>
      <c r="AA22" s="9"/>
      <c r="AB22" s="3"/>
      <c r="AC22" s="3"/>
      <c r="AD22" s="3"/>
      <c r="AE22" s="3"/>
      <c r="AF22" s="9"/>
      <c r="AG22" s="4"/>
      <c r="AH22" s="9"/>
      <c r="AI22" s="3"/>
      <c r="AJ22" s="9"/>
      <c r="AK22" s="9"/>
      <c r="AL22" s="9"/>
      <c r="AM22" s="9"/>
      <c r="AN22" s="9"/>
      <c r="AO22" s="3"/>
      <c r="AP22" s="3"/>
      <c r="AQ22" s="9"/>
      <c r="AR22" s="3"/>
      <c r="AS22" s="9"/>
      <c r="AT22" s="9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9"/>
      <c r="BI22" s="9"/>
      <c r="BJ22" s="9"/>
      <c r="BK22" s="11"/>
      <c r="BL22" s="11"/>
      <c r="BM22" s="9"/>
      <c r="BN22" s="9"/>
      <c r="BO22" s="3"/>
    </row>
    <row r="23" spans="1:67">
      <c r="A23" s="3"/>
      <c r="B23" s="3"/>
      <c r="C23" s="4"/>
      <c r="D23" s="7"/>
      <c r="E23" s="4"/>
      <c r="F23" s="9"/>
      <c r="G23" s="4"/>
      <c r="H23" s="4"/>
      <c r="I23" s="3"/>
      <c r="J23" s="3"/>
      <c r="K23" s="9"/>
      <c r="L23" s="3"/>
      <c r="M23" s="3"/>
      <c r="N23" s="3"/>
      <c r="O23" s="3"/>
      <c r="P23" s="3"/>
      <c r="Q23" s="3"/>
      <c r="R23" s="3"/>
      <c r="S23" s="3"/>
      <c r="T23" s="3"/>
      <c r="U23" s="9"/>
      <c r="V23" s="9"/>
      <c r="W23" s="3"/>
      <c r="X23" s="9"/>
      <c r="Y23" s="3"/>
      <c r="Z23" s="3"/>
      <c r="AA23" s="9"/>
      <c r="AB23" s="3"/>
      <c r="AC23" s="3"/>
      <c r="AD23" s="3"/>
      <c r="AE23" s="3"/>
      <c r="AF23" s="9"/>
      <c r="AG23" s="4"/>
      <c r="AH23" s="9"/>
      <c r="AI23" s="3"/>
      <c r="AJ23" s="9"/>
      <c r="AK23" s="9"/>
      <c r="AL23" s="9"/>
      <c r="AM23" s="9"/>
      <c r="AN23" s="9"/>
      <c r="AO23" s="3"/>
      <c r="AP23" s="3"/>
      <c r="AQ23" s="9"/>
      <c r="AR23" s="3"/>
      <c r="AS23" s="9"/>
      <c r="AT23" s="9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9"/>
      <c r="BI23" s="9"/>
      <c r="BJ23" s="9"/>
      <c r="BK23" s="11"/>
      <c r="BL23" s="11"/>
      <c r="BM23" s="9"/>
      <c r="BN23" s="9"/>
      <c r="BO23" s="3"/>
    </row>
    <row r="24" spans="1:67">
      <c r="A24" s="3"/>
      <c r="B24" s="3"/>
      <c r="C24" s="4"/>
      <c r="D24" s="7"/>
      <c r="E24" s="4"/>
      <c r="F24" s="9"/>
      <c r="G24" s="4"/>
      <c r="H24" s="4"/>
      <c r="I24" s="3"/>
      <c r="J24" s="3"/>
      <c r="K24" s="9"/>
      <c r="L24" s="3"/>
      <c r="M24" s="3"/>
      <c r="N24" s="3"/>
      <c r="O24" s="3"/>
      <c r="P24" s="3"/>
      <c r="Q24" s="3"/>
      <c r="R24" s="3"/>
      <c r="S24" s="3"/>
      <c r="T24" s="3"/>
      <c r="U24" s="9"/>
      <c r="V24" s="9"/>
      <c r="W24" s="3"/>
      <c r="X24" s="9"/>
      <c r="Y24" s="3"/>
      <c r="Z24" s="3"/>
      <c r="AA24" s="9"/>
      <c r="AB24" s="3"/>
      <c r="AC24" s="3"/>
      <c r="AD24" s="3"/>
      <c r="AE24" s="3"/>
      <c r="AF24" s="9"/>
      <c r="AG24" s="4"/>
      <c r="AH24" s="9"/>
      <c r="AI24" s="3"/>
      <c r="AJ24" s="9"/>
      <c r="AK24" s="9"/>
      <c r="AL24" s="9"/>
      <c r="AM24" s="9"/>
      <c r="AN24" s="9"/>
      <c r="AO24" s="3"/>
      <c r="AP24" s="3"/>
      <c r="AQ24" s="9"/>
      <c r="AR24" s="3"/>
      <c r="AS24" s="9"/>
      <c r="AT24" s="9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9"/>
      <c r="BI24" s="9"/>
      <c r="BJ24" s="9"/>
      <c r="BK24" s="11"/>
      <c r="BL24" s="11"/>
      <c r="BM24" s="9"/>
      <c r="BN24" s="9"/>
      <c r="BO24" s="3"/>
    </row>
    <row r="25" spans="1:67">
      <c r="A25" s="3"/>
      <c r="B25" s="3"/>
      <c r="C25" s="4"/>
      <c r="D25" s="7"/>
      <c r="E25" s="4"/>
      <c r="F25" s="9"/>
      <c r="G25" s="4"/>
      <c r="H25" s="4"/>
      <c r="I25" s="3"/>
      <c r="J25" s="3"/>
      <c r="K25" s="9"/>
      <c r="L25" s="3"/>
      <c r="M25" s="3"/>
      <c r="N25" s="3"/>
      <c r="O25" s="3"/>
      <c r="P25" s="3"/>
      <c r="Q25" s="3"/>
      <c r="R25" s="3"/>
      <c r="S25" s="3"/>
      <c r="T25" s="3"/>
      <c r="U25" s="9"/>
      <c r="V25" s="9"/>
      <c r="W25" s="3"/>
      <c r="X25" s="9"/>
      <c r="Y25" s="3"/>
      <c r="Z25" s="3"/>
      <c r="AA25" s="9"/>
      <c r="AB25" s="3"/>
      <c r="AC25" s="3"/>
      <c r="AD25" s="3"/>
      <c r="AE25" s="3"/>
      <c r="AF25" s="9"/>
      <c r="AG25" s="4"/>
      <c r="AH25" s="9"/>
      <c r="AI25" s="3"/>
      <c r="AJ25" s="9"/>
      <c r="AK25" s="9"/>
      <c r="AL25" s="9"/>
      <c r="AM25" s="9"/>
      <c r="AN25" s="9"/>
      <c r="AO25" s="3"/>
      <c r="AP25" s="3"/>
      <c r="AQ25" s="9"/>
      <c r="AR25" s="3"/>
      <c r="AS25" s="9"/>
      <c r="AT25" s="9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9"/>
      <c r="BI25" s="9"/>
      <c r="BJ25" s="9"/>
      <c r="BK25" s="11"/>
      <c r="BL25" s="11"/>
      <c r="BM25" s="9"/>
      <c r="BN25" s="9"/>
      <c r="BO25" s="3"/>
    </row>
    <row r="26" spans="1:67">
      <c r="A26" s="3"/>
      <c r="B26" s="3"/>
      <c r="C26" s="4"/>
      <c r="D26" s="7"/>
      <c r="E26" s="4"/>
      <c r="F26" s="9"/>
      <c r="G26" s="4"/>
      <c r="H26" s="4"/>
      <c r="I26" s="3"/>
      <c r="J26" s="3"/>
      <c r="K26" s="9"/>
      <c r="L26" s="3"/>
      <c r="M26" s="3"/>
      <c r="N26" s="3"/>
      <c r="O26" s="3"/>
      <c r="P26" s="3"/>
      <c r="Q26" s="3"/>
      <c r="R26" s="3"/>
      <c r="S26" s="3"/>
      <c r="T26" s="3"/>
      <c r="U26" s="9"/>
      <c r="V26" s="9"/>
      <c r="W26" s="3"/>
      <c r="X26" s="9"/>
      <c r="Y26" s="3"/>
      <c r="Z26" s="3"/>
      <c r="AA26" s="9"/>
      <c r="AB26" s="3"/>
      <c r="AC26" s="3"/>
      <c r="AD26" s="3"/>
      <c r="AE26" s="3"/>
      <c r="AF26" s="9"/>
      <c r="AG26" s="4"/>
      <c r="AH26" s="9"/>
      <c r="AI26" s="3"/>
      <c r="AJ26" s="9"/>
      <c r="AK26" s="9"/>
      <c r="AL26" s="9"/>
      <c r="AM26" s="9"/>
      <c r="AN26" s="9"/>
      <c r="AO26" s="3"/>
      <c r="AP26" s="3"/>
      <c r="AQ26" s="9"/>
      <c r="AR26" s="3"/>
      <c r="AS26" s="9"/>
      <c r="AT26" s="9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9"/>
      <c r="BI26" s="9"/>
      <c r="BJ26" s="9"/>
      <c r="BK26" s="11"/>
      <c r="BL26" s="11"/>
      <c r="BM26" s="9"/>
      <c r="BN26" s="9"/>
      <c r="BO26" s="3"/>
    </row>
    <row r="27" spans="1:67">
      <c r="A27" s="3"/>
      <c r="B27" s="3"/>
      <c r="C27" s="4"/>
      <c r="D27" s="7"/>
      <c r="E27" s="4"/>
      <c r="F27" s="9"/>
      <c r="G27" s="4"/>
      <c r="H27" s="4"/>
      <c r="I27" s="3"/>
      <c r="J27" s="3"/>
      <c r="K27" s="9"/>
      <c r="L27" s="3"/>
      <c r="M27" s="3"/>
      <c r="N27" s="3"/>
      <c r="O27" s="3"/>
      <c r="P27" s="3"/>
      <c r="Q27" s="3"/>
      <c r="R27" s="3"/>
      <c r="S27" s="3"/>
      <c r="T27" s="3"/>
      <c r="U27" s="9"/>
      <c r="V27" s="9"/>
      <c r="W27" s="3"/>
      <c r="X27" s="9"/>
      <c r="Y27" s="3"/>
      <c r="Z27" s="3"/>
      <c r="AA27" s="9"/>
      <c r="AB27" s="3"/>
      <c r="AC27" s="3"/>
      <c r="AD27" s="3"/>
      <c r="AE27" s="3"/>
      <c r="AF27" s="9"/>
      <c r="AG27" s="4"/>
      <c r="AH27" s="9"/>
      <c r="AI27" s="3"/>
      <c r="AJ27" s="9"/>
      <c r="AK27" s="9"/>
      <c r="AL27" s="9"/>
      <c r="AM27" s="9"/>
      <c r="AN27" s="9"/>
      <c r="AO27" s="3"/>
      <c r="AP27" s="3"/>
      <c r="AQ27" s="9"/>
      <c r="AR27" s="3"/>
      <c r="AS27" s="9"/>
      <c r="AT27" s="9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9"/>
      <c r="BI27" s="9"/>
      <c r="BJ27" s="9"/>
      <c r="BK27" s="11"/>
      <c r="BL27" s="11"/>
      <c r="BM27" s="9"/>
      <c r="BN27" s="9"/>
      <c r="BO27" s="3"/>
    </row>
    <row r="28" spans="1:67">
      <c r="A28" s="3"/>
      <c r="B28" s="3"/>
      <c r="C28" s="4"/>
      <c r="D28" s="7"/>
      <c r="E28" s="4"/>
      <c r="F28" s="9"/>
      <c r="G28" s="4"/>
      <c r="H28" s="4"/>
      <c r="I28" s="3"/>
      <c r="J28" s="3"/>
      <c r="K28" s="9"/>
      <c r="L28" s="3"/>
      <c r="M28" s="3"/>
      <c r="N28" s="3"/>
      <c r="O28" s="3"/>
      <c r="P28" s="3"/>
      <c r="Q28" s="3"/>
      <c r="R28" s="3"/>
      <c r="S28" s="3"/>
      <c r="T28" s="3"/>
      <c r="U28" s="9"/>
      <c r="V28" s="9"/>
      <c r="W28" s="3"/>
      <c r="X28" s="9"/>
      <c r="Y28" s="3"/>
      <c r="Z28" s="3"/>
      <c r="AA28" s="9"/>
      <c r="AB28" s="3"/>
      <c r="AC28" s="3"/>
      <c r="AD28" s="3"/>
      <c r="AE28" s="3"/>
      <c r="AF28" s="9"/>
      <c r="AG28" s="4"/>
      <c r="AH28" s="9"/>
      <c r="AI28" s="3"/>
      <c r="AJ28" s="9"/>
      <c r="AK28" s="9"/>
      <c r="AL28" s="9"/>
      <c r="AM28" s="9"/>
      <c r="AN28" s="9"/>
      <c r="AO28" s="3"/>
      <c r="AP28" s="3"/>
      <c r="AQ28" s="9"/>
      <c r="AR28" s="3"/>
      <c r="AS28" s="9"/>
      <c r="AT28" s="9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9"/>
      <c r="BI28" s="9"/>
      <c r="BJ28" s="9"/>
      <c r="BK28" s="11"/>
      <c r="BL28" s="11"/>
      <c r="BM28" s="9"/>
      <c r="BN28" s="9"/>
      <c r="BO28" s="3"/>
    </row>
    <row r="29" spans="1:67">
      <c r="A29" s="3"/>
      <c r="B29" s="3"/>
      <c r="C29" s="4"/>
      <c r="D29" s="7"/>
      <c r="E29" s="4"/>
      <c r="F29" s="9"/>
      <c r="G29" s="4"/>
      <c r="H29" s="4"/>
      <c r="I29" s="3"/>
      <c r="J29" s="3"/>
      <c r="K29" s="9"/>
      <c r="L29" s="3"/>
      <c r="M29" s="3"/>
      <c r="N29" s="3"/>
      <c r="O29" s="3"/>
      <c r="P29" s="3"/>
      <c r="Q29" s="3"/>
      <c r="R29" s="3"/>
      <c r="S29" s="3"/>
      <c r="T29" s="3"/>
      <c r="U29" s="9"/>
      <c r="V29" s="9"/>
      <c r="W29" s="3"/>
      <c r="X29" s="9"/>
      <c r="Y29" s="3"/>
      <c r="Z29" s="3"/>
      <c r="AA29" s="9"/>
      <c r="AB29" s="3"/>
      <c r="AC29" s="3"/>
      <c r="AD29" s="3"/>
      <c r="AE29" s="3"/>
      <c r="AF29" s="9"/>
      <c r="AG29" s="4"/>
      <c r="AH29" s="9"/>
      <c r="AI29" s="3"/>
      <c r="AJ29" s="9"/>
      <c r="AK29" s="9"/>
      <c r="AL29" s="9"/>
      <c r="AM29" s="9"/>
      <c r="AN29" s="9"/>
      <c r="AO29" s="3"/>
      <c r="AP29" s="3"/>
      <c r="AQ29" s="9"/>
      <c r="AR29" s="3"/>
      <c r="AS29" s="9"/>
      <c r="AT29" s="9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9"/>
      <c r="BI29" s="9"/>
      <c r="BJ29" s="9"/>
      <c r="BK29" s="11"/>
      <c r="BL29" s="11"/>
      <c r="BM29" s="9"/>
      <c r="BN29" s="9"/>
      <c r="BO29" s="3"/>
    </row>
    <row r="30" spans="1:67">
      <c r="A30" s="3"/>
      <c r="B30" s="3"/>
      <c r="C30" s="4"/>
      <c r="D30" s="7"/>
      <c r="E30" s="4"/>
      <c r="F30" s="9"/>
      <c r="G30" s="4"/>
      <c r="H30" s="4"/>
      <c r="I30" s="3"/>
      <c r="J30" s="3"/>
      <c r="K30" s="9"/>
      <c r="L30" s="3"/>
      <c r="M30" s="3"/>
      <c r="N30" s="3"/>
      <c r="O30" s="3"/>
      <c r="P30" s="3"/>
      <c r="Q30" s="3"/>
      <c r="R30" s="3"/>
      <c r="S30" s="3"/>
      <c r="T30" s="3"/>
      <c r="U30" s="9"/>
      <c r="V30" s="9"/>
      <c r="W30" s="3"/>
      <c r="X30" s="9"/>
      <c r="Y30" s="3"/>
      <c r="Z30" s="3"/>
      <c r="AA30" s="9"/>
      <c r="AB30" s="3"/>
      <c r="AC30" s="3"/>
      <c r="AD30" s="3"/>
      <c r="AE30" s="3"/>
      <c r="AF30" s="9"/>
      <c r="AG30" s="4"/>
      <c r="AH30" s="9"/>
      <c r="AI30" s="3"/>
      <c r="AJ30" s="9"/>
      <c r="AK30" s="9"/>
      <c r="AL30" s="9"/>
      <c r="AM30" s="9"/>
      <c r="AN30" s="9"/>
      <c r="AO30" s="3"/>
      <c r="AP30" s="3"/>
      <c r="AQ30" s="9"/>
      <c r="AR30" s="3"/>
      <c r="AS30" s="9"/>
      <c r="AT30" s="9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9"/>
      <c r="BI30" s="9"/>
      <c r="BJ30" s="9"/>
      <c r="BK30" s="11"/>
      <c r="BL30" s="11"/>
      <c r="BM30" s="9"/>
      <c r="BN30" s="9"/>
      <c r="BO30" s="3"/>
    </row>
    <row r="31" spans="1:67">
      <c r="A31" s="3"/>
      <c r="B31" s="3"/>
      <c r="C31" s="4"/>
      <c r="D31" s="7"/>
      <c r="E31" s="4"/>
      <c r="F31" s="9"/>
      <c r="G31" s="4"/>
      <c r="H31" s="4"/>
      <c r="I31" s="3"/>
      <c r="J31" s="3"/>
      <c r="K31" s="9"/>
      <c r="L31" s="3"/>
      <c r="M31" s="3"/>
      <c r="N31" s="3"/>
      <c r="O31" s="3"/>
      <c r="P31" s="3"/>
      <c r="Q31" s="3"/>
      <c r="R31" s="3"/>
      <c r="S31" s="3"/>
      <c r="T31" s="3"/>
      <c r="U31" s="9"/>
      <c r="V31" s="9"/>
      <c r="W31" s="3"/>
      <c r="X31" s="9"/>
      <c r="Y31" s="3"/>
      <c r="Z31" s="3"/>
      <c r="AA31" s="9"/>
      <c r="AB31" s="3"/>
      <c r="AC31" s="3"/>
      <c r="AD31" s="3"/>
      <c r="AE31" s="3"/>
      <c r="AF31" s="9"/>
      <c r="AG31" s="4"/>
      <c r="AH31" s="9"/>
      <c r="AI31" s="3"/>
      <c r="AJ31" s="9"/>
      <c r="AK31" s="9"/>
      <c r="AL31" s="9"/>
      <c r="AM31" s="9"/>
      <c r="AN31" s="9"/>
      <c r="AO31" s="3"/>
      <c r="AP31" s="3"/>
      <c r="AQ31" s="9"/>
      <c r="AR31" s="3"/>
      <c r="AS31" s="9"/>
      <c r="AT31" s="9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9"/>
      <c r="BI31" s="9"/>
      <c r="BJ31" s="9"/>
      <c r="BK31" s="11"/>
      <c r="BL31" s="11"/>
      <c r="BM31" s="9"/>
      <c r="BN31" s="9"/>
      <c r="BO31" s="3"/>
    </row>
    <row r="32" spans="1:67">
      <c r="A32" s="3"/>
      <c r="B32" s="3"/>
      <c r="C32" s="4"/>
      <c r="D32" s="7"/>
      <c r="E32" s="4"/>
      <c r="F32" s="9"/>
      <c r="G32" s="4"/>
      <c r="H32" s="4"/>
      <c r="I32" s="3"/>
      <c r="J32" s="3"/>
      <c r="K32" s="9"/>
      <c r="L32" s="3"/>
      <c r="M32" s="3"/>
      <c r="N32" s="3"/>
      <c r="O32" s="3"/>
      <c r="P32" s="3"/>
      <c r="Q32" s="3"/>
      <c r="R32" s="3"/>
      <c r="S32" s="3"/>
      <c r="T32" s="3"/>
      <c r="U32" s="9"/>
      <c r="V32" s="9"/>
      <c r="W32" s="3"/>
      <c r="X32" s="9"/>
      <c r="Y32" s="3"/>
      <c r="Z32" s="3"/>
      <c r="AA32" s="9"/>
      <c r="AB32" s="3"/>
      <c r="AC32" s="3"/>
      <c r="AD32" s="3"/>
      <c r="AE32" s="3"/>
      <c r="AF32" s="9"/>
      <c r="AG32" s="4"/>
      <c r="AH32" s="9"/>
      <c r="AI32" s="3"/>
      <c r="AJ32" s="9"/>
      <c r="AK32" s="9"/>
      <c r="AL32" s="9"/>
      <c r="AM32" s="9"/>
      <c r="AN32" s="9"/>
      <c r="AO32" s="3"/>
      <c r="AP32" s="3"/>
      <c r="AQ32" s="9"/>
      <c r="AR32" s="3"/>
      <c r="AS32" s="9"/>
      <c r="AT32" s="9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9"/>
      <c r="BI32" s="9"/>
      <c r="BJ32" s="9"/>
      <c r="BK32" s="11"/>
      <c r="BL32" s="11"/>
      <c r="BM32" s="9"/>
      <c r="BN32" s="9"/>
      <c r="BO32" s="3"/>
    </row>
    <row r="33" spans="1:67">
      <c r="A33" s="3"/>
      <c r="B33" s="3"/>
      <c r="C33" s="4"/>
      <c r="D33" s="7"/>
      <c r="E33" s="4"/>
      <c r="F33" s="9"/>
      <c r="G33" s="4"/>
      <c r="H33" s="4"/>
      <c r="I33" s="3"/>
      <c r="J33" s="3"/>
      <c r="K33" s="9"/>
      <c r="L33" s="3"/>
      <c r="M33" s="3"/>
      <c r="N33" s="3"/>
      <c r="O33" s="3"/>
      <c r="P33" s="3"/>
      <c r="Q33" s="3"/>
      <c r="R33" s="3"/>
      <c r="S33" s="3"/>
      <c r="T33" s="3"/>
      <c r="U33" s="9"/>
      <c r="V33" s="9"/>
      <c r="W33" s="3"/>
      <c r="X33" s="9"/>
      <c r="Y33" s="3"/>
      <c r="Z33" s="3"/>
      <c r="AA33" s="9"/>
      <c r="AB33" s="3"/>
      <c r="AC33" s="3"/>
      <c r="AD33" s="3"/>
      <c r="AE33" s="3"/>
      <c r="AF33" s="9"/>
      <c r="AG33" s="4"/>
      <c r="AH33" s="9"/>
      <c r="AI33" s="3"/>
      <c r="AJ33" s="9"/>
      <c r="AK33" s="9"/>
      <c r="AL33" s="9"/>
      <c r="AM33" s="9"/>
      <c r="AN33" s="9"/>
      <c r="AO33" s="3"/>
      <c r="AP33" s="3"/>
      <c r="AQ33" s="9"/>
      <c r="AR33" s="3"/>
      <c r="AS33" s="9"/>
      <c r="AT33" s="9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9"/>
      <c r="BI33" s="9"/>
      <c r="BJ33" s="9"/>
      <c r="BK33" s="11"/>
      <c r="BL33" s="11"/>
      <c r="BM33" s="9"/>
      <c r="BN33" s="9"/>
      <c r="BO33" s="3"/>
    </row>
    <row r="34" spans="1:67">
      <c r="A34" s="3"/>
      <c r="B34" s="3"/>
      <c r="C34" s="4"/>
      <c r="D34" s="7"/>
      <c r="E34" s="4"/>
      <c r="F34" s="9"/>
      <c r="G34" s="4"/>
      <c r="H34" s="4"/>
      <c r="I34" s="3"/>
      <c r="J34" s="3"/>
      <c r="K34" s="9"/>
      <c r="L34" s="3"/>
      <c r="M34" s="3"/>
      <c r="N34" s="3"/>
      <c r="O34" s="3"/>
      <c r="P34" s="3"/>
      <c r="Q34" s="3"/>
      <c r="R34" s="3"/>
      <c r="S34" s="3"/>
      <c r="T34" s="3"/>
      <c r="U34" s="9"/>
      <c r="V34" s="9"/>
      <c r="W34" s="3"/>
      <c r="X34" s="9"/>
      <c r="Y34" s="3"/>
      <c r="Z34" s="3"/>
      <c r="AA34" s="9"/>
      <c r="AB34" s="3"/>
      <c r="AC34" s="3"/>
      <c r="AD34" s="3"/>
      <c r="AE34" s="3"/>
      <c r="AF34" s="9"/>
      <c r="AG34" s="4"/>
      <c r="AH34" s="9"/>
      <c r="AI34" s="3"/>
      <c r="AJ34" s="9"/>
      <c r="AK34" s="9"/>
      <c r="AL34" s="9"/>
      <c r="AM34" s="9"/>
      <c r="AN34" s="9"/>
      <c r="AO34" s="3"/>
      <c r="AP34" s="3"/>
      <c r="AQ34" s="9"/>
      <c r="AR34" s="3"/>
      <c r="AS34" s="9"/>
      <c r="AT34" s="9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9"/>
      <c r="BI34" s="9"/>
      <c r="BJ34" s="9"/>
      <c r="BK34" s="11"/>
      <c r="BL34" s="11"/>
      <c r="BM34" s="9"/>
      <c r="BN34" s="9"/>
      <c r="BO34" s="3"/>
    </row>
    <row r="35" spans="1:67">
      <c r="A35" s="3"/>
      <c r="B35" s="3"/>
      <c r="C35" s="4"/>
      <c r="D35" s="7"/>
      <c r="E35" s="4"/>
      <c r="F35" s="9"/>
      <c r="G35" s="4"/>
      <c r="H35" s="4"/>
      <c r="I35" s="3"/>
      <c r="J35" s="3"/>
      <c r="K35" s="9"/>
      <c r="L35" s="3"/>
      <c r="M35" s="3"/>
      <c r="N35" s="3"/>
      <c r="O35" s="3"/>
      <c r="P35" s="3"/>
      <c r="Q35" s="3"/>
      <c r="R35" s="3"/>
      <c r="S35" s="3"/>
      <c r="T35" s="3"/>
      <c r="U35" s="9"/>
      <c r="V35" s="9"/>
      <c r="W35" s="3"/>
      <c r="X35" s="9"/>
      <c r="Y35" s="3"/>
      <c r="Z35" s="3"/>
      <c r="AA35" s="9"/>
      <c r="AB35" s="3"/>
      <c r="AC35" s="3"/>
      <c r="AD35" s="3"/>
      <c r="AE35" s="3"/>
      <c r="AF35" s="9"/>
      <c r="AG35" s="4"/>
      <c r="AH35" s="9"/>
      <c r="AI35" s="3"/>
      <c r="AJ35" s="9"/>
      <c r="AK35" s="9"/>
      <c r="AL35" s="9"/>
      <c r="AM35" s="9"/>
      <c r="AN35" s="9"/>
      <c r="AO35" s="3"/>
      <c r="AP35" s="3"/>
      <c r="AQ35" s="9"/>
      <c r="AR35" s="3"/>
      <c r="AS35" s="9"/>
      <c r="AT35" s="9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9"/>
      <c r="BI35" s="9"/>
      <c r="BJ35" s="9"/>
      <c r="BK35" s="11"/>
      <c r="BL35" s="11"/>
      <c r="BM35" s="9"/>
      <c r="BN35" s="9"/>
      <c r="BO35" s="3"/>
    </row>
    <row r="36" spans="1:67">
      <c r="A36" s="3"/>
      <c r="B36" s="3"/>
      <c r="C36" s="4"/>
      <c r="D36" s="7"/>
      <c r="E36" s="4"/>
      <c r="F36" s="9"/>
      <c r="G36" s="4"/>
      <c r="H36" s="4"/>
      <c r="I36" s="3"/>
      <c r="J36" s="3"/>
      <c r="K36" s="9"/>
      <c r="L36" s="3"/>
      <c r="M36" s="3"/>
      <c r="N36" s="3"/>
      <c r="O36" s="3"/>
      <c r="P36" s="3"/>
      <c r="Q36" s="3"/>
      <c r="R36" s="3"/>
      <c r="S36" s="3"/>
      <c r="T36" s="3"/>
      <c r="U36" s="9"/>
      <c r="V36" s="9"/>
      <c r="W36" s="3"/>
      <c r="X36" s="9"/>
      <c r="Y36" s="3"/>
      <c r="Z36" s="3"/>
      <c r="AA36" s="9"/>
      <c r="AB36" s="3"/>
      <c r="AC36" s="3"/>
      <c r="AD36" s="3"/>
      <c r="AE36" s="3"/>
      <c r="AF36" s="9"/>
      <c r="AG36" s="4"/>
      <c r="AH36" s="9"/>
      <c r="AI36" s="3"/>
      <c r="AJ36" s="9"/>
      <c r="AK36" s="9"/>
      <c r="AL36" s="9"/>
      <c r="AM36" s="9"/>
      <c r="AN36" s="9"/>
      <c r="AO36" s="3"/>
      <c r="AP36" s="3"/>
      <c r="AQ36" s="9"/>
      <c r="AR36" s="3"/>
      <c r="AS36" s="9"/>
      <c r="AT36" s="9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9"/>
      <c r="BI36" s="9"/>
      <c r="BJ36" s="9"/>
      <c r="BK36" s="11"/>
      <c r="BL36" s="11"/>
      <c r="BM36" s="9"/>
      <c r="BN36" s="9"/>
      <c r="BO36" s="3"/>
    </row>
    <row r="37" spans="1:67">
      <c r="A37" s="3"/>
      <c r="B37" s="3"/>
      <c r="C37" s="4"/>
      <c r="D37" s="7"/>
      <c r="E37" s="4"/>
      <c r="F37" s="9"/>
      <c r="G37" s="4"/>
      <c r="H37" s="4"/>
      <c r="I37" s="3"/>
      <c r="J37" s="3"/>
      <c r="K37" s="9"/>
      <c r="L37" s="3"/>
      <c r="M37" s="3"/>
      <c r="N37" s="3"/>
      <c r="O37" s="3"/>
      <c r="P37" s="3"/>
      <c r="Q37" s="3"/>
      <c r="R37" s="3"/>
      <c r="S37" s="3"/>
      <c r="T37" s="3"/>
      <c r="U37" s="9"/>
      <c r="V37" s="9"/>
      <c r="W37" s="3"/>
      <c r="X37" s="9"/>
      <c r="Y37" s="3"/>
      <c r="Z37" s="3"/>
      <c r="AA37" s="9"/>
      <c r="AB37" s="3"/>
      <c r="AC37" s="3"/>
      <c r="AD37" s="3"/>
      <c r="AE37" s="3"/>
      <c r="AF37" s="9"/>
      <c r="AG37" s="4"/>
      <c r="AH37" s="9"/>
      <c r="AI37" s="3"/>
      <c r="AJ37" s="9"/>
      <c r="AK37" s="9"/>
      <c r="AL37" s="9"/>
      <c r="AM37" s="9"/>
      <c r="AN37" s="9"/>
      <c r="AO37" s="3"/>
      <c r="AP37" s="3"/>
      <c r="AQ37" s="9"/>
      <c r="AR37" s="3"/>
      <c r="AS37" s="9"/>
      <c r="AT37" s="9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9"/>
      <c r="BI37" s="9"/>
      <c r="BJ37" s="9"/>
      <c r="BK37" s="11"/>
      <c r="BL37" s="11"/>
      <c r="BM37" s="9"/>
      <c r="BN37" s="9"/>
      <c r="BO37" s="3"/>
    </row>
    <row r="38" spans="1:67">
      <c r="A38" s="3"/>
      <c r="B38" s="3"/>
      <c r="C38" s="4"/>
      <c r="D38" s="7"/>
      <c r="E38" s="4"/>
      <c r="F38" s="9"/>
      <c r="G38" s="4"/>
      <c r="H38" s="4"/>
      <c r="I38" s="3"/>
      <c r="J38" s="3"/>
      <c r="K38" s="9"/>
      <c r="L38" s="3"/>
      <c r="M38" s="3"/>
      <c r="N38" s="3"/>
      <c r="O38" s="3"/>
      <c r="P38" s="3"/>
      <c r="Q38" s="3"/>
      <c r="R38" s="3"/>
      <c r="S38" s="3"/>
      <c r="T38" s="3"/>
      <c r="U38" s="9"/>
      <c r="V38" s="9"/>
      <c r="W38" s="3"/>
      <c r="X38" s="9"/>
      <c r="Y38" s="3"/>
      <c r="Z38" s="3"/>
      <c r="AA38" s="9"/>
      <c r="AB38" s="3"/>
      <c r="AC38" s="3"/>
      <c r="AD38" s="3"/>
      <c r="AE38" s="3"/>
      <c r="AF38" s="9"/>
      <c r="AG38" s="4"/>
      <c r="AH38" s="9"/>
      <c r="AI38" s="3"/>
      <c r="AJ38" s="9"/>
      <c r="AK38" s="9"/>
      <c r="AL38" s="9"/>
      <c r="AM38" s="9"/>
      <c r="AN38" s="9"/>
      <c r="AO38" s="3"/>
      <c r="AP38" s="3"/>
      <c r="AQ38" s="9"/>
      <c r="AR38" s="3"/>
      <c r="AS38" s="9"/>
      <c r="AT38" s="9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9"/>
      <c r="BI38" s="9"/>
      <c r="BJ38" s="9"/>
      <c r="BK38" s="11"/>
      <c r="BL38" s="11"/>
      <c r="BM38" s="9"/>
      <c r="BN38" s="9"/>
      <c r="BO38" s="3"/>
    </row>
    <row r="39" spans="1:67">
      <c r="A39" s="3"/>
      <c r="B39" s="3"/>
      <c r="C39" s="4"/>
      <c r="D39" s="7"/>
      <c r="E39" s="4"/>
      <c r="F39" s="9"/>
      <c r="G39" s="4"/>
      <c r="H39" s="4"/>
      <c r="I39" s="3"/>
      <c r="J39" s="3"/>
      <c r="K39" s="9"/>
      <c r="L39" s="3"/>
      <c r="M39" s="3"/>
      <c r="N39" s="3"/>
      <c r="O39" s="3"/>
      <c r="P39" s="3"/>
      <c r="Q39" s="3"/>
      <c r="R39" s="3"/>
      <c r="S39" s="3"/>
      <c r="T39" s="3"/>
      <c r="U39" s="9"/>
      <c r="V39" s="9"/>
      <c r="W39" s="3"/>
      <c r="X39" s="9"/>
      <c r="Y39" s="3"/>
      <c r="Z39" s="3"/>
      <c r="AA39" s="9"/>
      <c r="AB39" s="3"/>
      <c r="AC39" s="3"/>
      <c r="AD39" s="3"/>
      <c r="AE39" s="3"/>
      <c r="AF39" s="9"/>
      <c r="AG39" s="4"/>
      <c r="AH39" s="9"/>
      <c r="AI39" s="3"/>
      <c r="AJ39" s="9"/>
      <c r="AK39" s="9"/>
      <c r="AL39" s="9"/>
      <c r="AM39" s="9"/>
      <c r="AN39" s="9"/>
      <c r="AO39" s="3"/>
      <c r="AP39" s="3"/>
      <c r="AQ39" s="9"/>
      <c r="AR39" s="3"/>
      <c r="AS39" s="9"/>
      <c r="AT39" s="9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9"/>
      <c r="BI39" s="9"/>
      <c r="BJ39" s="9"/>
      <c r="BK39" s="11"/>
      <c r="BL39" s="11"/>
      <c r="BM39" s="9"/>
      <c r="BN39" s="9"/>
      <c r="BO39" s="3"/>
    </row>
    <row r="40" spans="1:67">
      <c r="A40" s="3"/>
      <c r="B40" s="3"/>
      <c r="C40" s="4"/>
      <c r="D40" s="7"/>
      <c r="E40" s="4"/>
      <c r="F40" s="9"/>
      <c r="G40" s="4"/>
      <c r="H40" s="4"/>
      <c r="I40" s="3"/>
      <c r="J40" s="3"/>
      <c r="K40" s="9"/>
      <c r="L40" s="3"/>
      <c r="M40" s="3"/>
      <c r="N40" s="3"/>
      <c r="O40" s="3"/>
      <c r="P40" s="3"/>
      <c r="Q40" s="3"/>
      <c r="R40" s="3"/>
      <c r="S40" s="3"/>
      <c r="T40" s="3"/>
      <c r="U40" s="9"/>
      <c r="V40" s="9"/>
      <c r="W40" s="3"/>
      <c r="X40" s="9"/>
      <c r="Y40" s="3"/>
      <c r="Z40" s="3"/>
      <c r="AA40" s="9"/>
      <c r="AB40" s="3"/>
      <c r="AC40" s="3"/>
      <c r="AD40" s="3"/>
      <c r="AE40" s="3"/>
      <c r="AF40" s="9"/>
      <c r="AG40" s="4"/>
      <c r="AH40" s="9"/>
      <c r="AI40" s="3"/>
      <c r="AJ40" s="9"/>
      <c r="AK40" s="9"/>
      <c r="AL40" s="9"/>
      <c r="AM40" s="9"/>
      <c r="AN40" s="9"/>
      <c r="AO40" s="3"/>
      <c r="AP40" s="3"/>
      <c r="AQ40" s="9"/>
      <c r="AR40" s="3"/>
      <c r="AS40" s="9"/>
      <c r="AT40" s="9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9"/>
      <c r="BI40" s="9"/>
      <c r="BJ40" s="9"/>
      <c r="BK40" s="11"/>
      <c r="BL40" s="11"/>
      <c r="BM40" s="9"/>
      <c r="BN40" s="9"/>
      <c r="BO40" s="3"/>
    </row>
    <row r="41" spans="1:67">
      <c r="A41" s="3"/>
      <c r="B41" s="3"/>
      <c r="C41" s="4"/>
      <c r="D41" s="7"/>
      <c r="E41" s="4"/>
      <c r="F41" s="9"/>
      <c r="G41" s="4"/>
      <c r="H41" s="4"/>
      <c r="I41" s="3"/>
      <c r="J41" s="3"/>
      <c r="K41" s="9"/>
      <c r="L41" s="3"/>
      <c r="M41" s="3"/>
      <c r="N41" s="3"/>
      <c r="O41" s="3"/>
      <c r="P41" s="3"/>
      <c r="Q41" s="3"/>
      <c r="R41" s="3"/>
      <c r="S41" s="3"/>
      <c r="T41" s="3"/>
      <c r="U41" s="9"/>
      <c r="V41" s="9"/>
      <c r="W41" s="3"/>
      <c r="X41" s="9"/>
      <c r="Y41" s="3"/>
      <c r="Z41" s="3"/>
      <c r="AA41" s="9"/>
      <c r="AB41" s="3"/>
      <c r="AC41" s="3"/>
      <c r="AD41" s="3"/>
      <c r="AE41" s="3"/>
      <c r="AF41" s="9"/>
      <c r="AG41" s="4"/>
      <c r="AH41" s="9"/>
      <c r="AI41" s="3"/>
      <c r="AJ41" s="9"/>
      <c r="AK41" s="9"/>
      <c r="AL41" s="9"/>
      <c r="AM41" s="9"/>
      <c r="AN41" s="9"/>
      <c r="AO41" s="3"/>
      <c r="AP41" s="3"/>
      <c r="AQ41" s="9"/>
      <c r="AR41" s="3"/>
      <c r="AS41" s="9"/>
      <c r="AT41" s="9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9"/>
      <c r="BI41" s="9"/>
      <c r="BJ41" s="9"/>
      <c r="BK41" s="11"/>
      <c r="BL41" s="11"/>
      <c r="BM41" s="9"/>
      <c r="BN41" s="9"/>
      <c r="BO41" s="3"/>
    </row>
    <row r="42" spans="1:67">
      <c r="A42" s="3"/>
      <c r="B42" s="3"/>
      <c r="C42" s="4"/>
      <c r="D42" s="7"/>
      <c r="E42" s="4"/>
      <c r="F42" s="9"/>
      <c r="G42" s="4"/>
      <c r="H42" s="4"/>
      <c r="I42" s="3"/>
      <c r="J42" s="3"/>
      <c r="K42" s="9"/>
      <c r="L42" s="3"/>
      <c r="M42" s="3"/>
      <c r="N42" s="3"/>
      <c r="O42" s="3"/>
      <c r="P42" s="3"/>
      <c r="Q42" s="3"/>
      <c r="R42" s="3"/>
      <c r="S42" s="3"/>
      <c r="T42" s="3"/>
      <c r="U42" s="9"/>
      <c r="V42" s="9"/>
      <c r="W42" s="3"/>
      <c r="X42" s="9"/>
      <c r="Y42" s="3"/>
      <c r="Z42" s="3"/>
      <c r="AA42" s="9"/>
      <c r="AB42" s="3"/>
      <c r="AC42" s="3"/>
      <c r="AD42" s="3"/>
      <c r="AE42" s="3"/>
      <c r="AF42" s="9"/>
      <c r="AG42" s="4"/>
      <c r="AH42" s="9"/>
      <c r="AI42" s="3"/>
      <c r="AJ42" s="9"/>
      <c r="AK42" s="9"/>
      <c r="AL42" s="9"/>
      <c r="AM42" s="9"/>
      <c r="AN42" s="9"/>
      <c r="AO42" s="3"/>
      <c r="AP42" s="3"/>
      <c r="AQ42" s="9"/>
      <c r="AR42" s="3"/>
      <c r="AS42" s="9"/>
      <c r="AT42" s="9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9"/>
      <c r="BI42" s="9"/>
      <c r="BJ42" s="9"/>
      <c r="BK42" s="11"/>
      <c r="BL42" s="11"/>
      <c r="BM42" s="9"/>
      <c r="BN42" s="9"/>
      <c r="BO42" s="3"/>
    </row>
    <row r="43" spans="1:67">
      <c r="A43" s="3"/>
      <c r="B43" s="3"/>
      <c r="C43" s="4"/>
      <c r="D43" s="7"/>
      <c r="E43" s="4"/>
      <c r="F43" s="9"/>
      <c r="G43" s="4"/>
      <c r="H43" s="4"/>
      <c r="I43" s="3"/>
      <c r="J43" s="3"/>
      <c r="K43" s="9"/>
      <c r="L43" s="3"/>
      <c r="M43" s="3"/>
      <c r="N43" s="3"/>
      <c r="O43" s="3"/>
      <c r="P43" s="3"/>
      <c r="Q43" s="3"/>
      <c r="R43" s="3"/>
      <c r="S43" s="3"/>
      <c r="T43" s="3"/>
      <c r="U43" s="9"/>
      <c r="V43" s="9"/>
      <c r="W43" s="3"/>
      <c r="X43" s="9"/>
      <c r="Y43" s="3"/>
      <c r="Z43" s="3"/>
      <c r="AA43" s="9"/>
      <c r="AB43" s="3"/>
      <c r="AC43" s="3"/>
      <c r="AD43" s="3"/>
      <c r="AE43" s="3"/>
      <c r="AF43" s="9"/>
      <c r="AG43" s="4"/>
      <c r="AH43" s="9"/>
      <c r="AI43" s="3"/>
      <c r="AJ43" s="9"/>
      <c r="AK43" s="9"/>
      <c r="AL43" s="9"/>
      <c r="AM43" s="9"/>
      <c r="AN43" s="9"/>
      <c r="AO43" s="3"/>
      <c r="AP43" s="3"/>
      <c r="AQ43" s="9"/>
      <c r="AR43" s="3"/>
      <c r="AS43" s="9"/>
      <c r="AT43" s="9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9"/>
      <c r="BI43" s="9"/>
      <c r="BJ43" s="9"/>
      <c r="BK43" s="11"/>
      <c r="BL43" s="11"/>
      <c r="BM43" s="9"/>
      <c r="BN43" s="9"/>
      <c r="BO43" s="3"/>
    </row>
    <row r="44" spans="1:67">
      <c r="A44" s="3"/>
      <c r="B44" s="3"/>
      <c r="C44" s="4"/>
      <c r="D44" s="7"/>
      <c r="E44" s="4"/>
      <c r="F44" s="9"/>
      <c r="G44" s="4"/>
      <c r="H44" s="4"/>
      <c r="I44" s="3"/>
      <c r="J44" s="3"/>
      <c r="K44" s="9"/>
      <c r="L44" s="3"/>
      <c r="M44" s="3"/>
      <c r="N44" s="3"/>
      <c r="O44" s="3"/>
      <c r="P44" s="3"/>
      <c r="Q44" s="3"/>
      <c r="R44" s="3"/>
      <c r="S44" s="3"/>
      <c r="T44" s="3"/>
      <c r="U44" s="9"/>
      <c r="V44" s="9"/>
      <c r="W44" s="3"/>
      <c r="X44" s="9"/>
      <c r="Y44" s="3"/>
      <c r="Z44" s="3"/>
      <c r="AA44" s="9"/>
      <c r="AB44" s="3"/>
      <c r="AC44" s="3"/>
      <c r="AD44" s="3"/>
      <c r="AE44" s="3"/>
      <c r="AF44" s="9"/>
      <c r="AG44" s="4"/>
      <c r="AH44" s="9"/>
      <c r="AI44" s="3"/>
      <c r="AJ44" s="9"/>
      <c r="AK44" s="9"/>
      <c r="AL44" s="9"/>
      <c r="AM44" s="9"/>
      <c r="AN44" s="9"/>
      <c r="AO44" s="3"/>
      <c r="AP44" s="3"/>
      <c r="AQ44" s="9"/>
      <c r="AR44" s="3"/>
      <c r="AS44" s="9"/>
      <c r="AT44" s="9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9"/>
      <c r="BI44" s="9"/>
      <c r="BJ44" s="9"/>
      <c r="BK44" s="11"/>
      <c r="BL44" s="11"/>
      <c r="BM44" s="9"/>
      <c r="BN44" s="9"/>
      <c r="BO44" s="3"/>
    </row>
    <row r="45" spans="1:67">
      <c r="A45" s="3"/>
      <c r="B45" s="3"/>
      <c r="C45" s="4"/>
      <c r="D45" s="7"/>
      <c r="E45" s="4"/>
      <c r="F45" s="9"/>
      <c r="G45" s="4"/>
      <c r="H45" s="4"/>
      <c r="I45" s="3"/>
      <c r="J45" s="3"/>
      <c r="K45" s="9"/>
      <c r="L45" s="3"/>
      <c r="M45" s="3"/>
      <c r="N45" s="3"/>
      <c r="O45" s="3"/>
      <c r="P45" s="3"/>
      <c r="Q45" s="3"/>
      <c r="R45" s="3"/>
      <c r="S45" s="3"/>
      <c r="T45" s="3"/>
      <c r="U45" s="9"/>
      <c r="V45" s="9"/>
      <c r="W45" s="3"/>
      <c r="X45" s="9"/>
      <c r="Y45" s="3"/>
      <c r="Z45" s="3"/>
      <c r="AA45" s="9"/>
      <c r="AB45" s="3"/>
      <c r="AC45" s="3"/>
      <c r="AD45" s="3"/>
      <c r="AE45" s="3"/>
      <c r="AF45" s="9"/>
      <c r="AG45" s="4"/>
      <c r="AH45" s="9"/>
      <c r="AI45" s="3"/>
      <c r="AJ45" s="9"/>
      <c r="AK45" s="9"/>
      <c r="AL45" s="9"/>
      <c r="AM45" s="9"/>
      <c r="AN45" s="9"/>
      <c r="AO45" s="3"/>
      <c r="AP45" s="3"/>
      <c r="AQ45" s="9"/>
      <c r="AR45" s="3"/>
      <c r="AS45" s="9"/>
      <c r="AT45" s="9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9"/>
      <c r="BI45" s="9"/>
      <c r="BJ45" s="9"/>
      <c r="BK45" s="11"/>
      <c r="BL45" s="11"/>
      <c r="BM45" s="9"/>
      <c r="BN45" s="9"/>
      <c r="BO45" s="3"/>
    </row>
    <row r="46" spans="1:67">
      <c r="A46" s="3"/>
      <c r="B46" s="3"/>
      <c r="C46" s="4"/>
      <c r="D46" s="7"/>
      <c r="E46" s="4"/>
      <c r="F46" s="9"/>
      <c r="G46" s="4"/>
      <c r="H46" s="4"/>
      <c r="I46" s="3"/>
      <c r="J46" s="3"/>
      <c r="K46" s="9"/>
      <c r="L46" s="3"/>
      <c r="M46" s="3"/>
      <c r="N46" s="3"/>
      <c r="O46" s="3"/>
      <c r="P46" s="3"/>
      <c r="Q46" s="3"/>
      <c r="R46" s="3"/>
      <c r="S46" s="3"/>
      <c r="T46" s="3"/>
      <c r="U46" s="9"/>
      <c r="V46" s="9"/>
      <c r="W46" s="3"/>
      <c r="X46" s="9"/>
      <c r="Y46" s="3"/>
      <c r="Z46" s="3"/>
      <c r="AA46" s="9"/>
      <c r="AB46" s="3"/>
      <c r="AC46" s="3"/>
      <c r="AD46" s="3"/>
      <c r="AE46" s="3"/>
      <c r="AF46" s="9"/>
      <c r="AG46" s="4"/>
      <c r="AH46" s="9"/>
      <c r="AI46" s="3"/>
      <c r="AJ46" s="9"/>
      <c r="AK46" s="9"/>
      <c r="AL46" s="9"/>
      <c r="AM46" s="9"/>
      <c r="AN46" s="9"/>
      <c r="AO46" s="3"/>
      <c r="AP46" s="3"/>
      <c r="AQ46" s="9"/>
      <c r="AR46" s="3"/>
      <c r="AS46" s="9"/>
      <c r="AT46" s="9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9"/>
      <c r="BI46" s="9"/>
      <c r="BJ46" s="9"/>
      <c r="BK46" s="11"/>
      <c r="BL46" s="11"/>
      <c r="BM46" s="9"/>
      <c r="BN46" s="9"/>
      <c r="BO46" s="3"/>
    </row>
    <row r="47" spans="1:67">
      <c r="A47" s="3"/>
      <c r="B47" s="3"/>
      <c r="C47" s="4"/>
      <c r="D47" s="7"/>
      <c r="E47" s="4"/>
      <c r="F47" s="9"/>
      <c r="G47" s="4"/>
      <c r="H47" s="4"/>
      <c r="I47" s="3"/>
      <c r="J47" s="3"/>
      <c r="K47" s="9"/>
      <c r="L47" s="3"/>
      <c r="M47" s="3"/>
      <c r="N47" s="3"/>
      <c r="O47" s="3"/>
      <c r="P47" s="3"/>
      <c r="Q47" s="3"/>
      <c r="R47" s="3"/>
      <c r="S47" s="3"/>
      <c r="T47" s="3"/>
      <c r="U47" s="9"/>
      <c r="V47" s="9"/>
      <c r="W47" s="3"/>
      <c r="X47" s="9"/>
      <c r="Y47" s="3"/>
      <c r="Z47" s="3"/>
      <c r="AA47" s="9"/>
      <c r="AB47" s="3"/>
      <c r="AC47" s="3"/>
      <c r="AD47" s="3"/>
      <c r="AE47" s="3"/>
      <c r="AF47" s="9"/>
      <c r="AG47" s="4"/>
      <c r="AH47" s="9"/>
      <c r="AI47" s="3"/>
      <c r="AJ47" s="9"/>
      <c r="AK47" s="9"/>
      <c r="AL47" s="9"/>
      <c r="AM47" s="9"/>
      <c r="AN47" s="9"/>
      <c r="AO47" s="3"/>
      <c r="AP47" s="3"/>
      <c r="AQ47" s="9"/>
      <c r="AR47" s="3"/>
      <c r="AS47" s="9"/>
      <c r="AT47" s="9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9"/>
      <c r="BI47" s="9"/>
      <c r="BJ47" s="9"/>
      <c r="BK47" s="11"/>
      <c r="BL47" s="11"/>
      <c r="BM47" s="9"/>
      <c r="BN47" s="9"/>
      <c r="BO47" s="3"/>
    </row>
    <row r="48" spans="1:67">
      <c r="A48" s="3"/>
      <c r="B48" s="3"/>
      <c r="C48" s="4"/>
      <c r="D48" s="7"/>
      <c r="E48" s="4"/>
      <c r="F48" s="9"/>
      <c r="G48" s="4"/>
      <c r="H48" s="4"/>
      <c r="I48" s="3"/>
      <c r="J48" s="3"/>
      <c r="K48" s="9"/>
      <c r="L48" s="3"/>
      <c r="M48" s="3"/>
      <c r="N48" s="3"/>
      <c r="O48" s="3"/>
      <c r="P48" s="3"/>
      <c r="Q48" s="3"/>
      <c r="R48" s="3"/>
      <c r="S48" s="3"/>
      <c r="T48" s="3"/>
      <c r="U48" s="9"/>
      <c r="V48" s="9"/>
      <c r="W48" s="3"/>
      <c r="X48" s="9"/>
      <c r="Y48" s="3"/>
      <c r="Z48" s="3"/>
      <c r="AA48" s="9"/>
      <c r="AB48" s="3"/>
      <c r="AC48" s="3"/>
      <c r="AD48" s="3"/>
      <c r="AE48" s="3"/>
      <c r="AF48" s="9"/>
      <c r="AG48" s="4"/>
      <c r="AH48" s="9"/>
      <c r="AI48" s="3"/>
      <c r="AJ48" s="9"/>
      <c r="AK48" s="9"/>
      <c r="AL48" s="9"/>
      <c r="AM48" s="9"/>
      <c r="AN48" s="9"/>
      <c r="AO48" s="3"/>
      <c r="AP48" s="3"/>
      <c r="AQ48" s="9"/>
      <c r="AR48" s="3"/>
      <c r="AS48" s="9"/>
      <c r="AT48" s="9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9"/>
      <c r="BI48" s="9"/>
      <c r="BJ48" s="9"/>
      <c r="BK48" s="11"/>
      <c r="BL48" s="11"/>
      <c r="BM48" s="9"/>
      <c r="BN48" s="9"/>
      <c r="BO48" s="3"/>
    </row>
    <row r="49" spans="1:67">
      <c r="A49" s="3"/>
      <c r="B49" s="3"/>
      <c r="C49" s="4"/>
      <c r="D49" s="7"/>
      <c r="E49" s="4"/>
      <c r="F49" s="9"/>
      <c r="G49" s="4"/>
      <c r="H49" s="4"/>
      <c r="I49" s="3"/>
      <c r="J49" s="3"/>
      <c r="K49" s="9"/>
      <c r="L49" s="3"/>
      <c r="M49" s="3"/>
      <c r="N49" s="3"/>
      <c r="O49" s="3"/>
      <c r="P49" s="3"/>
      <c r="Q49" s="3"/>
      <c r="R49" s="3"/>
      <c r="S49" s="3"/>
      <c r="T49" s="3"/>
      <c r="U49" s="9"/>
      <c r="V49" s="9"/>
      <c r="W49" s="3"/>
      <c r="X49" s="9"/>
      <c r="Y49" s="3"/>
      <c r="Z49" s="3"/>
      <c r="AA49" s="9"/>
      <c r="AB49" s="3"/>
      <c r="AC49" s="3"/>
      <c r="AD49" s="3"/>
      <c r="AE49" s="3"/>
      <c r="AF49" s="9"/>
      <c r="AG49" s="4"/>
      <c r="AH49" s="9"/>
      <c r="AI49" s="3"/>
      <c r="AJ49" s="9"/>
      <c r="AK49" s="9"/>
      <c r="AL49" s="9"/>
      <c r="AM49" s="9"/>
      <c r="AN49" s="9"/>
      <c r="AO49" s="3"/>
      <c r="AP49" s="3"/>
      <c r="AQ49" s="9"/>
      <c r="AR49" s="3"/>
      <c r="AS49" s="9"/>
      <c r="AT49" s="9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9"/>
      <c r="BI49" s="9"/>
      <c r="BJ49" s="9"/>
      <c r="BK49" s="11"/>
      <c r="BL49" s="11"/>
      <c r="BM49" s="9"/>
      <c r="BN49" s="9"/>
      <c r="BO49" s="3"/>
    </row>
    <row r="50" spans="1:67">
      <c r="A50" s="3"/>
      <c r="B50" s="3"/>
      <c r="C50" s="4"/>
      <c r="D50" s="7"/>
      <c r="E50" s="4"/>
      <c r="F50" s="9"/>
      <c r="G50" s="4"/>
      <c r="H50" s="4"/>
      <c r="I50" s="3"/>
      <c r="J50" s="3"/>
      <c r="K50" s="9"/>
      <c r="L50" s="3"/>
      <c r="M50" s="3"/>
      <c r="N50" s="3"/>
      <c r="O50" s="3"/>
      <c r="P50" s="3"/>
      <c r="Q50" s="3"/>
      <c r="R50" s="3"/>
      <c r="S50" s="3"/>
      <c r="T50" s="3"/>
      <c r="U50" s="9"/>
      <c r="V50" s="9"/>
      <c r="W50" s="3"/>
      <c r="X50" s="9"/>
      <c r="Y50" s="3"/>
      <c r="Z50" s="3"/>
      <c r="AA50" s="9"/>
      <c r="AB50" s="3"/>
      <c r="AC50" s="3"/>
      <c r="AD50" s="3"/>
      <c r="AE50" s="3"/>
      <c r="AF50" s="9"/>
      <c r="AG50" s="4"/>
      <c r="AH50" s="9"/>
      <c r="AI50" s="3"/>
      <c r="AJ50" s="9"/>
      <c r="AK50" s="9"/>
      <c r="AL50" s="9"/>
      <c r="AM50" s="9"/>
      <c r="AN50" s="9"/>
      <c r="AO50" s="3"/>
      <c r="AP50" s="3"/>
      <c r="AQ50" s="9"/>
      <c r="AR50" s="3"/>
      <c r="AS50" s="9"/>
      <c r="AT50" s="9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9"/>
      <c r="BI50" s="9"/>
      <c r="BJ50" s="9"/>
      <c r="BK50" s="11"/>
      <c r="BL50" s="11"/>
      <c r="BM50" s="9"/>
      <c r="BN50" s="9"/>
      <c r="BO50" s="3"/>
    </row>
    <row r="51" spans="1:67">
      <c r="A51" s="3"/>
      <c r="B51" s="3"/>
      <c r="C51" s="4"/>
      <c r="D51" s="7"/>
      <c r="E51" s="4"/>
      <c r="F51" s="9"/>
      <c r="G51" s="4"/>
      <c r="H51" s="4"/>
      <c r="I51" s="3"/>
      <c r="J51" s="3"/>
      <c r="K51" s="9"/>
      <c r="L51" s="3"/>
      <c r="M51" s="3"/>
      <c r="N51" s="3"/>
      <c r="O51" s="3"/>
      <c r="P51" s="3"/>
      <c r="Q51" s="3"/>
      <c r="R51" s="3"/>
      <c r="S51" s="3"/>
      <c r="T51" s="3"/>
      <c r="U51" s="9"/>
      <c r="V51" s="9"/>
      <c r="W51" s="3"/>
      <c r="X51" s="9"/>
      <c r="Y51" s="3"/>
      <c r="Z51" s="3"/>
      <c r="AA51" s="9"/>
      <c r="AB51" s="3"/>
      <c r="AC51" s="3"/>
      <c r="AD51" s="3"/>
      <c r="AE51" s="3"/>
      <c r="AF51" s="9"/>
      <c r="AG51" s="4"/>
      <c r="AH51" s="9"/>
      <c r="AI51" s="3"/>
      <c r="AJ51" s="9"/>
      <c r="AK51" s="9"/>
      <c r="AL51" s="9"/>
      <c r="AM51" s="9"/>
      <c r="AN51" s="9"/>
      <c r="AO51" s="3"/>
      <c r="AP51" s="3"/>
      <c r="AQ51" s="9"/>
      <c r="AR51" s="3"/>
      <c r="AS51" s="9"/>
      <c r="AT51" s="9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9"/>
      <c r="BI51" s="9"/>
      <c r="BJ51" s="9"/>
      <c r="BK51" s="11"/>
      <c r="BL51" s="11"/>
      <c r="BM51" s="9"/>
      <c r="BN51" s="9"/>
      <c r="BO51" s="3"/>
    </row>
    <row r="52" spans="1:67">
      <c r="A52" s="3"/>
      <c r="B52" s="3"/>
      <c r="C52" s="4"/>
      <c r="D52" s="7"/>
      <c r="E52" s="4"/>
      <c r="F52" s="9"/>
      <c r="G52" s="4"/>
      <c r="H52" s="4"/>
      <c r="I52" s="3"/>
      <c r="J52" s="3"/>
      <c r="K52" s="9"/>
      <c r="L52" s="3"/>
      <c r="M52" s="3"/>
      <c r="N52" s="3"/>
      <c r="O52" s="3"/>
      <c r="P52" s="3"/>
      <c r="Q52" s="3"/>
      <c r="R52" s="3"/>
      <c r="S52" s="3"/>
      <c r="T52" s="3"/>
      <c r="U52" s="9"/>
      <c r="V52" s="9"/>
      <c r="W52" s="3"/>
      <c r="X52" s="9"/>
      <c r="Y52" s="3"/>
      <c r="Z52" s="3"/>
      <c r="AA52" s="9"/>
      <c r="AB52" s="3"/>
      <c r="AC52" s="3"/>
      <c r="AD52" s="3"/>
      <c r="AE52" s="3"/>
      <c r="AF52" s="9"/>
      <c r="AG52" s="4"/>
      <c r="AH52" s="9"/>
      <c r="AI52" s="3"/>
      <c r="AJ52" s="9"/>
      <c r="AK52" s="9"/>
      <c r="AL52" s="9"/>
      <c r="AM52" s="9"/>
      <c r="AN52" s="9"/>
      <c r="AO52" s="3"/>
      <c r="AP52" s="3"/>
      <c r="AQ52" s="9"/>
      <c r="AR52" s="3"/>
      <c r="AS52" s="9"/>
      <c r="AT52" s="9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9"/>
      <c r="BI52" s="9"/>
      <c r="BJ52" s="9"/>
      <c r="BK52" s="11"/>
      <c r="BL52" s="11"/>
      <c r="BM52" s="9"/>
      <c r="BN52" s="9"/>
      <c r="BO52" s="3"/>
    </row>
    <row r="53" spans="1:67">
      <c r="A53" s="3"/>
      <c r="B53" s="3"/>
      <c r="C53" s="4"/>
      <c r="D53" s="7"/>
      <c r="E53" s="4"/>
      <c r="F53" s="9"/>
      <c r="G53" s="4"/>
      <c r="H53" s="4"/>
      <c r="I53" s="3"/>
      <c r="J53" s="3"/>
      <c r="K53" s="9"/>
      <c r="L53" s="3"/>
      <c r="M53" s="3"/>
      <c r="N53" s="3"/>
      <c r="O53" s="3"/>
      <c r="P53" s="3"/>
      <c r="Q53" s="3"/>
      <c r="R53" s="3"/>
      <c r="S53" s="3"/>
      <c r="T53" s="3"/>
      <c r="U53" s="9"/>
      <c r="V53" s="9"/>
      <c r="W53" s="3"/>
      <c r="X53" s="9"/>
      <c r="Y53" s="3"/>
      <c r="Z53" s="3"/>
      <c r="AA53" s="9"/>
      <c r="AB53" s="3"/>
      <c r="AC53" s="3"/>
      <c r="AD53" s="3"/>
      <c r="AE53" s="3"/>
      <c r="AF53" s="9"/>
      <c r="AG53" s="4"/>
      <c r="AH53" s="9"/>
      <c r="AI53" s="3"/>
      <c r="AJ53" s="9"/>
      <c r="AK53" s="9"/>
      <c r="AL53" s="9"/>
      <c r="AM53" s="9"/>
      <c r="AN53" s="9"/>
      <c r="AO53" s="3"/>
      <c r="AP53" s="3"/>
      <c r="AQ53" s="9"/>
      <c r="AR53" s="3"/>
      <c r="AS53" s="9"/>
      <c r="AT53" s="9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9"/>
      <c r="BI53" s="9"/>
      <c r="BJ53" s="9"/>
      <c r="BK53" s="11"/>
      <c r="BL53" s="11"/>
      <c r="BM53" s="9"/>
      <c r="BN53" s="9"/>
      <c r="BO53" s="3"/>
    </row>
    <row r="54" spans="1:67">
      <c r="A54" s="3"/>
      <c r="B54" s="3"/>
      <c r="C54" s="4"/>
      <c r="D54" s="7"/>
      <c r="E54" s="4"/>
      <c r="F54" s="9"/>
      <c r="G54" s="4"/>
      <c r="H54" s="4"/>
      <c r="I54" s="3"/>
      <c r="J54" s="3"/>
      <c r="K54" s="9"/>
      <c r="L54" s="3"/>
      <c r="M54" s="3"/>
      <c r="N54" s="3"/>
      <c r="O54" s="3"/>
      <c r="P54" s="3"/>
      <c r="Q54" s="3"/>
      <c r="R54" s="3"/>
      <c r="S54" s="3"/>
      <c r="T54" s="3"/>
      <c r="U54" s="9"/>
      <c r="V54" s="9"/>
      <c r="W54" s="3"/>
      <c r="X54" s="9"/>
      <c r="Y54" s="3"/>
      <c r="Z54" s="3"/>
      <c r="AA54" s="9"/>
      <c r="AB54" s="3"/>
      <c r="AC54" s="3"/>
      <c r="AD54" s="3"/>
      <c r="AE54" s="3"/>
      <c r="AF54" s="9"/>
      <c r="AG54" s="4"/>
      <c r="AH54" s="9"/>
      <c r="AI54" s="3"/>
      <c r="AJ54" s="9"/>
      <c r="AK54" s="9"/>
      <c r="AL54" s="9"/>
      <c r="AM54" s="9"/>
      <c r="AN54" s="9"/>
      <c r="AO54" s="3"/>
      <c r="AP54" s="3"/>
      <c r="AQ54" s="9"/>
      <c r="AR54" s="3"/>
      <c r="AS54" s="9"/>
      <c r="AT54" s="9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9"/>
      <c r="BI54" s="9"/>
      <c r="BJ54" s="9"/>
      <c r="BK54" s="11"/>
      <c r="BL54" s="11"/>
      <c r="BM54" s="9"/>
      <c r="BN54" s="9"/>
      <c r="BO54" s="3"/>
    </row>
    <row r="55" spans="1:67">
      <c r="A55" s="3"/>
      <c r="B55" s="3"/>
      <c r="C55" s="4"/>
      <c r="D55" s="7"/>
      <c r="E55" s="4"/>
      <c r="F55" s="9"/>
      <c r="G55" s="4"/>
      <c r="H55" s="4"/>
      <c r="I55" s="3"/>
      <c r="J55" s="3"/>
      <c r="K55" s="9"/>
      <c r="L55" s="3"/>
      <c r="M55" s="3"/>
      <c r="N55" s="3"/>
      <c r="O55" s="3"/>
      <c r="P55" s="3"/>
      <c r="Q55" s="3"/>
      <c r="R55" s="3"/>
      <c r="S55" s="3"/>
      <c r="T55" s="3"/>
      <c r="U55" s="9"/>
      <c r="V55" s="9"/>
      <c r="W55" s="3"/>
      <c r="X55" s="9"/>
      <c r="Y55" s="3"/>
      <c r="Z55" s="3"/>
      <c r="AA55" s="9"/>
      <c r="AB55" s="3"/>
      <c r="AC55" s="3"/>
      <c r="AD55" s="3"/>
      <c r="AE55" s="3"/>
      <c r="AF55" s="9"/>
      <c r="AG55" s="4"/>
      <c r="AH55" s="9"/>
      <c r="AI55" s="3"/>
      <c r="AJ55" s="9"/>
      <c r="AK55" s="9"/>
      <c r="AL55" s="9"/>
      <c r="AM55" s="9"/>
      <c r="AN55" s="9"/>
      <c r="AO55" s="3"/>
      <c r="AP55" s="3"/>
      <c r="AQ55" s="9"/>
      <c r="AR55" s="3"/>
      <c r="AS55" s="9"/>
      <c r="AT55" s="9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9"/>
      <c r="BI55" s="9"/>
      <c r="BJ55" s="9"/>
      <c r="BK55" s="11"/>
      <c r="BL55" s="11"/>
      <c r="BM55" s="9"/>
      <c r="BN55" s="9"/>
      <c r="BO55" s="3"/>
    </row>
    <row r="56" spans="1:67">
      <c r="A56" s="3"/>
      <c r="B56" s="3"/>
      <c r="C56" s="4"/>
      <c r="D56" s="7"/>
      <c r="E56" s="4"/>
      <c r="F56" s="9"/>
      <c r="G56" s="4"/>
      <c r="H56" s="4"/>
      <c r="I56" s="3"/>
      <c r="J56" s="3"/>
      <c r="K56" s="9"/>
      <c r="L56" s="3"/>
      <c r="M56" s="3"/>
      <c r="N56" s="3"/>
      <c r="O56" s="3"/>
      <c r="P56" s="3"/>
      <c r="Q56" s="3"/>
      <c r="R56" s="3"/>
      <c r="S56" s="3"/>
      <c r="T56" s="3"/>
      <c r="U56" s="9"/>
      <c r="V56" s="9"/>
      <c r="W56" s="3"/>
      <c r="X56" s="9"/>
      <c r="Y56" s="3"/>
      <c r="Z56" s="3"/>
      <c r="AA56" s="9"/>
      <c r="AB56" s="3"/>
      <c r="AC56" s="3"/>
      <c r="AD56" s="3"/>
      <c r="AE56" s="3"/>
      <c r="AF56" s="9"/>
      <c r="AG56" s="4"/>
      <c r="AH56" s="9"/>
      <c r="AI56" s="3"/>
      <c r="AJ56" s="9"/>
      <c r="AK56" s="9"/>
      <c r="AL56" s="9"/>
      <c r="AM56" s="9"/>
      <c r="AN56" s="9"/>
      <c r="AO56" s="3"/>
      <c r="AP56" s="3"/>
      <c r="AQ56" s="9"/>
      <c r="AR56" s="3"/>
      <c r="AS56" s="9"/>
      <c r="AT56" s="9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9"/>
      <c r="BI56" s="9"/>
      <c r="BJ56" s="9"/>
      <c r="BK56" s="11"/>
      <c r="BL56" s="11"/>
      <c r="BM56" s="9"/>
      <c r="BN56" s="9"/>
      <c r="BO56" s="3"/>
    </row>
    <row r="57" spans="1:67">
      <c r="A57" s="3"/>
      <c r="B57" s="3"/>
      <c r="C57" s="4"/>
      <c r="D57" s="7"/>
      <c r="E57" s="4"/>
      <c r="F57" s="9"/>
      <c r="G57" s="4"/>
      <c r="H57" s="4"/>
      <c r="I57" s="3"/>
      <c r="J57" s="3"/>
      <c r="K57" s="9"/>
      <c r="L57" s="3"/>
      <c r="M57" s="3"/>
      <c r="N57" s="3"/>
      <c r="O57" s="3"/>
      <c r="P57" s="3"/>
      <c r="Q57" s="3"/>
      <c r="R57" s="3"/>
      <c r="S57" s="3"/>
      <c r="T57" s="3"/>
      <c r="U57" s="9"/>
      <c r="V57" s="9"/>
      <c r="W57" s="3"/>
      <c r="X57" s="9"/>
      <c r="Y57" s="3"/>
      <c r="Z57" s="3"/>
      <c r="AA57" s="9"/>
      <c r="AB57" s="3"/>
      <c r="AC57" s="3"/>
      <c r="AD57" s="3"/>
      <c r="AE57" s="3"/>
      <c r="AF57" s="9"/>
      <c r="AG57" s="4"/>
      <c r="AH57" s="9"/>
      <c r="AI57" s="3"/>
      <c r="AJ57" s="9"/>
      <c r="AK57" s="9"/>
      <c r="AL57" s="9"/>
      <c r="AM57" s="9"/>
      <c r="AN57" s="9"/>
      <c r="AO57" s="3"/>
      <c r="AP57" s="3"/>
      <c r="AQ57" s="9"/>
      <c r="AR57" s="3"/>
      <c r="AS57" s="9"/>
      <c r="AT57" s="9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9"/>
      <c r="BI57" s="9"/>
      <c r="BJ57" s="9"/>
      <c r="BK57" s="11"/>
      <c r="BL57" s="11"/>
      <c r="BM57" s="9"/>
      <c r="BN57" s="9"/>
      <c r="BO57" s="3"/>
    </row>
    <row r="58" spans="1:67">
      <c r="A58" s="3"/>
      <c r="B58" s="3"/>
      <c r="C58" s="4"/>
      <c r="D58" s="7"/>
      <c r="E58" s="4"/>
      <c r="F58" s="9"/>
      <c r="G58" s="4"/>
      <c r="H58" s="4"/>
      <c r="I58" s="3"/>
      <c r="J58" s="3"/>
      <c r="K58" s="9"/>
      <c r="L58" s="3"/>
      <c r="M58" s="3"/>
      <c r="N58" s="3"/>
      <c r="O58" s="3"/>
      <c r="P58" s="3"/>
      <c r="Q58" s="3"/>
      <c r="R58" s="3"/>
      <c r="S58" s="3"/>
      <c r="T58" s="3"/>
      <c r="U58" s="9"/>
      <c r="V58" s="9"/>
      <c r="W58" s="3"/>
      <c r="X58" s="9"/>
      <c r="Y58" s="3"/>
      <c r="Z58" s="3"/>
      <c r="AA58" s="9"/>
      <c r="AB58" s="3"/>
      <c r="AC58" s="3"/>
      <c r="AD58" s="3"/>
      <c r="AE58" s="3"/>
      <c r="AF58" s="9"/>
      <c r="AG58" s="4"/>
      <c r="AH58" s="9"/>
      <c r="AI58" s="3"/>
      <c r="AJ58" s="9"/>
      <c r="AK58" s="9"/>
      <c r="AL58" s="9"/>
      <c r="AM58" s="9"/>
      <c r="AN58" s="9"/>
      <c r="AO58" s="3"/>
      <c r="AP58" s="3"/>
      <c r="AQ58" s="9"/>
      <c r="AR58" s="3"/>
      <c r="AS58" s="9"/>
      <c r="AT58" s="9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9"/>
      <c r="BI58" s="9"/>
      <c r="BJ58" s="9"/>
      <c r="BK58" s="11"/>
      <c r="BL58" s="11"/>
      <c r="BM58" s="9"/>
      <c r="BN58" s="9"/>
      <c r="BO58" s="3"/>
    </row>
    <row r="59" spans="1:67">
      <c r="A59" s="3"/>
      <c r="B59" s="3"/>
      <c r="C59" s="4"/>
      <c r="D59" s="7"/>
      <c r="E59" s="4"/>
      <c r="F59" s="9"/>
      <c r="G59" s="4"/>
      <c r="H59" s="4"/>
      <c r="I59" s="3"/>
      <c r="J59" s="3"/>
      <c r="K59" s="9"/>
      <c r="L59" s="3"/>
      <c r="M59" s="3"/>
      <c r="N59" s="3"/>
      <c r="O59" s="3"/>
      <c r="P59" s="3"/>
      <c r="Q59" s="3"/>
      <c r="R59" s="3"/>
      <c r="S59" s="3"/>
      <c r="T59" s="3"/>
      <c r="U59" s="9"/>
      <c r="V59" s="9"/>
      <c r="W59" s="3"/>
      <c r="X59" s="9"/>
      <c r="Y59" s="3"/>
      <c r="Z59" s="3"/>
      <c r="AA59" s="9"/>
      <c r="AB59" s="3"/>
      <c r="AC59" s="3"/>
      <c r="AD59" s="3"/>
      <c r="AE59" s="3"/>
      <c r="AF59" s="9"/>
      <c r="AG59" s="4"/>
      <c r="AH59" s="9"/>
      <c r="AI59" s="3"/>
      <c r="AJ59" s="9"/>
      <c r="AK59" s="9"/>
      <c r="AL59" s="9"/>
      <c r="AM59" s="9"/>
      <c r="AN59" s="9"/>
      <c r="AO59" s="3"/>
      <c r="AP59" s="3"/>
      <c r="AQ59" s="9"/>
      <c r="AR59" s="3"/>
      <c r="AS59" s="9"/>
      <c r="AT59" s="9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9"/>
      <c r="BI59" s="9"/>
      <c r="BJ59" s="9"/>
      <c r="BK59" s="11"/>
      <c r="BL59" s="11"/>
      <c r="BM59" s="9"/>
      <c r="BN59" s="9"/>
      <c r="BO59" s="3"/>
    </row>
    <row r="60" spans="1:67">
      <c r="A60" s="3"/>
      <c r="B60" s="3"/>
      <c r="C60" s="4"/>
      <c r="D60" s="7"/>
      <c r="E60" s="4"/>
      <c r="F60" s="9"/>
      <c r="G60" s="4"/>
      <c r="H60" s="4"/>
      <c r="I60" s="3"/>
      <c r="J60" s="3"/>
      <c r="K60" s="9"/>
      <c r="L60" s="3"/>
      <c r="M60" s="3"/>
      <c r="N60" s="3"/>
      <c r="O60" s="3"/>
      <c r="P60" s="3"/>
      <c r="Q60" s="3"/>
      <c r="R60" s="3"/>
      <c r="S60" s="3"/>
      <c r="T60" s="3"/>
      <c r="U60" s="9"/>
      <c r="V60" s="9"/>
      <c r="W60" s="3"/>
      <c r="X60" s="9"/>
      <c r="Y60" s="3"/>
      <c r="Z60" s="3"/>
      <c r="AA60" s="9"/>
      <c r="AB60" s="3"/>
      <c r="AC60" s="3"/>
      <c r="AD60" s="3"/>
      <c r="AE60" s="3"/>
      <c r="AF60" s="9"/>
      <c r="AG60" s="4"/>
      <c r="AH60" s="9"/>
      <c r="AI60" s="3"/>
      <c r="AJ60" s="9"/>
      <c r="AK60" s="9"/>
      <c r="AL60" s="9"/>
      <c r="AM60" s="9"/>
      <c r="AN60" s="9"/>
      <c r="AO60" s="3"/>
      <c r="AP60" s="3"/>
      <c r="AQ60" s="9"/>
      <c r="AR60" s="3"/>
      <c r="AS60" s="9"/>
      <c r="AT60" s="9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9"/>
      <c r="BI60" s="9"/>
      <c r="BJ60" s="9"/>
      <c r="BK60" s="11"/>
      <c r="BL60" s="11"/>
      <c r="BM60" s="9"/>
      <c r="BN60" s="9"/>
      <c r="BO60" s="3"/>
    </row>
    <row r="61" spans="1:67">
      <c r="A61" s="3"/>
      <c r="B61" s="3"/>
      <c r="C61" s="4"/>
      <c r="D61" s="7"/>
      <c r="E61" s="4"/>
      <c r="F61" s="9"/>
      <c r="G61" s="4"/>
      <c r="H61" s="4"/>
      <c r="I61" s="3"/>
      <c r="J61" s="3"/>
      <c r="K61" s="9"/>
      <c r="L61" s="3"/>
      <c r="M61" s="3"/>
      <c r="N61" s="3"/>
      <c r="O61" s="3"/>
      <c r="P61" s="3"/>
      <c r="Q61" s="3"/>
      <c r="R61" s="3"/>
      <c r="S61" s="3"/>
      <c r="T61" s="3"/>
      <c r="U61" s="9"/>
      <c r="V61" s="9"/>
      <c r="W61" s="3"/>
      <c r="X61" s="9"/>
      <c r="Y61" s="3"/>
      <c r="Z61" s="3"/>
      <c r="AA61" s="9"/>
      <c r="AB61" s="3"/>
      <c r="AC61" s="3"/>
      <c r="AD61" s="3"/>
      <c r="AE61" s="3"/>
      <c r="AF61" s="9"/>
      <c r="AG61" s="4"/>
      <c r="AH61" s="9"/>
      <c r="AI61" s="3"/>
      <c r="AJ61" s="9"/>
      <c r="AK61" s="9"/>
      <c r="AL61" s="9"/>
      <c r="AM61" s="9"/>
      <c r="AN61" s="9"/>
      <c r="AO61" s="3"/>
      <c r="AP61" s="3"/>
      <c r="AQ61" s="9"/>
      <c r="AR61" s="3"/>
      <c r="AS61" s="9"/>
      <c r="AT61" s="9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9"/>
      <c r="BI61" s="9"/>
      <c r="BJ61" s="9"/>
      <c r="BK61" s="11"/>
      <c r="BL61" s="11"/>
      <c r="BM61" s="9"/>
      <c r="BN61" s="9"/>
      <c r="BO61" s="3"/>
    </row>
    <row r="62" spans="1:67">
      <c r="A62" s="3"/>
      <c r="B62" s="3"/>
      <c r="C62" s="4"/>
      <c r="D62" s="7"/>
      <c r="E62" s="4"/>
      <c r="F62" s="9"/>
      <c r="G62" s="4"/>
      <c r="H62" s="4"/>
      <c r="I62" s="3"/>
      <c r="J62" s="3"/>
      <c r="K62" s="9"/>
      <c r="L62" s="3"/>
      <c r="M62" s="3"/>
      <c r="N62" s="3"/>
      <c r="O62" s="3"/>
      <c r="P62" s="3"/>
      <c r="Q62" s="3"/>
      <c r="R62" s="3"/>
      <c r="S62" s="3"/>
      <c r="T62" s="3"/>
      <c r="U62" s="9"/>
      <c r="V62" s="9"/>
      <c r="W62" s="3"/>
      <c r="X62" s="9"/>
      <c r="Y62" s="3"/>
      <c r="Z62" s="3"/>
      <c r="AA62" s="9"/>
      <c r="AB62" s="3"/>
      <c r="AC62" s="3"/>
      <c r="AD62" s="3"/>
      <c r="AE62" s="3"/>
      <c r="AF62" s="9"/>
      <c r="AG62" s="4"/>
      <c r="AH62" s="9"/>
      <c r="AI62" s="3"/>
      <c r="AJ62" s="9"/>
      <c r="AK62" s="9"/>
      <c r="AL62" s="9"/>
      <c r="AM62" s="9"/>
      <c r="AN62" s="9"/>
      <c r="AO62" s="3"/>
      <c r="AP62" s="3"/>
      <c r="AQ62" s="9"/>
      <c r="AR62" s="3"/>
      <c r="AS62" s="9"/>
      <c r="AT62" s="9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9"/>
      <c r="BI62" s="9"/>
      <c r="BJ62" s="9"/>
      <c r="BK62" s="11"/>
      <c r="BL62" s="11"/>
      <c r="BM62" s="9"/>
      <c r="BN62" s="9"/>
      <c r="BO62" s="3"/>
    </row>
    <row r="63" spans="1:67">
      <c r="A63" s="3"/>
      <c r="B63" s="3"/>
      <c r="C63" s="4"/>
      <c r="D63" s="7"/>
      <c r="E63" s="4"/>
      <c r="F63" s="9"/>
      <c r="G63" s="4"/>
      <c r="H63" s="4"/>
      <c r="I63" s="3"/>
      <c r="J63" s="3"/>
      <c r="K63" s="9"/>
      <c r="L63" s="3"/>
      <c r="M63" s="3"/>
      <c r="N63" s="3"/>
      <c r="O63" s="3"/>
      <c r="P63" s="3"/>
      <c r="Q63" s="3"/>
      <c r="R63" s="3"/>
      <c r="S63" s="3"/>
      <c r="T63" s="3"/>
      <c r="U63" s="9"/>
      <c r="V63" s="9"/>
      <c r="W63" s="3"/>
      <c r="X63" s="9"/>
      <c r="Y63" s="3"/>
      <c r="Z63" s="3"/>
      <c r="AA63" s="9"/>
      <c r="AB63" s="3"/>
      <c r="AC63" s="3"/>
      <c r="AD63" s="3"/>
      <c r="AE63" s="3"/>
      <c r="AF63" s="9"/>
      <c r="AG63" s="4"/>
      <c r="AH63" s="9"/>
      <c r="AI63" s="3"/>
      <c r="AJ63" s="9"/>
      <c r="AK63" s="9"/>
      <c r="AL63" s="9"/>
      <c r="AM63" s="9"/>
      <c r="AN63" s="9"/>
      <c r="AO63" s="3"/>
      <c r="AP63" s="3"/>
      <c r="AQ63" s="9"/>
      <c r="AR63" s="3"/>
      <c r="AS63" s="9"/>
      <c r="AT63" s="9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9"/>
      <c r="BI63" s="9"/>
      <c r="BJ63" s="9"/>
      <c r="BK63" s="11"/>
      <c r="BL63" s="11"/>
      <c r="BM63" s="9"/>
      <c r="BN63" s="9"/>
      <c r="BO63" s="3"/>
    </row>
    <row r="64" spans="1:67">
      <c r="A64" s="3"/>
      <c r="B64" s="3"/>
      <c r="C64" s="4"/>
      <c r="D64" s="7"/>
      <c r="E64" s="4"/>
      <c r="F64" s="9"/>
      <c r="G64" s="4"/>
      <c r="H64" s="4"/>
      <c r="I64" s="3"/>
      <c r="J64" s="3"/>
      <c r="K64" s="9"/>
      <c r="L64" s="3"/>
      <c r="M64" s="3"/>
      <c r="N64" s="3"/>
      <c r="O64" s="3"/>
      <c r="P64" s="3"/>
      <c r="Q64" s="3"/>
      <c r="R64" s="3"/>
      <c r="S64" s="3"/>
      <c r="T64" s="3"/>
      <c r="U64" s="9"/>
      <c r="V64" s="9"/>
      <c r="W64" s="3"/>
      <c r="X64" s="9"/>
      <c r="Y64" s="3"/>
      <c r="Z64" s="3"/>
      <c r="AA64" s="9"/>
      <c r="AB64" s="3"/>
      <c r="AC64" s="3"/>
      <c r="AD64" s="3"/>
      <c r="AE64" s="3"/>
      <c r="AF64" s="9"/>
      <c r="AG64" s="4"/>
      <c r="AH64" s="9"/>
      <c r="AI64" s="3"/>
      <c r="AJ64" s="9"/>
      <c r="AK64" s="9"/>
      <c r="AL64" s="9"/>
      <c r="AM64" s="9"/>
      <c r="AN64" s="9"/>
      <c r="AO64" s="3"/>
      <c r="AP64" s="3"/>
      <c r="AQ64" s="9"/>
      <c r="AR64" s="3"/>
      <c r="AS64" s="9"/>
      <c r="AT64" s="9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9"/>
      <c r="BI64" s="9"/>
      <c r="BJ64" s="9"/>
      <c r="BK64" s="11"/>
      <c r="BL64" s="11"/>
      <c r="BM64" s="9"/>
      <c r="BN64" s="9"/>
      <c r="BO64" s="3"/>
    </row>
    <row r="65" spans="1:67">
      <c r="A65" s="3"/>
      <c r="B65" s="3"/>
      <c r="C65" s="4"/>
      <c r="D65" s="7"/>
      <c r="E65" s="4"/>
      <c r="F65" s="9"/>
      <c r="G65" s="4"/>
      <c r="H65" s="4"/>
      <c r="I65" s="3"/>
      <c r="J65" s="3"/>
      <c r="K65" s="9"/>
      <c r="L65" s="3"/>
      <c r="M65" s="3"/>
      <c r="N65" s="3"/>
      <c r="O65" s="3"/>
      <c r="P65" s="3"/>
      <c r="Q65" s="3"/>
      <c r="R65" s="3"/>
      <c r="S65" s="3"/>
      <c r="T65" s="3"/>
      <c r="U65" s="9"/>
      <c r="V65" s="9"/>
      <c r="W65" s="3"/>
      <c r="X65" s="9"/>
      <c r="Y65" s="3"/>
      <c r="Z65" s="3"/>
      <c r="AA65" s="9"/>
      <c r="AB65" s="3"/>
      <c r="AC65" s="3"/>
      <c r="AD65" s="3"/>
      <c r="AE65" s="3"/>
      <c r="AF65" s="9"/>
      <c r="AG65" s="4"/>
      <c r="AH65" s="9"/>
      <c r="AI65" s="3"/>
      <c r="AJ65" s="9"/>
      <c r="AK65" s="9"/>
      <c r="AL65" s="9"/>
      <c r="AM65" s="9"/>
      <c r="AN65" s="9"/>
      <c r="AO65" s="3"/>
      <c r="AP65" s="3"/>
      <c r="AQ65" s="9"/>
      <c r="AR65" s="3"/>
      <c r="AS65" s="9"/>
      <c r="AT65" s="9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9"/>
      <c r="BI65" s="9"/>
      <c r="BJ65" s="9"/>
      <c r="BK65" s="11"/>
      <c r="BL65" s="11"/>
      <c r="BM65" s="9"/>
      <c r="BN65" s="9"/>
      <c r="BO65" s="3"/>
    </row>
    <row r="66" spans="1:67">
      <c r="A66" s="3"/>
      <c r="B66" s="3"/>
      <c r="C66" s="4"/>
      <c r="D66" s="7"/>
      <c r="E66" s="4"/>
      <c r="F66" s="9"/>
      <c r="G66" s="4"/>
      <c r="H66" s="4"/>
      <c r="I66" s="3"/>
      <c r="J66" s="3"/>
      <c r="K66" s="9"/>
      <c r="L66" s="3"/>
      <c r="M66" s="3"/>
      <c r="N66" s="3"/>
      <c r="O66" s="3"/>
      <c r="P66" s="3"/>
      <c r="Q66" s="3"/>
      <c r="R66" s="3"/>
      <c r="S66" s="3"/>
      <c r="T66" s="3"/>
      <c r="U66" s="9"/>
      <c r="V66" s="9"/>
      <c r="W66" s="3"/>
      <c r="X66" s="9"/>
      <c r="Y66" s="3"/>
      <c r="Z66" s="3"/>
      <c r="AA66" s="9"/>
      <c r="AB66" s="3"/>
      <c r="AC66" s="3"/>
      <c r="AD66" s="3"/>
      <c r="AE66" s="3"/>
      <c r="AF66" s="9"/>
      <c r="AG66" s="4"/>
      <c r="AH66" s="9"/>
      <c r="AI66" s="3"/>
      <c r="AJ66" s="9"/>
      <c r="AK66" s="9"/>
      <c r="AL66" s="9"/>
      <c r="AM66" s="9"/>
      <c r="AN66" s="9"/>
      <c r="AO66" s="3"/>
      <c r="AP66" s="3"/>
      <c r="AQ66" s="9"/>
      <c r="AR66" s="3"/>
      <c r="AS66" s="9"/>
      <c r="AT66" s="9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9"/>
      <c r="BI66" s="9"/>
      <c r="BJ66" s="9"/>
      <c r="BK66" s="11"/>
      <c r="BL66" s="11"/>
      <c r="BM66" s="9"/>
      <c r="BN66" s="9"/>
      <c r="BO66" s="3"/>
    </row>
    <row r="67" spans="1:67">
      <c r="A67" s="3"/>
      <c r="B67" s="3"/>
      <c r="C67" s="4"/>
      <c r="D67" s="7"/>
      <c r="E67" s="4"/>
      <c r="F67" s="9"/>
      <c r="G67" s="4"/>
      <c r="H67" s="4"/>
      <c r="I67" s="3"/>
      <c r="J67" s="3"/>
      <c r="K67" s="9"/>
      <c r="L67" s="3"/>
      <c r="M67" s="3"/>
      <c r="N67" s="3"/>
      <c r="O67" s="3"/>
      <c r="P67" s="3"/>
      <c r="Q67" s="3"/>
      <c r="R67" s="3"/>
      <c r="S67" s="3"/>
      <c r="T67" s="3"/>
      <c r="U67" s="9"/>
      <c r="V67" s="9"/>
      <c r="W67" s="3"/>
      <c r="X67" s="9"/>
      <c r="Y67" s="3"/>
      <c r="Z67" s="3"/>
      <c r="AA67" s="9"/>
      <c r="AB67" s="3"/>
      <c r="AC67" s="3"/>
      <c r="AD67" s="3"/>
      <c r="AE67" s="3"/>
      <c r="AF67" s="9"/>
      <c r="AG67" s="4"/>
      <c r="AH67" s="9"/>
      <c r="AI67" s="3"/>
      <c r="AJ67" s="9"/>
      <c r="AK67" s="9"/>
      <c r="AL67" s="9"/>
      <c r="AM67" s="9"/>
      <c r="AN67" s="9"/>
      <c r="AO67" s="3"/>
      <c r="AP67" s="3"/>
      <c r="AQ67" s="9"/>
      <c r="AR67" s="3"/>
      <c r="AS67" s="9"/>
      <c r="AT67" s="9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9"/>
      <c r="BI67" s="9"/>
      <c r="BJ67" s="9"/>
      <c r="BK67" s="11"/>
      <c r="BL67" s="11"/>
      <c r="BM67" s="9"/>
      <c r="BN67" s="9"/>
      <c r="BO67" s="3"/>
    </row>
    <row r="68" spans="1:67">
      <c r="A68" s="3"/>
      <c r="B68" s="3"/>
      <c r="C68" s="4"/>
      <c r="D68" s="7"/>
      <c r="E68" s="4"/>
      <c r="F68" s="9"/>
      <c r="G68" s="4"/>
      <c r="H68" s="4"/>
      <c r="I68" s="3"/>
      <c r="J68" s="3"/>
      <c r="K68" s="9"/>
      <c r="L68" s="3"/>
      <c r="M68" s="3"/>
      <c r="N68" s="3"/>
      <c r="O68" s="3"/>
      <c r="P68" s="3"/>
      <c r="Q68" s="3"/>
      <c r="R68" s="3"/>
      <c r="S68" s="3"/>
      <c r="T68" s="3"/>
      <c r="U68" s="9"/>
      <c r="V68" s="9"/>
      <c r="W68" s="3"/>
      <c r="X68" s="9"/>
      <c r="Y68" s="3"/>
      <c r="Z68" s="3"/>
      <c r="AA68" s="9"/>
      <c r="AB68" s="3"/>
      <c r="AC68" s="3"/>
      <c r="AD68" s="3"/>
      <c r="AE68" s="3"/>
      <c r="AF68" s="9"/>
      <c r="AG68" s="4"/>
      <c r="AH68" s="9"/>
      <c r="AI68" s="3"/>
      <c r="AJ68" s="9"/>
      <c r="AK68" s="9"/>
      <c r="AL68" s="9"/>
      <c r="AM68" s="9"/>
      <c r="AN68" s="9"/>
      <c r="AO68" s="3"/>
      <c r="AP68" s="3"/>
      <c r="AQ68" s="9"/>
      <c r="AR68" s="3"/>
      <c r="AS68" s="9"/>
      <c r="AT68" s="9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9"/>
      <c r="BI68" s="9"/>
      <c r="BJ68" s="9"/>
      <c r="BK68" s="11"/>
      <c r="BL68" s="11"/>
      <c r="BM68" s="9"/>
      <c r="BN68" s="9"/>
      <c r="BO68" s="3"/>
    </row>
    <row r="69" spans="1:67">
      <c r="A69" s="3"/>
      <c r="B69" s="3"/>
      <c r="C69" s="4"/>
      <c r="D69" s="7"/>
      <c r="E69" s="4"/>
      <c r="F69" s="9"/>
      <c r="G69" s="4"/>
      <c r="H69" s="4"/>
      <c r="I69" s="3"/>
      <c r="J69" s="3"/>
      <c r="K69" s="9"/>
      <c r="L69" s="3"/>
      <c r="M69" s="3"/>
      <c r="N69" s="3"/>
      <c r="O69" s="3"/>
      <c r="P69" s="3"/>
      <c r="Q69" s="3"/>
      <c r="R69" s="3"/>
      <c r="S69" s="3"/>
      <c r="T69" s="3"/>
      <c r="U69" s="9"/>
      <c r="V69" s="9"/>
      <c r="W69" s="3"/>
      <c r="X69" s="9"/>
      <c r="Y69" s="3"/>
      <c r="Z69" s="3"/>
      <c r="AA69" s="9"/>
      <c r="AB69" s="3"/>
      <c r="AC69" s="3"/>
      <c r="AD69" s="3"/>
      <c r="AE69" s="3"/>
      <c r="AF69" s="9"/>
      <c r="AG69" s="4"/>
      <c r="AH69" s="9"/>
      <c r="AI69" s="3"/>
      <c r="AJ69" s="9"/>
      <c r="AK69" s="9"/>
      <c r="AL69" s="9"/>
      <c r="AM69" s="9"/>
      <c r="AN69" s="9"/>
      <c r="AO69" s="3"/>
      <c r="AP69" s="3"/>
      <c r="AQ69" s="9"/>
      <c r="AR69" s="3"/>
      <c r="AS69" s="9"/>
      <c r="AT69" s="9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9"/>
      <c r="BI69" s="9"/>
      <c r="BJ69" s="9"/>
      <c r="BK69" s="11"/>
      <c r="BL69" s="11"/>
      <c r="BM69" s="9"/>
      <c r="BN69" s="9"/>
      <c r="BO69" s="3"/>
    </row>
    <row r="70" spans="1:67">
      <c r="A70" s="3"/>
      <c r="B70" s="3"/>
      <c r="C70" s="4"/>
      <c r="D70" s="7"/>
      <c r="E70" s="4"/>
      <c r="F70" s="9"/>
      <c r="G70" s="4"/>
      <c r="H70" s="4"/>
      <c r="I70" s="3"/>
      <c r="J70" s="3"/>
      <c r="K70" s="9"/>
      <c r="L70" s="3"/>
      <c r="M70" s="3"/>
      <c r="N70" s="3"/>
      <c r="O70" s="3"/>
      <c r="P70" s="3"/>
      <c r="Q70" s="3"/>
      <c r="R70" s="3"/>
      <c r="S70" s="3"/>
      <c r="T70" s="3"/>
      <c r="U70" s="9"/>
      <c r="V70" s="9"/>
      <c r="W70" s="3"/>
      <c r="X70" s="9"/>
      <c r="Y70" s="3"/>
      <c r="Z70" s="3"/>
      <c r="AA70" s="9"/>
      <c r="AB70" s="3"/>
      <c r="AC70" s="3"/>
      <c r="AD70" s="3"/>
      <c r="AE70" s="3"/>
      <c r="AF70" s="9"/>
      <c r="AG70" s="4"/>
      <c r="AH70" s="9"/>
      <c r="AI70" s="3"/>
      <c r="AJ70" s="9"/>
      <c r="AK70" s="9"/>
      <c r="AL70" s="9"/>
      <c r="AM70" s="9"/>
      <c r="AN70" s="9"/>
      <c r="AO70" s="3"/>
      <c r="AP70" s="3"/>
      <c r="AQ70" s="9"/>
      <c r="AR70" s="3"/>
      <c r="AS70" s="9"/>
      <c r="AT70" s="9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9"/>
      <c r="BI70" s="9"/>
      <c r="BJ70" s="9"/>
      <c r="BK70" s="11"/>
      <c r="BL70" s="11"/>
      <c r="BM70" s="9"/>
      <c r="BN70" s="9"/>
      <c r="BO70" s="3"/>
    </row>
    <row r="71" spans="1:67">
      <c r="A71" s="3"/>
      <c r="B71" s="3"/>
      <c r="C71" s="4"/>
      <c r="D71" s="7"/>
      <c r="E71" s="4"/>
      <c r="F71" s="9"/>
      <c r="G71" s="4"/>
      <c r="H71" s="4"/>
      <c r="I71" s="3"/>
      <c r="J71" s="3"/>
      <c r="K71" s="9"/>
      <c r="L71" s="3"/>
      <c r="M71" s="3"/>
      <c r="N71" s="3"/>
      <c r="O71" s="3"/>
      <c r="P71" s="3"/>
      <c r="Q71" s="3"/>
      <c r="R71" s="3"/>
      <c r="S71" s="3"/>
      <c r="T71" s="3"/>
      <c r="U71" s="9"/>
      <c r="V71" s="9"/>
      <c r="W71" s="3"/>
      <c r="X71" s="9"/>
      <c r="Y71" s="3"/>
      <c r="Z71" s="3"/>
      <c r="AA71" s="9"/>
      <c r="AB71" s="3"/>
      <c r="AC71" s="3"/>
      <c r="AD71" s="3"/>
      <c r="AE71" s="3"/>
      <c r="AF71" s="9"/>
      <c r="AG71" s="4"/>
      <c r="AH71" s="9"/>
      <c r="AI71" s="3"/>
      <c r="AJ71" s="9"/>
      <c r="AK71" s="9"/>
      <c r="AL71" s="9"/>
      <c r="AM71" s="9"/>
      <c r="AN71" s="9"/>
      <c r="AO71" s="3"/>
      <c r="AP71" s="3"/>
      <c r="AQ71" s="9"/>
      <c r="AR71" s="3"/>
      <c r="AS71" s="9"/>
      <c r="AT71" s="9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9"/>
      <c r="BI71" s="9"/>
      <c r="BJ71" s="9"/>
      <c r="BK71" s="11"/>
      <c r="BL71" s="11"/>
      <c r="BM71" s="9"/>
      <c r="BN71" s="9"/>
      <c r="BO71" s="3"/>
    </row>
    <row r="72" spans="1:67">
      <c r="A72" s="3"/>
      <c r="B72" s="3"/>
      <c r="C72" s="4"/>
      <c r="D72" s="7"/>
      <c r="E72" s="4"/>
      <c r="F72" s="9"/>
      <c r="G72" s="4"/>
      <c r="H72" s="4"/>
      <c r="I72" s="3"/>
      <c r="J72" s="3"/>
      <c r="K72" s="9"/>
      <c r="L72" s="3"/>
      <c r="M72" s="3"/>
      <c r="N72" s="3"/>
      <c r="O72" s="3"/>
      <c r="P72" s="3"/>
      <c r="Q72" s="3"/>
      <c r="R72" s="3"/>
      <c r="S72" s="3"/>
      <c r="T72" s="3"/>
      <c r="U72" s="9"/>
      <c r="V72" s="9"/>
      <c r="W72" s="3"/>
      <c r="X72" s="9"/>
      <c r="Y72" s="3"/>
      <c r="Z72" s="3"/>
      <c r="AA72" s="9"/>
      <c r="AB72" s="3"/>
      <c r="AC72" s="3"/>
      <c r="AD72" s="3"/>
      <c r="AE72" s="3"/>
      <c r="AF72" s="9"/>
      <c r="AG72" s="4"/>
      <c r="AH72" s="9"/>
      <c r="AI72" s="3"/>
      <c r="AJ72" s="9"/>
      <c r="AK72" s="9"/>
      <c r="AL72" s="9"/>
      <c r="AM72" s="9"/>
      <c r="AN72" s="9"/>
      <c r="AO72" s="3"/>
      <c r="AP72" s="3"/>
      <c r="AQ72" s="9"/>
      <c r="AR72" s="3"/>
      <c r="AS72" s="9"/>
      <c r="AT72" s="9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9"/>
      <c r="BI72" s="9"/>
      <c r="BJ72" s="9"/>
      <c r="BK72" s="11"/>
      <c r="BL72" s="11"/>
      <c r="BM72" s="9"/>
      <c r="BN72" s="9"/>
      <c r="BO72" s="3"/>
    </row>
    <row r="73" spans="1:67">
      <c r="A73" s="3"/>
      <c r="B73" s="3"/>
      <c r="C73" s="4"/>
      <c r="D73" s="7"/>
      <c r="E73" s="4"/>
      <c r="F73" s="9"/>
      <c r="G73" s="4"/>
      <c r="H73" s="4"/>
      <c r="I73" s="3"/>
      <c r="J73" s="3"/>
      <c r="K73" s="9"/>
      <c r="L73" s="3"/>
      <c r="M73" s="3"/>
      <c r="N73" s="3"/>
      <c r="O73" s="3"/>
      <c r="P73" s="3"/>
      <c r="Q73" s="3"/>
      <c r="R73" s="3"/>
      <c r="S73" s="3"/>
      <c r="T73" s="3"/>
      <c r="U73" s="9"/>
      <c r="V73" s="9"/>
      <c r="W73" s="3"/>
      <c r="X73" s="9"/>
      <c r="Y73" s="3"/>
      <c r="Z73" s="3"/>
      <c r="AA73" s="9"/>
      <c r="AB73" s="3"/>
      <c r="AC73" s="3"/>
      <c r="AD73" s="3"/>
      <c r="AE73" s="3"/>
      <c r="AF73" s="9"/>
      <c r="AG73" s="4"/>
      <c r="AH73" s="9"/>
      <c r="AI73" s="3"/>
      <c r="AJ73" s="9"/>
      <c r="AK73" s="9"/>
      <c r="AL73" s="9"/>
      <c r="AM73" s="9"/>
      <c r="AN73" s="9"/>
      <c r="AO73" s="3"/>
      <c r="AP73" s="3"/>
      <c r="AQ73" s="9"/>
      <c r="AR73" s="3"/>
      <c r="AS73" s="9"/>
      <c r="AT73" s="9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9"/>
      <c r="BI73" s="9"/>
      <c r="BJ73" s="9"/>
      <c r="BK73" s="11"/>
      <c r="BL73" s="11"/>
      <c r="BM73" s="9"/>
      <c r="BN73" s="9"/>
      <c r="BO73" s="3"/>
    </row>
    <row r="74" spans="1:67">
      <c r="A74" s="3"/>
      <c r="B74" s="3"/>
      <c r="C74" s="4"/>
      <c r="D74" s="7"/>
      <c r="E74" s="4"/>
      <c r="F74" s="9"/>
      <c r="G74" s="4"/>
      <c r="H74" s="4"/>
      <c r="I74" s="3"/>
      <c r="J74" s="3"/>
      <c r="K74" s="9"/>
      <c r="L74" s="3"/>
      <c r="M74" s="3"/>
      <c r="N74" s="3"/>
      <c r="O74" s="3"/>
      <c r="P74" s="3"/>
      <c r="Q74" s="3"/>
      <c r="R74" s="3"/>
      <c r="S74" s="3"/>
      <c r="T74" s="3"/>
      <c r="U74" s="9"/>
      <c r="V74" s="9"/>
      <c r="W74" s="3"/>
      <c r="X74" s="9"/>
      <c r="Y74" s="3"/>
      <c r="Z74" s="3"/>
      <c r="AA74" s="9"/>
      <c r="AB74" s="3"/>
      <c r="AC74" s="3"/>
      <c r="AD74" s="3"/>
      <c r="AE74" s="3"/>
      <c r="AF74" s="9"/>
      <c r="AG74" s="4"/>
      <c r="AH74" s="9"/>
      <c r="AI74" s="3"/>
      <c r="AJ74" s="9"/>
      <c r="AK74" s="9"/>
      <c r="AL74" s="9"/>
      <c r="AM74" s="9"/>
      <c r="AN74" s="9"/>
      <c r="AO74" s="3"/>
      <c r="AP74" s="3"/>
      <c r="AQ74" s="9"/>
      <c r="AR74" s="3"/>
      <c r="AS74" s="9"/>
      <c r="AT74" s="9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9"/>
      <c r="BI74" s="9"/>
      <c r="BJ74" s="9"/>
      <c r="BK74" s="11"/>
      <c r="BL74" s="11"/>
      <c r="BM74" s="9"/>
      <c r="BN74" s="9"/>
      <c r="BO74" s="3"/>
    </row>
    <row r="75" spans="1:67">
      <c r="A75" s="3"/>
      <c r="B75" s="3"/>
      <c r="C75" s="4"/>
      <c r="D75" s="7"/>
      <c r="E75" s="4"/>
      <c r="F75" s="9"/>
      <c r="G75" s="4"/>
      <c r="H75" s="4"/>
      <c r="I75" s="3"/>
      <c r="J75" s="3"/>
      <c r="K75" s="9"/>
      <c r="L75" s="3"/>
      <c r="M75" s="3"/>
      <c r="N75" s="3"/>
      <c r="O75" s="3"/>
      <c r="P75" s="3"/>
      <c r="Q75" s="3"/>
      <c r="R75" s="3"/>
      <c r="S75" s="3"/>
      <c r="T75" s="3"/>
      <c r="U75" s="9"/>
      <c r="V75" s="9"/>
      <c r="W75" s="3"/>
      <c r="X75" s="9"/>
      <c r="Y75" s="3"/>
      <c r="Z75" s="3"/>
      <c r="AA75" s="9"/>
      <c r="AB75" s="3"/>
      <c r="AC75" s="3"/>
      <c r="AD75" s="3"/>
      <c r="AE75" s="3"/>
      <c r="AF75" s="9"/>
      <c r="AG75" s="4"/>
      <c r="AH75" s="9"/>
      <c r="AI75" s="3"/>
      <c r="AJ75" s="9"/>
      <c r="AK75" s="9"/>
      <c r="AL75" s="9"/>
      <c r="AM75" s="9"/>
      <c r="AN75" s="9"/>
      <c r="AO75" s="3"/>
      <c r="AP75" s="3"/>
      <c r="AQ75" s="9"/>
      <c r="AR75" s="3"/>
      <c r="AS75" s="9"/>
      <c r="AT75" s="9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9"/>
      <c r="BI75" s="9"/>
      <c r="BJ75" s="9"/>
      <c r="BK75" s="11"/>
      <c r="BL75" s="11"/>
      <c r="BM75" s="9"/>
      <c r="BN75" s="9"/>
      <c r="BO75" s="3"/>
    </row>
    <row r="76" spans="1:67">
      <c r="A76" s="3"/>
      <c r="B76" s="3"/>
      <c r="C76" s="4"/>
      <c r="D76" s="7"/>
      <c r="E76" s="4"/>
      <c r="F76" s="9"/>
      <c r="G76" s="4"/>
      <c r="H76" s="4"/>
      <c r="I76" s="3"/>
      <c r="J76" s="3"/>
      <c r="K76" s="9"/>
      <c r="L76" s="3"/>
      <c r="M76" s="3"/>
      <c r="N76" s="3"/>
      <c r="O76" s="3"/>
      <c r="P76" s="3"/>
      <c r="Q76" s="3"/>
      <c r="R76" s="3"/>
      <c r="S76" s="3"/>
      <c r="T76" s="3"/>
      <c r="U76" s="9"/>
      <c r="V76" s="9"/>
      <c r="W76" s="3"/>
      <c r="X76" s="9"/>
      <c r="Y76" s="3"/>
      <c r="Z76" s="3"/>
      <c r="AA76" s="9"/>
      <c r="AB76" s="3"/>
      <c r="AC76" s="3"/>
      <c r="AD76" s="3"/>
      <c r="AE76" s="3"/>
      <c r="AF76" s="9"/>
      <c r="AG76" s="4"/>
      <c r="AH76" s="9"/>
      <c r="AI76" s="3"/>
      <c r="AJ76" s="9"/>
      <c r="AK76" s="9"/>
      <c r="AL76" s="9"/>
      <c r="AM76" s="9"/>
      <c r="AN76" s="9"/>
      <c r="AO76" s="3"/>
      <c r="AP76" s="3"/>
      <c r="AQ76" s="9"/>
      <c r="AR76" s="3"/>
      <c r="AS76" s="9"/>
      <c r="AT76" s="9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9"/>
      <c r="BI76" s="9"/>
      <c r="BJ76" s="9"/>
      <c r="BK76" s="11"/>
      <c r="BL76" s="11"/>
      <c r="BM76" s="9"/>
      <c r="BN76" s="9"/>
      <c r="BO76" s="3"/>
    </row>
    <row r="77" spans="1:67">
      <c r="A77" s="3"/>
      <c r="B77" s="3"/>
      <c r="C77" s="4"/>
      <c r="D77" s="7"/>
      <c r="E77" s="4"/>
      <c r="F77" s="9"/>
      <c r="G77" s="4"/>
      <c r="H77" s="4"/>
      <c r="I77" s="3"/>
      <c r="J77" s="3"/>
      <c r="K77" s="9"/>
      <c r="L77" s="3"/>
      <c r="M77" s="3"/>
      <c r="N77" s="3"/>
      <c r="O77" s="3"/>
      <c r="P77" s="3"/>
      <c r="Q77" s="3"/>
      <c r="R77" s="3"/>
      <c r="S77" s="3"/>
      <c r="T77" s="3"/>
      <c r="U77" s="9"/>
      <c r="V77" s="9"/>
      <c r="W77" s="3"/>
      <c r="X77" s="9"/>
      <c r="Y77" s="3"/>
      <c r="Z77" s="3"/>
      <c r="AA77" s="9"/>
      <c r="AB77" s="3"/>
      <c r="AC77" s="3"/>
      <c r="AD77" s="3"/>
      <c r="AE77" s="3"/>
      <c r="AF77" s="9"/>
      <c r="AG77" s="4"/>
      <c r="AH77" s="9"/>
      <c r="AI77" s="3"/>
      <c r="AJ77" s="9"/>
      <c r="AK77" s="9"/>
      <c r="AL77" s="9"/>
      <c r="AM77" s="9"/>
      <c r="AN77" s="9"/>
      <c r="AO77" s="3"/>
      <c r="AP77" s="3"/>
      <c r="AQ77" s="9"/>
      <c r="AR77" s="3"/>
      <c r="AS77" s="9"/>
      <c r="AT77" s="9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9"/>
      <c r="BI77" s="9"/>
      <c r="BJ77" s="9"/>
      <c r="BK77" s="11"/>
      <c r="BL77" s="11"/>
      <c r="BM77" s="9"/>
      <c r="BN77" s="9"/>
      <c r="BO77" s="3"/>
    </row>
    <row r="78" spans="1:67">
      <c r="A78" s="3"/>
      <c r="B78" s="3"/>
      <c r="C78" s="4"/>
      <c r="D78" s="7"/>
      <c r="E78" s="4"/>
      <c r="F78" s="9"/>
      <c r="G78" s="4"/>
      <c r="H78" s="4"/>
      <c r="I78" s="3"/>
      <c r="J78" s="3"/>
      <c r="K78" s="9"/>
      <c r="L78" s="3"/>
      <c r="M78" s="3"/>
      <c r="N78" s="3"/>
      <c r="O78" s="3"/>
      <c r="P78" s="3"/>
      <c r="Q78" s="3"/>
      <c r="R78" s="3"/>
      <c r="S78" s="3"/>
      <c r="T78" s="3"/>
      <c r="U78" s="9"/>
      <c r="V78" s="9"/>
      <c r="W78" s="3"/>
      <c r="X78" s="9"/>
      <c r="Y78" s="3"/>
      <c r="Z78" s="3"/>
      <c r="AA78" s="9"/>
      <c r="AB78" s="3"/>
      <c r="AC78" s="3"/>
      <c r="AD78" s="3"/>
      <c r="AE78" s="3"/>
      <c r="AF78" s="9"/>
      <c r="AG78" s="4"/>
      <c r="AH78" s="9"/>
      <c r="AI78" s="3"/>
      <c r="AJ78" s="9"/>
      <c r="AK78" s="9"/>
      <c r="AL78" s="9"/>
      <c r="AM78" s="9"/>
      <c r="AN78" s="9"/>
      <c r="AO78" s="3"/>
      <c r="AP78" s="3"/>
      <c r="AQ78" s="9"/>
      <c r="AR78" s="3"/>
      <c r="AS78" s="9"/>
      <c r="AT78" s="9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9"/>
      <c r="BI78" s="9"/>
      <c r="BJ78" s="9"/>
      <c r="BK78" s="11"/>
      <c r="BL78" s="11"/>
      <c r="BM78" s="9"/>
      <c r="BN78" s="9"/>
      <c r="BO78" s="3"/>
    </row>
    <row r="79" spans="1:67">
      <c r="A79" s="3"/>
      <c r="B79" s="3"/>
      <c r="C79" s="4"/>
      <c r="D79" s="7"/>
      <c r="E79" s="4"/>
      <c r="F79" s="9"/>
      <c r="G79" s="4"/>
      <c r="H79" s="4"/>
      <c r="I79" s="3"/>
      <c r="J79" s="3"/>
      <c r="K79" s="9"/>
      <c r="L79" s="3"/>
      <c r="M79" s="3"/>
      <c r="N79" s="3"/>
      <c r="O79" s="3"/>
      <c r="P79" s="3"/>
      <c r="Q79" s="3"/>
      <c r="R79" s="3"/>
      <c r="S79" s="3"/>
      <c r="T79" s="3"/>
      <c r="U79" s="9"/>
      <c r="V79" s="9"/>
      <c r="W79" s="3"/>
      <c r="X79" s="9"/>
      <c r="Y79" s="3"/>
      <c r="Z79" s="3"/>
      <c r="AA79" s="9"/>
      <c r="AB79" s="3"/>
      <c r="AC79" s="3"/>
      <c r="AD79" s="3"/>
      <c r="AE79" s="3"/>
      <c r="AF79" s="9"/>
      <c r="AG79" s="4"/>
      <c r="AH79" s="9"/>
      <c r="AI79" s="3"/>
      <c r="AJ79" s="9"/>
      <c r="AK79" s="9"/>
      <c r="AL79" s="9"/>
      <c r="AM79" s="9"/>
      <c r="AN79" s="9"/>
      <c r="AO79" s="3"/>
      <c r="AP79" s="3"/>
      <c r="AQ79" s="9"/>
      <c r="AR79" s="3"/>
      <c r="AS79" s="9"/>
      <c r="AT79" s="9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9"/>
      <c r="BI79" s="9"/>
      <c r="BJ79" s="9"/>
      <c r="BK79" s="11"/>
      <c r="BL79" s="11"/>
      <c r="BM79" s="9"/>
      <c r="BN79" s="9"/>
      <c r="BO79" s="3"/>
    </row>
    <row r="80" spans="1:67">
      <c r="A80" s="3"/>
      <c r="B80" s="3"/>
      <c r="C80" s="4"/>
      <c r="D80" s="7"/>
      <c r="E80" s="4"/>
      <c r="F80" s="9"/>
      <c r="G80" s="4"/>
      <c r="H80" s="4"/>
      <c r="I80" s="3"/>
      <c r="J80" s="3"/>
      <c r="K80" s="9"/>
      <c r="L80" s="3"/>
      <c r="M80" s="3"/>
      <c r="N80" s="3"/>
      <c r="O80" s="3"/>
      <c r="P80" s="3"/>
      <c r="Q80" s="3"/>
      <c r="R80" s="3"/>
      <c r="S80" s="3"/>
      <c r="T80" s="3"/>
      <c r="U80" s="9"/>
      <c r="V80" s="9"/>
      <c r="W80" s="3"/>
      <c r="X80" s="9"/>
      <c r="Y80" s="3"/>
      <c r="Z80" s="3"/>
      <c r="AA80" s="9"/>
      <c r="AB80" s="3"/>
      <c r="AC80" s="3"/>
      <c r="AD80" s="3"/>
      <c r="AE80" s="3"/>
      <c r="AF80" s="9"/>
      <c r="AG80" s="4"/>
      <c r="AH80" s="9"/>
      <c r="AI80" s="3"/>
      <c r="AJ80" s="9"/>
      <c r="AK80" s="9"/>
      <c r="AL80" s="9"/>
      <c r="AM80" s="9"/>
      <c r="AN80" s="9"/>
      <c r="AO80" s="3"/>
      <c r="AP80" s="3"/>
      <c r="AQ80" s="9"/>
      <c r="AR80" s="3"/>
      <c r="AS80" s="9"/>
      <c r="AT80" s="9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9"/>
      <c r="BI80" s="9"/>
      <c r="BJ80" s="9"/>
      <c r="BK80" s="11"/>
      <c r="BL80" s="11"/>
      <c r="BM80" s="9"/>
      <c r="BN80" s="9"/>
      <c r="BO80" s="3"/>
    </row>
    <row r="81" spans="1:67">
      <c r="A81" s="3"/>
      <c r="B81" s="3"/>
      <c r="C81" s="4"/>
      <c r="D81" s="7"/>
      <c r="E81" s="4"/>
      <c r="F81" s="9"/>
      <c r="G81" s="4"/>
      <c r="H81" s="4"/>
      <c r="I81" s="3"/>
      <c r="J81" s="3"/>
      <c r="K81" s="9"/>
      <c r="L81" s="3"/>
      <c r="M81" s="3"/>
      <c r="N81" s="3"/>
      <c r="O81" s="3"/>
      <c r="P81" s="3"/>
      <c r="Q81" s="3"/>
      <c r="R81" s="3"/>
      <c r="S81" s="3"/>
      <c r="T81" s="3"/>
      <c r="U81" s="9"/>
      <c r="V81" s="9"/>
      <c r="W81" s="3"/>
      <c r="X81" s="9"/>
      <c r="Y81" s="3"/>
      <c r="Z81" s="3"/>
      <c r="AA81" s="9"/>
      <c r="AB81" s="3"/>
      <c r="AC81" s="3"/>
      <c r="AD81" s="3"/>
      <c r="AE81" s="3"/>
      <c r="AF81" s="9"/>
      <c r="AG81" s="4"/>
      <c r="AH81" s="9"/>
      <c r="AI81" s="3"/>
      <c r="AJ81" s="9"/>
      <c r="AK81" s="9"/>
      <c r="AL81" s="9"/>
      <c r="AM81" s="9"/>
      <c r="AN81" s="9"/>
      <c r="AO81" s="3"/>
      <c r="AP81" s="3"/>
      <c r="AQ81" s="9"/>
      <c r="AR81" s="3"/>
      <c r="AS81" s="9"/>
      <c r="AT81" s="9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9"/>
      <c r="BI81" s="9"/>
      <c r="BJ81" s="9"/>
      <c r="BK81" s="11"/>
      <c r="BL81" s="11"/>
      <c r="BM81" s="9"/>
      <c r="BN81" s="9"/>
      <c r="BO81" s="3"/>
    </row>
    <row r="82" spans="1:67">
      <c r="A82" s="3"/>
      <c r="B82" s="3"/>
      <c r="C82" s="4"/>
      <c r="D82" s="7"/>
      <c r="E82" s="4"/>
      <c r="F82" s="9"/>
      <c r="G82" s="4"/>
      <c r="H82" s="4"/>
      <c r="I82" s="3"/>
      <c r="J82" s="3"/>
      <c r="K82" s="9"/>
      <c r="L82" s="3"/>
      <c r="M82" s="3"/>
      <c r="N82" s="3"/>
      <c r="O82" s="3"/>
      <c r="P82" s="3"/>
      <c r="Q82" s="3"/>
      <c r="R82" s="3"/>
      <c r="S82" s="3"/>
      <c r="T82" s="3"/>
      <c r="U82" s="9"/>
      <c r="V82" s="9"/>
      <c r="W82" s="3"/>
      <c r="X82" s="9"/>
      <c r="Y82" s="3"/>
      <c r="Z82" s="3"/>
      <c r="AA82" s="9"/>
      <c r="AB82" s="3"/>
      <c r="AC82" s="3"/>
      <c r="AD82" s="3"/>
      <c r="AE82" s="3"/>
      <c r="AF82" s="9"/>
      <c r="AG82" s="4"/>
      <c r="AH82" s="9"/>
      <c r="AI82" s="3"/>
      <c r="AJ82" s="9"/>
      <c r="AK82" s="9"/>
      <c r="AL82" s="9"/>
      <c r="AM82" s="9"/>
      <c r="AN82" s="9"/>
      <c r="AO82" s="3"/>
      <c r="AP82" s="3"/>
      <c r="AQ82" s="9"/>
      <c r="AR82" s="3"/>
      <c r="AS82" s="9"/>
      <c r="AT82" s="9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9"/>
      <c r="BI82" s="9"/>
      <c r="BJ82" s="9"/>
      <c r="BK82" s="11"/>
      <c r="BL82" s="11"/>
      <c r="BM82" s="9"/>
      <c r="BN82" s="9"/>
      <c r="BO82" s="3"/>
    </row>
    <row r="83" spans="1:67">
      <c r="A83" s="3"/>
      <c r="B83" s="3"/>
      <c r="C83" s="4"/>
      <c r="D83" s="7"/>
      <c r="E83" s="4"/>
      <c r="F83" s="9"/>
      <c r="G83" s="4"/>
      <c r="H83" s="4"/>
      <c r="I83" s="3"/>
      <c r="J83" s="3"/>
      <c r="K83" s="9"/>
      <c r="L83" s="3"/>
      <c r="M83" s="3"/>
      <c r="N83" s="3"/>
      <c r="O83" s="3"/>
      <c r="P83" s="3"/>
      <c r="Q83" s="3"/>
      <c r="R83" s="3"/>
      <c r="S83" s="3"/>
      <c r="T83" s="3"/>
      <c r="U83" s="9"/>
      <c r="V83" s="9"/>
      <c r="W83" s="3"/>
      <c r="X83" s="9"/>
      <c r="Y83" s="3"/>
      <c r="Z83" s="3"/>
      <c r="AA83" s="9"/>
      <c r="AB83" s="3"/>
      <c r="AC83" s="3"/>
      <c r="AD83" s="3"/>
      <c r="AE83" s="3"/>
      <c r="AF83" s="9"/>
      <c r="AG83" s="4"/>
      <c r="AH83" s="9"/>
      <c r="AI83" s="3"/>
      <c r="AJ83" s="9"/>
      <c r="AK83" s="9"/>
      <c r="AL83" s="9"/>
      <c r="AM83" s="9"/>
      <c r="AN83" s="9"/>
      <c r="AO83" s="3"/>
      <c r="AP83" s="3"/>
      <c r="AQ83" s="9"/>
      <c r="AR83" s="3"/>
      <c r="AS83" s="9"/>
      <c r="AT83" s="9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9"/>
      <c r="BI83" s="9"/>
      <c r="BJ83" s="9"/>
      <c r="BK83" s="11"/>
      <c r="BL83" s="11"/>
      <c r="BM83" s="9"/>
      <c r="BN83" s="9"/>
      <c r="BO83" s="3"/>
    </row>
    <row r="84" spans="1:67">
      <c r="A84" s="3"/>
      <c r="B84" s="3"/>
      <c r="C84" s="4"/>
      <c r="D84" s="7"/>
      <c r="E84" s="4"/>
      <c r="F84" s="9"/>
      <c r="G84" s="4"/>
      <c r="H84" s="4"/>
      <c r="I84" s="3"/>
      <c r="J84" s="3"/>
      <c r="K84" s="9"/>
      <c r="L84" s="3"/>
      <c r="M84" s="3"/>
      <c r="N84" s="3"/>
      <c r="O84" s="3"/>
      <c r="P84" s="3"/>
      <c r="Q84" s="3"/>
      <c r="R84" s="3"/>
      <c r="S84" s="3"/>
      <c r="T84" s="3"/>
      <c r="U84" s="9"/>
      <c r="V84" s="9"/>
      <c r="W84" s="3"/>
      <c r="X84" s="9"/>
      <c r="Y84" s="3"/>
      <c r="Z84" s="3"/>
      <c r="AA84" s="9"/>
      <c r="AB84" s="3"/>
      <c r="AC84" s="3"/>
      <c r="AD84" s="3"/>
      <c r="AE84" s="3"/>
      <c r="AF84" s="9"/>
      <c r="AG84" s="4"/>
      <c r="AH84" s="9"/>
      <c r="AI84" s="3"/>
      <c r="AJ84" s="9"/>
      <c r="AK84" s="9"/>
      <c r="AL84" s="9"/>
      <c r="AM84" s="9"/>
      <c r="AN84" s="9"/>
      <c r="AO84" s="3"/>
      <c r="AP84" s="3"/>
      <c r="AQ84" s="9"/>
      <c r="AR84" s="3"/>
      <c r="AS84" s="9"/>
      <c r="AT84" s="9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9"/>
      <c r="BI84" s="9"/>
      <c r="BJ84" s="9"/>
      <c r="BK84" s="11"/>
      <c r="BL84" s="11"/>
      <c r="BM84" s="9"/>
      <c r="BN84" s="9"/>
      <c r="BO84" s="3"/>
    </row>
    <row r="85" spans="1:67">
      <c r="A85" s="3"/>
      <c r="B85" s="3"/>
      <c r="C85" s="4"/>
      <c r="D85" s="7"/>
      <c r="E85" s="4"/>
      <c r="F85" s="9"/>
      <c r="G85" s="4"/>
      <c r="H85" s="4"/>
      <c r="I85" s="3"/>
      <c r="J85" s="3"/>
      <c r="K85" s="9"/>
      <c r="L85" s="3"/>
      <c r="M85" s="3"/>
      <c r="N85" s="3"/>
      <c r="O85" s="3"/>
      <c r="P85" s="3"/>
      <c r="Q85" s="3"/>
      <c r="R85" s="3"/>
      <c r="S85" s="3"/>
      <c r="T85" s="3"/>
      <c r="U85" s="9"/>
      <c r="V85" s="9"/>
      <c r="W85" s="3"/>
      <c r="X85" s="9"/>
      <c r="Y85" s="3"/>
      <c r="Z85" s="3"/>
      <c r="AA85" s="9"/>
      <c r="AB85" s="3"/>
      <c r="AC85" s="3"/>
      <c r="AD85" s="3"/>
      <c r="AE85" s="3"/>
      <c r="AF85" s="9"/>
      <c r="AG85" s="4"/>
      <c r="AH85" s="9"/>
      <c r="AI85" s="3"/>
      <c r="AJ85" s="9"/>
      <c r="AK85" s="9"/>
      <c r="AL85" s="9"/>
      <c r="AM85" s="9"/>
      <c r="AN85" s="9"/>
      <c r="AO85" s="3"/>
      <c r="AP85" s="3"/>
      <c r="AQ85" s="9"/>
      <c r="AR85" s="3"/>
      <c r="AS85" s="9"/>
      <c r="AT85" s="9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9"/>
      <c r="BI85" s="9"/>
      <c r="BJ85" s="9"/>
      <c r="BK85" s="11"/>
      <c r="BL85" s="11"/>
      <c r="BM85" s="9"/>
      <c r="BN85" s="9"/>
      <c r="BO85" s="3"/>
    </row>
    <row r="86" spans="1:67">
      <c r="A86" s="3"/>
      <c r="B86" s="3"/>
      <c r="C86" s="4"/>
      <c r="D86" s="7"/>
      <c r="E86" s="4"/>
      <c r="F86" s="9"/>
      <c r="G86" s="4"/>
      <c r="H86" s="4"/>
      <c r="I86" s="3"/>
      <c r="J86" s="3"/>
      <c r="K86" s="9"/>
      <c r="L86" s="3"/>
      <c r="M86" s="3"/>
      <c r="N86" s="3"/>
      <c r="O86" s="3"/>
      <c r="P86" s="3"/>
      <c r="Q86" s="3"/>
      <c r="R86" s="3"/>
      <c r="S86" s="3"/>
      <c r="T86" s="3"/>
      <c r="U86" s="9"/>
      <c r="V86" s="9"/>
      <c r="W86" s="3"/>
      <c r="X86" s="9"/>
      <c r="Y86" s="3"/>
      <c r="Z86" s="3"/>
      <c r="AA86" s="9"/>
      <c r="AB86" s="3"/>
      <c r="AC86" s="3"/>
      <c r="AD86" s="3"/>
      <c r="AE86" s="3"/>
      <c r="AF86" s="9"/>
      <c r="AG86" s="4"/>
      <c r="AH86" s="9"/>
      <c r="AI86" s="3"/>
      <c r="AJ86" s="9"/>
      <c r="AK86" s="9"/>
      <c r="AL86" s="9"/>
      <c r="AM86" s="9"/>
      <c r="AN86" s="9"/>
      <c r="AO86" s="3"/>
      <c r="AP86" s="3"/>
      <c r="AQ86" s="9"/>
      <c r="AR86" s="3"/>
      <c r="AS86" s="9"/>
      <c r="AT86" s="9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9"/>
      <c r="BI86" s="9"/>
      <c r="BJ86" s="9"/>
      <c r="BK86" s="11"/>
      <c r="BL86" s="11"/>
      <c r="BM86" s="9"/>
      <c r="BN86" s="9"/>
      <c r="BO86" s="3"/>
    </row>
    <row r="87" spans="1:67">
      <c r="A87" s="3"/>
      <c r="B87" s="3"/>
      <c r="C87" s="4"/>
      <c r="D87" s="7"/>
      <c r="E87" s="4"/>
      <c r="F87" s="9"/>
      <c r="G87" s="4"/>
      <c r="H87" s="4"/>
      <c r="I87" s="3"/>
      <c r="J87" s="3"/>
      <c r="K87" s="9"/>
      <c r="L87" s="3"/>
      <c r="M87" s="3"/>
      <c r="N87" s="3"/>
      <c r="O87" s="3"/>
      <c r="P87" s="3"/>
      <c r="Q87" s="3"/>
      <c r="R87" s="3"/>
      <c r="S87" s="3"/>
      <c r="T87" s="3"/>
      <c r="U87" s="9"/>
      <c r="V87" s="9"/>
      <c r="W87" s="3"/>
      <c r="X87" s="9"/>
      <c r="Y87" s="3"/>
      <c r="Z87" s="3"/>
      <c r="AA87" s="9"/>
      <c r="AB87" s="3"/>
      <c r="AC87" s="3"/>
      <c r="AD87" s="3"/>
      <c r="AE87" s="3"/>
      <c r="AF87" s="9"/>
      <c r="AG87" s="4"/>
      <c r="AH87" s="9"/>
      <c r="AI87" s="3"/>
      <c r="AJ87" s="9"/>
      <c r="AK87" s="9"/>
      <c r="AL87" s="9"/>
      <c r="AM87" s="9"/>
      <c r="AN87" s="9"/>
      <c r="AO87" s="3"/>
      <c r="AP87" s="3"/>
      <c r="AQ87" s="9"/>
      <c r="AR87" s="3"/>
      <c r="AS87" s="9"/>
      <c r="AT87" s="9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9"/>
      <c r="BI87" s="9"/>
      <c r="BJ87" s="9"/>
      <c r="BK87" s="11"/>
      <c r="BL87" s="11"/>
      <c r="BM87" s="9"/>
      <c r="BN87" s="9"/>
      <c r="BO87" s="3"/>
    </row>
    <row r="88" spans="1:67">
      <c r="A88" s="3"/>
      <c r="B88" s="3"/>
      <c r="C88" s="4"/>
      <c r="D88" s="7"/>
      <c r="E88" s="4"/>
      <c r="F88" s="9"/>
      <c r="G88" s="4"/>
      <c r="H88" s="4"/>
      <c r="I88" s="3"/>
      <c r="J88" s="3"/>
      <c r="K88" s="9"/>
      <c r="L88" s="3"/>
      <c r="M88" s="3"/>
      <c r="N88" s="3"/>
      <c r="O88" s="3"/>
      <c r="P88" s="3"/>
      <c r="Q88" s="3"/>
      <c r="R88" s="3"/>
      <c r="S88" s="3"/>
      <c r="T88" s="3"/>
      <c r="U88" s="9"/>
      <c r="V88" s="9"/>
      <c r="W88" s="3"/>
      <c r="X88" s="9"/>
      <c r="Y88" s="3"/>
      <c r="Z88" s="3"/>
      <c r="AA88" s="9"/>
      <c r="AB88" s="3"/>
      <c r="AC88" s="3"/>
      <c r="AD88" s="3"/>
      <c r="AE88" s="3"/>
      <c r="AF88" s="9"/>
      <c r="AG88" s="4"/>
      <c r="AH88" s="9"/>
      <c r="AI88" s="3"/>
      <c r="AJ88" s="9"/>
      <c r="AK88" s="9"/>
      <c r="AL88" s="9"/>
      <c r="AM88" s="9"/>
      <c r="AN88" s="9"/>
      <c r="AO88" s="3"/>
      <c r="AP88" s="3"/>
      <c r="AQ88" s="9"/>
      <c r="AR88" s="3"/>
      <c r="AS88" s="9"/>
      <c r="AT88" s="9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9"/>
      <c r="BI88" s="9"/>
      <c r="BJ88" s="9"/>
      <c r="BK88" s="11"/>
      <c r="BL88" s="11"/>
      <c r="BM88" s="9"/>
      <c r="BN88" s="9"/>
      <c r="BO88" s="3"/>
    </row>
    <row r="89" spans="1:67">
      <c r="A89" s="3"/>
      <c r="B89" s="3"/>
      <c r="C89" s="4"/>
      <c r="D89" s="7"/>
      <c r="E89" s="4"/>
      <c r="F89" s="9"/>
      <c r="G89" s="4"/>
      <c r="H89" s="4"/>
      <c r="I89" s="3"/>
      <c r="J89" s="3"/>
      <c r="K89" s="9"/>
      <c r="L89" s="3"/>
      <c r="M89" s="3"/>
      <c r="N89" s="3"/>
      <c r="O89" s="3"/>
      <c r="P89" s="3"/>
      <c r="Q89" s="3"/>
      <c r="R89" s="3"/>
      <c r="S89" s="3"/>
      <c r="T89" s="3"/>
      <c r="U89" s="9"/>
      <c r="V89" s="9"/>
      <c r="W89" s="3"/>
      <c r="X89" s="9"/>
      <c r="Y89" s="3"/>
      <c r="Z89" s="3"/>
      <c r="AA89" s="9"/>
      <c r="AB89" s="3"/>
      <c r="AC89" s="3"/>
      <c r="AD89" s="3"/>
      <c r="AE89" s="3"/>
      <c r="AF89" s="9"/>
      <c r="AG89" s="4"/>
      <c r="AH89" s="9"/>
      <c r="AI89" s="3"/>
      <c r="AJ89" s="9"/>
      <c r="AK89" s="9"/>
      <c r="AL89" s="9"/>
      <c r="AM89" s="9"/>
      <c r="AN89" s="9"/>
      <c r="AO89" s="3"/>
      <c r="AP89" s="3"/>
      <c r="AQ89" s="9"/>
      <c r="AR89" s="3"/>
      <c r="AS89" s="9"/>
      <c r="AT89" s="9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9"/>
      <c r="BI89" s="9"/>
      <c r="BJ89" s="9"/>
      <c r="BK89" s="11"/>
      <c r="BL89" s="11"/>
      <c r="BM89" s="9"/>
      <c r="BN89" s="9"/>
      <c r="BO89" s="3"/>
    </row>
    <row r="90" spans="1:67">
      <c r="A90" s="3"/>
      <c r="B90" s="3"/>
      <c r="C90" s="4"/>
      <c r="D90" s="7"/>
      <c r="E90" s="4"/>
      <c r="F90" s="9"/>
      <c r="G90" s="4"/>
      <c r="H90" s="4"/>
      <c r="I90" s="3"/>
      <c r="J90" s="3"/>
      <c r="K90" s="9"/>
      <c r="L90" s="3"/>
      <c r="M90" s="3"/>
      <c r="N90" s="3"/>
      <c r="O90" s="3"/>
      <c r="P90" s="3"/>
      <c r="Q90" s="3"/>
      <c r="R90" s="3"/>
      <c r="S90" s="3"/>
      <c r="T90" s="3"/>
      <c r="U90" s="9"/>
      <c r="V90" s="9"/>
      <c r="W90" s="3"/>
      <c r="X90" s="9"/>
      <c r="Y90" s="3"/>
      <c r="Z90" s="3"/>
      <c r="AA90" s="9"/>
      <c r="AB90" s="3"/>
      <c r="AC90" s="3"/>
      <c r="AD90" s="3"/>
      <c r="AE90" s="3"/>
      <c r="AF90" s="9"/>
      <c r="AG90" s="4"/>
      <c r="AH90" s="9"/>
      <c r="AI90" s="3"/>
      <c r="AJ90" s="9"/>
      <c r="AK90" s="9"/>
      <c r="AL90" s="9"/>
      <c r="AM90" s="9"/>
      <c r="AN90" s="9"/>
      <c r="AO90" s="3"/>
      <c r="AP90" s="3"/>
      <c r="AQ90" s="9"/>
      <c r="AR90" s="3"/>
      <c r="AS90" s="9"/>
      <c r="AT90" s="9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9"/>
      <c r="BI90" s="9"/>
      <c r="BJ90" s="9"/>
      <c r="BK90" s="11"/>
      <c r="BL90" s="11"/>
      <c r="BM90" s="9"/>
      <c r="BN90" s="9"/>
      <c r="BO90" s="3"/>
    </row>
    <row r="91" spans="1:67">
      <c r="A91" s="3"/>
      <c r="B91" s="3"/>
      <c r="C91" s="4"/>
      <c r="D91" s="7"/>
      <c r="E91" s="4"/>
      <c r="F91" s="9"/>
      <c r="G91" s="4"/>
      <c r="H91" s="4"/>
      <c r="I91" s="3"/>
      <c r="J91" s="3"/>
      <c r="K91" s="9"/>
      <c r="L91" s="3"/>
      <c r="M91" s="3"/>
      <c r="N91" s="3"/>
      <c r="O91" s="3"/>
      <c r="P91" s="3"/>
      <c r="Q91" s="3"/>
      <c r="R91" s="3"/>
      <c r="S91" s="3"/>
      <c r="T91" s="3"/>
      <c r="U91" s="9"/>
      <c r="V91" s="9"/>
      <c r="W91" s="3"/>
      <c r="X91" s="9"/>
      <c r="Y91" s="3"/>
      <c r="Z91" s="3"/>
      <c r="AA91" s="9"/>
      <c r="AB91" s="3"/>
      <c r="AC91" s="3"/>
      <c r="AD91" s="3"/>
      <c r="AE91" s="3"/>
      <c r="AF91" s="9"/>
      <c r="AG91" s="4"/>
      <c r="AH91" s="9"/>
      <c r="AI91" s="3"/>
      <c r="AJ91" s="9"/>
      <c r="AK91" s="9"/>
      <c r="AL91" s="9"/>
      <c r="AM91" s="9"/>
      <c r="AN91" s="9"/>
      <c r="AO91" s="3"/>
      <c r="AP91" s="3"/>
      <c r="AQ91" s="9"/>
      <c r="AR91" s="3"/>
      <c r="AS91" s="9"/>
      <c r="AT91" s="9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9"/>
      <c r="BI91" s="9"/>
      <c r="BJ91" s="9"/>
      <c r="BK91" s="11"/>
      <c r="BL91" s="11"/>
      <c r="BM91" s="9"/>
      <c r="BN91" s="9"/>
      <c r="BO91" s="3"/>
    </row>
    <row r="92" spans="1:67">
      <c r="A92" s="3"/>
      <c r="B92" s="3"/>
      <c r="C92" s="4"/>
      <c r="D92" s="7"/>
      <c r="E92" s="4"/>
      <c r="F92" s="9"/>
      <c r="G92" s="4"/>
      <c r="H92" s="4"/>
      <c r="I92" s="3"/>
      <c r="J92" s="3"/>
      <c r="K92" s="9"/>
      <c r="L92" s="3"/>
      <c r="M92" s="3"/>
      <c r="N92" s="3"/>
      <c r="O92" s="3"/>
      <c r="P92" s="3"/>
      <c r="Q92" s="3"/>
      <c r="R92" s="3"/>
      <c r="S92" s="3"/>
      <c r="T92" s="3"/>
      <c r="U92" s="9"/>
      <c r="V92" s="9"/>
      <c r="W92" s="3"/>
      <c r="X92" s="9"/>
      <c r="Y92" s="3"/>
      <c r="Z92" s="3"/>
      <c r="AA92" s="9"/>
      <c r="AB92" s="3"/>
      <c r="AC92" s="3"/>
      <c r="AD92" s="3"/>
      <c r="AE92" s="3"/>
      <c r="AF92" s="9"/>
      <c r="AG92" s="4"/>
      <c r="AH92" s="9"/>
      <c r="AI92" s="3"/>
      <c r="AJ92" s="9"/>
      <c r="AK92" s="9"/>
      <c r="AL92" s="9"/>
      <c r="AM92" s="9"/>
      <c r="AN92" s="9"/>
      <c r="AO92" s="3"/>
      <c r="AP92" s="3"/>
      <c r="AQ92" s="9"/>
      <c r="AR92" s="3"/>
      <c r="AS92" s="9"/>
      <c r="AT92" s="9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9"/>
      <c r="BI92" s="9"/>
      <c r="BJ92" s="9"/>
      <c r="BK92" s="11"/>
      <c r="BL92" s="11"/>
      <c r="BM92" s="9"/>
      <c r="BN92" s="9"/>
      <c r="BO92" s="3"/>
    </row>
    <row r="93" spans="1:67">
      <c r="A93" s="3"/>
      <c r="B93" s="3"/>
      <c r="C93" s="4"/>
      <c r="D93" s="7"/>
      <c r="E93" s="4"/>
      <c r="F93" s="9"/>
      <c r="G93" s="4"/>
      <c r="H93" s="4"/>
      <c r="I93" s="3"/>
      <c r="J93" s="3"/>
      <c r="K93" s="9"/>
      <c r="L93" s="3"/>
      <c r="M93" s="3"/>
      <c r="N93" s="3"/>
      <c r="O93" s="3"/>
      <c r="P93" s="3"/>
      <c r="Q93" s="3"/>
      <c r="R93" s="3"/>
      <c r="S93" s="3"/>
      <c r="T93" s="3"/>
      <c r="U93" s="9"/>
      <c r="V93" s="9"/>
      <c r="W93" s="3"/>
      <c r="X93" s="9"/>
      <c r="Y93" s="3"/>
      <c r="Z93" s="3"/>
      <c r="AA93" s="9"/>
      <c r="AB93" s="3"/>
      <c r="AC93" s="3"/>
      <c r="AD93" s="3"/>
      <c r="AE93" s="3"/>
      <c r="AF93" s="9"/>
      <c r="AG93" s="4"/>
      <c r="AH93" s="9"/>
      <c r="AI93" s="3"/>
      <c r="AJ93" s="9"/>
      <c r="AK93" s="9"/>
      <c r="AL93" s="9"/>
      <c r="AM93" s="9"/>
      <c r="AN93" s="9"/>
      <c r="AO93" s="3"/>
      <c r="AP93" s="3"/>
      <c r="AQ93" s="9"/>
      <c r="AR93" s="3"/>
      <c r="AS93" s="9"/>
      <c r="AT93" s="9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9"/>
      <c r="BI93" s="9"/>
      <c r="BJ93" s="9"/>
      <c r="BK93" s="11"/>
      <c r="BL93" s="11"/>
      <c r="BM93" s="9"/>
      <c r="BN93" s="9"/>
      <c r="BO93" s="3"/>
    </row>
    <row r="94" spans="1:67">
      <c r="A94" s="3"/>
      <c r="B94" s="3"/>
      <c r="C94" s="4"/>
      <c r="D94" s="7"/>
      <c r="E94" s="4"/>
      <c r="F94" s="9"/>
      <c r="G94" s="4"/>
      <c r="H94" s="4"/>
      <c r="I94" s="3"/>
      <c r="J94" s="3"/>
      <c r="K94" s="9"/>
      <c r="L94" s="3"/>
      <c r="M94" s="3"/>
      <c r="N94" s="3"/>
      <c r="O94" s="3"/>
      <c r="P94" s="3"/>
      <c r="Q94" s="3"/>
      <c r="R94" s="3"/>
      <c r="S94" s="3"/>
      <c r="T94" s="3"/>
      <c r="U94" s="9"/>
      <c r="V94" s="9"/>
      <c r="W94" s="3"/>
      <c r="X94" s="9"/>
      <c r="Y94" s="3"/>
      <c r="Z94" s="3"/>
      <c r="AA94" s="9"/>
      <c r="AB94" s="3"/>
      <c r="AC94" s="3"/>
      <c r="AD94" s="3"/>
      <c r="AE94" s="3"/>
      <c r="AF94" s="9"/>
      <c r="AG94" s="4"/>
      <c r="AH94" s="9"/>
      <c r="AI94" s="3"/>
      <c r="AJ94" s="9"/>
      <c r="AK94" s="9"/>
      <c r="AL94" s="9"/>
      <c r="AM94" s="9"/>
      <c r="AN94" s="9"/>
      <c r="AO94" s="3"/>
      <c r="AP94" s="3"/>
      <c r="AQ94" s="9"/>
      <c r="AR94" s="3"/>
      <c r="AS94" s="9"/>
      <c r="AT94" s="9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9"/>
      <c r="BI94" s="9"/>
      <c r="BJ94" s="9"/>
      <c r="BK94" s="11"/>
      <c r="BL94" s="11"/>
      <c r="BM94" s="9"/>
      <c r="BN94" s="9"/>
      <c r="BO94" s="3"/>
    </row>
    <row r="95" spans="1:67">
      <c r="A95" s="3"/>
      <c r="B95" s="3"/>
      <c r="C95" s="4"/>
      <c r="D95" s="7"/>
      <c r="E95" s="4"/>
      <c r="F95" s="9"/>
      <c r="G95" s="4"/>
      <c r="H95" s="4"/>
      <c r="I95" s="3"/>
      <c r="J95" s="3"/>
      <c r="K95" s="9"/>
      <c r="L95" s="3"/>
      <c r="M95" s="3"/>
      <c r="N95" s="3"/>
      <c r="O95" s="3"/>
      <c r="P95" s="3"/>
      <c r="Q95" s="3"/>
      <c r="R95" s="3"/>
      <c r="S95" s="3"/>
      <c r="T95" s="3"/>
      <c r="U95" s="9"/>
      <c r="V95" s="9"/>
      <c r="W95" s="3"/>
      <c r="X95" s="9"/>
      <c r="Y95" s="3"/>
      <c r="Z95" s="3"/>
      <c r="AA95" s="9"/>
      <c r="AB95" s="3"/>
      <c r="AC95" s="3"/>
      <c r="AD95" s="3"/>
      <c r="AE95" s="3"/>
      <c r="AF95" s="9"/>
      <c r="AG95" s="4"/>
      <c r="AH95" s="9"/>
      <c r="AI95" s="3"/>
      <c r="AJ95" s="9"/>
      <c r="AK95" s="9"/>
      <c r="AL95" s="9"/>
      <c r="AM95" s="9"/>
      <c r="AN95" s="9"/>
      <c r="AO95" s="3"/>
      <c r="AP95" s="3"/>
      <c r="AQ95" s="9"/>
      <c r="AR95" s="3"/>
      <c r="AS95" s="9"/>
      <c r="AT95" s="9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9"/>
      <c r="BI95" s="9"/>
      <c r="BJ95" s="9"/>
      <c r="BK95" s="11"/>
      <c r="BL95" s="11"/>
      <c r="BM95" s="9"/>
      <c r="BN95" s="9"/>
      <c r="BO95" s="3"/>
    </row>
    <row r="96" spans="1:67">
      <c r="A96" s="3"/>
      <c r="B96" s="3"/>
      <c r="C96" s="4"/>
      <c r="D96" s="7"/>
      <c r="E96" s="4"/>
      <c r="F96" s="9"/>
      <c r="G96" s="4"/>
      <c r="H96" s="4"/>
      <c r="I96" s="3"/>
      <c r="J96" s="3"/>
      <c r="K96" s="9"/>
      <c r="L96" s="3"/>
      <c r="M96" s="3"/>
      <c r="N96" s="3"/>
      <c r="O96" s="3"/>
      <c r="P96" s="3"/>
      <c r="Q96" s="3"/>
      <c r="R96" s="3"/>
      <c r="S96" s="3"/>
      <c r="T96" s="3"/>
      <c r="U96" s="9"/>
      <c r="V96" s="9"/>
      <c r="W96" s="3"/>
      <c r="X96" s="9"/>
      <c r="Y96" s="3"/>
      <c r="Z96" s="3"/>
      <c r="AA96" s="9"/>
      <c r="AB96" s="3"/>
      <c r="AC96" s="3"/>
      <c r="AD96" s="3"/>
      <c r="AE96" s="3"/>
      <c r="AF96" s="9"/>
      <c r="AG96" s="4"/>
      <c r="AH96" s="9"/>
      <c r="AI96" s="3"/>
      <c r="AJ96" s="9"/>
      <c r="AK96" s="9"/>
      <c r="AL96" s="9"/>
      <c r="AM96" s="9"/>
      <c r="AN96" s="9"/>
      <c r="AO96" s="3"/>
      <c r="AP96" s="3"/>
      <c r="AQ96" s="9"/>
      <c r="AR96" s="3"/>
      <c r="AS96" s="9"/>
      <c r="AT96" s="9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9"/>
      <c r="BI96" s="9"/>
      <c r="BJ96" s="9"/>
      <c r="BK96" s="11"/>
      <c r="BL96" s="11"/>
      <c r="BM96" s="9"/>
      <c r="BN96" s="9"/>
      <c r="BO96" s="3"/>
    </row>
    <row r="97" spans="1:67">
      <c r="A97" s="3"/>
      <c r="B97" s="3"/>
      <c r="C97" s="4"/>
      <c r="D97" s="7"/>
      <c r="E97" s="4"/>
      <c r="F97" s="9"/>
      <c r="G97" s="4"/>
      <c r="H97" s="4"/>
      <c r="I97" s="3"/>
      <c r="J97" s="3"/>
      <c r="K97" s="9"/>
      <c r="L97" s="3"/>
      <c r="M97" s="3"/>
      <c r="N97" s="3"/>
      <c r="O97" s="3"/>
      <c r="P97" s="3"/>
      <c r="Q97" s="3"/>
      <c r="R97" s="3"/>
      <c r="S97" s="3"/>
      <c r="T97" s="3"/>
      <c r="U97" s="9"/>
      <c r="V97" s="9"/>
      <c r="W97" s="3"/>
      <c r="X97" s="9"/>
      <c r="Y97" s="3"/>
      <c r="Z97" s="3"/>
      <c r="AA97" s="9"/>
      <c r="AB97" s="3"/>
      <c r="AC97" s="3"/>
      <c r="AD97" s="3"/>
      <c r="AE97" s="3"/>
      <c r="AF97" s="9"/>
      <c r="AG97" s="4"/>
      <c r="AH97" s="9"/>
      <c r="AI97" s="3"/>
      <c r="AJ97" s="9"/>
      <c r="AK97" s="9"/>
      <c r="AL97" s="9"/>
      <c r="AM97" s="9"/>
      <c r="AN97" s="9"/>
      <c r="AO97" s="3"/>
      <c r="AP97" s="3"/>
      <c r="AQ97" s="9"/>
      <c r="AR97" s="3"/>
      <c r="AS97" s="9"/>
      <c r="AT97" s="9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9"/>
      <c r="BI97" s="9"/>
      <c r="BJ97" s="9"/>
      <c r="BK97" s="11"/>
      <c r="BL97" s="11"/>
      <c r="BM97" s="9"/>
      <c r="BN97" s="9"/>
      <c r="BO97" s="3"/>
    </row>
    <row r="98" spans="1:67">
      <c r="A98" s="3"/>
      <c r="B98" s="3"/>
      <c r="C98" s="4"/>
      <c r="D98" s="7"/>
      <c r="E98" s="4"/>
      <c r="F98" s="9"/>
      <c r="G98" s="4"/>
      <c r="H98" s="4"/>
      <c r="I98" s="3"/>
      <c r="J98" s="3"/>
      <c r="K98" s="9"/>
      <c r="L98" s="3"/>
      <c r="M98" s="3"/>
      <c r="N98" s="3"/>
      <c r="O98" s="3"/>
      <c r="P98" s="3"/>
      <c r="Q98" s="3"/>
      <c r="R98" s="3"/>
      <c r="S98" s="3"/>
      <c r="T98" s="3"/>
      <c r="U98" s="9"/>
      <c r="V98" s="9"/>
      <c r="W98" s="3"/>
      <c r="X98" s="9"/>
      <c r="Y98" s="3"/>
      <c r="Z98" s="3"/>
      <c r="AA98" s="9"/>
      <c r="AB98" s="3"/>
      <c r="AC98" s="3"/>
      <c r="AD98" s="3"/>
      <c r="AE98" s="3"/>
      <c r="AF98" s="9"/>
      <c r="AG98" s="4"/>
      <c r="AH98" s="9"/>
      <c r="AI98" s="3"/>
      <c r="AJ98" s="9"/>
      <c r="AK98" s="9"/>
      <c r="AL98" s="9"/>
      <c r="AM98" s="9"/>
      <c r="AN98" s="9"/>
      <c r="AO98" s="3"/>
      <c r="AP98" s="3"/>
      <c r="AQ98" s="9"/>
      <c r="AR98" s="3"/>
      <c r="AS98" s="9"/>
      <c r="AT98" s="9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9"/>
      <c r="BI98" s="9"/>
      <c r="BJ98" s="9"/>
      <c r="BK98" s="11"/>
      <c r="BL98" s="11"/>
      <c r="BM98" s="9"/>
      <c r="BN98" s="9"/>
      <c r="BO98" s="3"/>
    </row>
    <row r="99" spans="1:67">
      <c r="A99" s="3"/>
      <c r="B99" s="3"/>
      <c r="C99" s="4"/>
      <c r="D99" s="7"/>
      <c r="E99" s="4"/>
      <c r="F99" s="9"/>
      <c r="G99" s="4"/>
      <c r="H99" s="4"/>
      <c r="I99" s="3"/>
      <c r="J99" s="3"/>
      <c r="K99" s="9"/>
      <c r="L99" s="3"/>
      <c r="M99" s="3"/>
      <c r="N99" s="3"/>
      <c r="O99" s="3"/>
      <c r="P99" s="3"/>
      <c r="Q99" s="3"/>
      <c r="R99" s="3"/>
      <c r="S99" s="3"/>
      <c r="T99" s="3"/>
      <c r="U99" s="9"/>
      <c r="V99" s="9"/>
      <c r="W99" s="3"/>
      <c r="X99" s="9"/>
      <c r="Y99" s="3"/>
      <c r="Z99" s="3"/>
      <c r="AA99" s="9"/>
      <c r="AB99" s="3"/>
      <c r="AC99" s="3"/>
      <c r="AD99" s="3"/>
      <c r="AE99" s="3"/>
      <c r="AF99" s="9"/>
      <c r="AG99" s="4"/>
      <c r="AH99" s="9"/>
      <c r="AI99" s="3"/>
      <c r="AJ99" s="9"/>
      <c r="AK99" s="9"/>
      <c r="AL99" s="9"/>
      <c r="AM99" s="9"/>
      <c r="AN99" s="9"/>
      <c r="AO99" s="3"/>
      <c r="AP99" s="3"/>
      <c r="AQ99" s="9"/>
      <c r="AR99" s="3"/>
      <c r="AS99" s="9"/>
      <c r="AT99" s="9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9"/>
      <c r="BI99" s="9"/>
      <c r="BJ99" s="9"/>
      <c r="BK99" s="11"/>
      <c r="BL99" s="11"/>
      <c r="BM99" s="9"/>
      <c r="BN99" s="9"/>
      <c r="BO99" s="3"/>
    </row>
    <row r="100" spans="1:67">
      <c r="A100" s="3"/>
      <c r="B100" s="3"/>
      <c r="C100" s="4"/>
      <c r="D100" s="7"/>
      <c r="E100" s="4"/>
      <c r="F100" s="9"/>
      <c r="G100" s="4"/>
      <c r="H100" s="4"/>
      <c r="I100" s="3"/>
      <c r="J100" s="3"/>
      <c r="K100" s="9"/>
      <c r="L100" s="3"/>
      <c r="M100" s="3"/>
      <c r="N100" s="3"/>
      <c r="O100" s="3"/>
      <c r="P100" s="3"/>
      <c r="Q100" s="3"/>
      <c r="R100" s="3"/>
      <c r="S100" s="3"/>
      <c r="T100" s="3"/>
      <c r="U100" s="9"/>
      <c r="V100" s="9"/>
      <c r="W100" s="3"/>
      <c r="X100" s="9"/>
      <c r="Y100" s="3"/>
      <c r="Z100" s="3"/>
      <c r="AA100" s="9"/>
      <c r="AB100" s="3"/>
      <c r="AC100" s="3"/>
      <c r="AD100" s="3"/>
      <c r="AE100" s="3"/>
      <c r="AF100" s="9"/>
      <c r="AG100" s="4"/>
      <c r="AH100" s="9"/>
      <c r="AI100" s="3"/>
      <c r="AJ100" s="9"/>
      <c r="AK100" s="9"/>
      <c r="AL100" s="9"/>
      <c r="AM100" s="9"/>
      <c r="AN100" s="9"/>
      <c r="AO100" s="3"/>
      <c r="AP100" s="3"/>
      <c r="AQ100" s="9"/>
      <c r="AR100" s="3"/>
      <c r="AS100" s="9"/>
      <c r="AT100" s="9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9"/>
      <c r="BI100" s="9"/>
      <c r="BJ100" s="9"/>
      <c r="BK100" s="11"/>
      <c r="BL100" s="11"/>
      <c r="BM100" s="9"/>
      <c r="BN100" s="9"/>
      <c r="BO100" s="3"/>
    </row>
    <row r="101" spans="1:67">
      <c r="A101" s="3"/>
      <c r="B101" s="3"/>
      <c r="C101" s="4"/>
      <c r="D101" s="7"/>
      <c r="E101" s="4"/>
      <c r="F101" s="9"/>
      <c r="G101" s="4"/>
      <c r="H101" s="4"/>
      <c r="I101" s="3"/>
      <c r="J101" s="3"/>
      <c r="K101" s="9"/>
      <c r="L101" s="3"/>
      <c r="M101" s="3"/>
      <c r="N101" s="3"/>
      <c r="O101" s="3"/>
      <c r="P101" s="3"/>
      <c r="Q101" s="3"/>
      <c r="R101" s="3"/>
      <c r="S101" s="3"/>
      <c r="T101" s="3"/>
      <c r="U101" s="9"/>
      <c r="V101" s="9"/>
      <c r="W101" s="3"/>
      <c r="X101" s="9"/>
      <c r="Y101" s="3"/>
      <c r="Z101" s="3"/>
      <c r="AA101" s="9"/>
      <c r="AB101" s="3"/>
      <c r="AC101" s="3"/>
      <c r="AD101" s="3"/>
      <c r="AE101" s="3"/>
      <c r="AF101" s="9"/>
      <c r="AG101" s="4"/>
      <c r="AH101" s="9"/>
      <c r="AI101" s="3"/>
      <c r="AJ101" s="9"/>
      <c r="AK101" s="9"/>
      <c r="AL101" s="9"/>
      <c r="AM101" s="9"/>
      <c r="AN101" s="9"/>
      <c r="AO101" s="3"/>
      <c r="AP101" s="3"/>
      <c r="AQ101" s="9"/>
      <c r="AR101" s="3"/>
      <c r="AS101" s="9"/>
      <c r="AT101" s="9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9"/>
      <c r="BI101" s="9"/>
      <c r="BJ101" s="9"/>
      <c r="BK101" s="11"/>
      <c r="BL101" s="11"/>
      <c r="BM101" s="9"/>
      <c r="BN101" s="9"/>
      <c r="BO101" s="3"/>
    </row>
    <row r="102" spans="1:67">
      <c r="A102" s="3"/>
      <c r="B102" s="3"/>
      <c r="C102" s="4"/>
      <c r="D102" s="7"/>
      <c r="E102" s="4"/>
      <c r="F102" s="9"/>
      <c r="G102" s="4"/>
      <c r="H102" s="4"/>
      <c r="I102" s="3"/>
      <c r="J102" s="3"/>
      <c r="K102" s="9"/>
      <c r="L102" s="3"/>
      <c r="M102" s="3"/>
      <c r="N102" s="3"/>
      <c r="O102" s="3"/>
      <c r="P102" s="3"/>
      <c r="Q102" s="3"/>
      <c r="R102" s="3"/>
      <c r="S102" s="3"/>
      <c r="T102" s="3"/>
      <c r="U102" s="9"/>
      <c r="V102" s="9"/>
      <c r="W102" s="3"/>
      <c r="X102" s="9"/>
      <c r="Y102" s="3"/>
      <c r="Z102" s="3"/>
      <c r="AA102" s="9"/>
      <c r="AB102" s="3"/>
      <c r="AC102" s="3"/>
      <c r="AD102" s="3"/>
      <c r="AE102" s="3"/>
      <c r="AF102" s="9"/>
      <c r="AG102" s="4"/>
      <c r="AH102" s="9"/>
      <c r="AI102" s="3"/>
      <c r="AJ102" s="9"/>
      <c r="AK102" s="9"/>
      <c r="AL102" s="9"/>
      <c r="AM102" s="9"/>
      <c r="AN102" s="9"/>
      <c r="AO102" s="3"/>
      <c r="AP102" s="3"/>
      <c r="AQ102" s="9"/>
      <c r="AR102" s="3"/>
      <c r="AS102" s="9"/>
      <c r="AT102" s="9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9"/>
      <c r="BI102" s="9"/>
      <c r="BJ102" s="9"/>
      <c r="BK102" s="11"/>
      <c r="BL102" s="11"/>
      <c r="BM102" s="9"/>
      <c r="BN102" s="9"/>
      <c r="BO102" s="3"/>
    </row>
    <row r="103" spans="1:67">
      <c r="A103" s="3"/>
      <c r="B103" s="3"/>
      <c r="C103" s="4"/>
      <c r="D103" s="7"/>
      <c r="E103" s="4"/>
      <c r="F103" s="9"/>
      <c r="G103" s="4"/>
      <c r="H103" s="4"/>
      <c r="I103" s="3"/>
      <c r="J103" s="3"/>
      <c r="K103" s="9"/>
      <c r="L103" s="3"/>
      <c r="M103" s="3"/>
      <c r="N103" s="3"/>
      <c r="O103" s="3"/>
      <c r="P103" s="3"/>
      <c r="Q103" s="3"/>
      <c r="R103" s="3"/>
      <c r="S103" s="3"/>
      <c r="T103" s="3"/>
      <c r="U103" s="9"/>
      <c r="V103" s="9"/>
      <c r="W103" s="3"/>
      <c r="X103" s="9"/>
      <c r="Y103" s="3"/>
      <c r="Z103" s="3"/>
      <c r="AA103" s="9"/>
      <c r="AB103" s="3"/>
      <c r="AC103" s="3"/>
      <c r="AD103" s="3"/>
      <c r="AE103" s="3"/>
      <c r="AF103" s="9"/>
      <c r="AG103" s="4"/>
      <c r="AH103" s="9"/>
      <c r="AI103" s="3"/>
      <c r="AJ103" s="9"/>
      <c r="AK103" s="9"/>
      <c r="AL103" s="9"/>
      <c r="AM103" s="9"/>
      <c r="AN103" s="9"/>
      <c r="AO103" s="3"/>
      <c r="AP103" s="3"/>
      <c r="AQ103" s="9"/>
      <c r="AR103" s="3"/>
      <c r="AS103" s="9"/>
      <c r="AT103" s="9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9"/>
      <c r="BI103" s="9"/>
      <c r="BJ103" s="9"/>
      <c r="BK103" s="11"/>
      <c r="BL103" s="11"/>
      <c r="BM103" s="9"/>
      <c r="BN103" s="9"/>
      <c r="BO103" s="3"/>
    </row>
    <row r="104" spans="1:67">
      <c r="A104" s="3"/>
      <c r="B104" s="3"/>
      <c r="C104" s="4"/>
      <c r="D104" s="7"/>
      <c r="E104" s="4"/>
      <c r="F104" s="9"/>
      <c r="G104" s="4"/>
      <c r="H104" s="4"/>
      <c r="I104" s="3"/>
      <c r="J104" s="3"/>
      <c r="K104" s="9"/>
      <c r="L104" s="3"/>
      <c r="M104" s="3"/>
      <c r="N104" s="3"/>
      <c r="O104" s="3"/>
      <c r="P104" s="3"/>
      <c r="Q104" s="3"/>
      <c r="R104" s="3"/>
      <c r="S104" s="3"/>
      <c r="T104" s="3"/>
      <c r="U104" s="9"/>
      <c r="V104" s="9"/>
      <c r="W104" s="3"/>
      <c r="X104" s="9"/>
      <c r="Y104" s="3"/>
      <c r="Z104" s="3"/>
      <c r="AA104" s="9"/>
      <c r="AB104" s="3"/>
      <c r="AC104" s="3"/>
      <c r="AD104" s="3"/>
      <c r="AE104" s="3"/>
      <c r="AF104" s="9"/>
      <c r="AG104" s="4"/>
      <c r="AH104" s="9"/>
      <c r="AI104" s="3"/>
      <c r="AJ104" s="9"/>
      <c r="AK104" s="9"/>
      <c r="AL104" s="9"/>
      <c r="AM104" s="9"/>
      <c r="AN104" s="9"/>
      <c r="AO104" s="3"/>
      <c r="AP104" s="3"/>
      <c r="AQ104" s="9"/>
      <c r="AR104" s="3"/>
      <c r="AS104" s="9"/>
      <c r="AT104" s="9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9"/>
      <c r="BI104" s="9"/>
      <c r="BJ104" s="9"/>
      <c r="BK104" s="11"/>
      <c r="BL104" s="11"/>
      <c r="BM104" s="9"/>
      <c r="BN104" s="9"/>
      <c r="BO104" s="3"/>
    </row>
  </sheetData>
  <mergeCells count="6">
    <mergeCell ref="A4:BO4"/>
    <mergeCell ref="A1:BO1"/>
    <mergeCell ref="A2:AG2"/>
    <mergeCell ref="AH2:AV2"/>
    <mergeCell ref="AW2:BF2"/>
    <mergeCell ref="BG2:B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showGridLines="0" workbookViewId="0"/>
  </sheetViews>
  <sheetFormatPr defaultRowHeight="14.25"/>
  <cols>
    <col min="1" max="1" width="35" customWidth="1"/>
    <col min="2" max="3" width="16" customWidth="1"/>
    <col min="4" max="7" width="20" customWidth="1"/>
    <col min="8" max="8" width="38" customWidth="1"/>
  </cols>
  <sheetData>
    <row r="1" spans="1:8" ht="15">
      <c r="A1" s="1" t="s">
        <v>74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12</v>
      </c>
      <c r="H1" s="1" t="s">
        <v>37</v>
      </c>
    </row>
    <row r="2" spans="1:8">
      <c r="A2" s="3" t="s">
        <v>75</v>
      </c>
      <c r="B2" s="3" t="s">
        <v>72</v>
      </c>
      <c r="C2" s="3" t="s">
        <v>73</v>
      </c>
      <c r="D2" s="4"/>
      <c r="E2" s="4"/>
      <c r="F2" s="4"/>
      <c r="G2" s="4"/>
      <c r="H2" s="4"/>
    </row>
    <row r="3" spans="1:8">
      <c r="A3" s="3"/>
      <c r="B3" s="3"/>
      <c r="C3" s="3"/>
      <c r="D3" s="4"/>
      <c r="E3" s="4"/>
      <c r="F3" s="4"/>
      <c r="G3" s="4"/>
      <c r="H3" s="4"/>
    </row>
    <row r="4" spans="1:8">
      <c r="A4" s="3"/>
      <c r="B4" s="3"/>
      <c r="C4" s="3"/>
      <c r="D4" s="4"/>
      <c r="E4" s="4"/>
      <c r="F4" s="4"/>
      <c r="G4" s="4"/>
      <c r="H4" s="4"/>
    </row>
    <row r="5" spans="1:8">
      <c r="A5" s="3"/>
      <c r="B5" s="3"/>
      <c r="C5" s="3"/>
      <c r="D5" s="4"/>
      <c r="E5" s="4"/>
      <c r="F5" s="4"/>
      <c r="G5" s="4"/>
      <c r="H5" s="4"/>
    </row>
    <row r="6" spans="1:8">
      <c r="A6" s="3"/>
      <c r="B6" s="3"/>
      <c r="C6" s="3"/>
      <c r="D6" s="4"/>
      <c r="E6" s="4"/>
      <c r="F6" s="4"/>
      <c r="G6" s="4"/>
      <c r="H6" s="4"/>
    </row>
    <row r="7" spans="1:8">
      <c r="A7" s="3"/>
      <c r="B7" s="3"/>
      <c r="C7" s="3"/>
      <c r="D7" s="4"/>
      <c r="E7" s="4"/>
      <c r="F7" s="4"/>
      <c r="G7" s="4"/>
      <c r="H7" s="4"/>
    </row>
    <row r="8" spans="1:8">
      <c r="A8" s="3"/>
      <c r="B8" s="3"/>
      <c r="C8" s="3"/>
      <c r="D8" s="4"/>
      <c r="E8" s="4"/>
      <c r="F8" s="4"/>
      <c r="G8" s="4"/>
      <c r="H8" s="4"/>
    </row>
    <row r="9" spans="1:8">
      <c r="A9" s="3"/>
      <c r="B9" s="3"/>
      <c r="C9" s="3"/>
      <c r="D9" s="4"/>
      <c r="E9" s="4"/>
      <c r="F9" s="4"/>
      <c r="G9" s="4"/>
      <c r="H9" s="4"/>
    </row>
    <row r="10" spans="1:8">
      <c r="A10" s="3"/>
      <c r="B10" s="3"/>
      <c r="C10" s="3"/>
      <c r="D10" s="4"/>
      <c r="E10" s="4"/>
      <c r="F10" s="4"/>
      <c r="G10" s="4"/>
      <c r="H10" s="4"/>
    </row>
    <row r="11" spans="1:8">
      <c r="A11" s="3"/>
      <c r="B11" s="3"/>
      <c r="C11" s="3"/>
      <c r="D11" s="4"/>
      <c r="E11" s="4"/>
      <c r="F11" s="4"/>
      <c r="G11" s="4"/>
      <c r="H11" s="4"/>
    </row>
    <row r="12" spans="1:8">
      <c r="A12" s="3"/>
      <c r="B12" s="3"/>
      <c r="C12" s="3"/>
      <c r="D12" s="4"/>
      <c r="E12" s="4"/>
      <c r="F12" s="4"/>
      <c r="G12" s="4"/>
      <c r="H12" s="4"/>
    </row>
    <row r="13" spans="1:8">
      <c r="A13" s="3"/>
      <c r="B13" s="3"/>
      <c r="C13" s="3"/>
      <c r="D13" s="4"/>
      <c r="E13" s="4"/>
      <c r="F13" s="4"/>
      <c r="G13" s="4"/>
      <c r="H13" s="4"/>
    </row>
    <row r="14" spans="1:8">
      <c r="A14" s="3"/>
      <c r="B14" s="3"/>
      <c r="C14" s="3"/>
      <c r="D14" s="4"/>
      <c r="E14" s="4"/>
      <c r="F14" s="4"/>
      <c r="G14" s="4"/>
      <c r="H14" s="4"/>
    </row>
    <row r="15" spans="1:8">
      <c r="A15" s="3"/>
      <c r="B15" s="3"/>
      <c r="C15" s="3"/>
      <c r="D15" s="4"/>
      <c r="E15" s="4"/>
      <c r="F15" s="4"/>
      <c r="G15" s="4"/>
      <c r="H15" s="4"/>
    </row>
    <row r="16" spans="1:8">
      <c r="A16" s="3"/>
      <c r="B16" s="3"/>
      <c r="C16" s="3"/>
      <c r="D16" s="4"/>
      <c r="E16" s="4"/>
      <c r="F16" s="4"/>
      <c r="G16" s="4"/>
      <c r="H16" s="4"/>
    </row>
    <row r="17" spans="1:8">
      <c r="A17" s="3"/>
      <c r="B17" s="3"/>
      <c r="C17" s="3"/>
      <c r="D17" s="4"/>
      <c r="E17" s="4"/>
      <c r="F17" s="4"/>
      <c r="G17" s="4"/>
      <c r="H17" s="4"/>
    </row>
    <row r="18" spans="1:8">
      <c r="A18" s="3"/>
      <c r="B18" s="3"/>
      <c r="C18" s="3"/>
      <c r="D18" s="4"/>
      <c r="E18" s="4"/>
      <c r="F18" s="4"/>
      <c r="G18" s="4"/>
      <c r="H18" s="4"/>
    </row>
    <row r="19" spans="1:8">
      <c r="A19" s="3"/>
      <c r="B19" s="3"/>
      <c r="C19" s="3"/>
      <c r="D19" s="4"/>
      <c r="E19" s="4"/>
      <c r="F19" s="4"/>
      <c r="G19" s="4"/>
      <c r="H19" s="4"/>
    </row>
    <row r="20" spans="1:8">
      <c r="A20" s="3"/>
      <c r="B20" s="3"/>
      <c r="C20" s="3"/>
      <c r="D20" s="4"/>
      <c r="E20" s="4"/>
      <c r="F20" s="4"/>
      <c r="G20" s="4"/>
      <c r="H20" s="4"/>
    </row>
    <row r="21" spans="1:8">
      <c r="A21" s="3"/>
      <c r="B21" s="3"/>
      <c r="C21" s="3"/>
      <c r="D21" s="4"/>
      <c r="E21" s="4"/>
      <c r="F21" s="4"/>
      <c r="G21" s="4"/>
      <c r="H21" s="4"/>
    </row>
    <row r="22" spans="1:8">
      <c r="A22" s="3"/>
      <c r="B22" s="3"/>
      <c r="C22" s="3"/>
      <c r="D22" s="4"/>
      <c r="E22" s="4"/>
      <c r="F22" s="4"/>
      <c r="G22" s="4"/>
      <c r="H22" s="4"/>
    </row>
    <row r="23" spans="1:8">
      <c r="A23" s="3"/>
      <c r="B23" s="3"/>
      <c r="C23" s="3"/>
      <c r="D23" s="4"/>
      <c r="E23" s="4"/>
      <c r="F23" s="4"/>
      <c r="G23" s="4"/>
      <c r="H23" s="4"/>
    </row>
    <row r="24" spans="1:8">
      <c r="A24" s="3"/>
      <c r="B24" s="3"/>
      <c r="C24" s="3"/>
      <c r="D24" s="4"/>
      <c r="E24" s="4"/>
      <c r="F24" s="4"/>
      <c r="G24" s="4"/>
      <c r="H24" s="4"/>
    </row>
    <row r="25" spans="1:8">
      <c r="A25" s="3"/>
      <c r="B25" s="3"/>
      <c r="C25" s="3"/>
      <c r="D25" s="4"/>
      <c r="E25" s="4"/>
      <c r="F25" s="4"/>
      <c r="G25" s="4"/>
      <c r="H25" s="4"/>
    </row>
    <row r="26" spans="1:8">
      <c r="A26" s="3"/>
      <c r="B26" s="3"/>
      <c r="C26" s="3"/>
      <c r="D26" s="4"/>
      <c r="E26" s="4"/>
      <c r="F26" s="4"/>
      <c r="G26" s="4"/>
      <c r="H26" s="4"/>
    </row>
    <row r="27" spans="1:8">
      <c r="A27" s="3"/>
      <c r="B27" s="3"/>
      <c r="C27" s="3"/>
      <c r="D27" s="4"/>
      <c r="E27" s="4"/>
      <c r="F27" s="4"/>
      <c r="G27" s="4"/>
      <c r="H27" s="4"/>
    </row>
    <row r="28" spans="1:8">
      <c r="A28" s="3"/>
      <c r="B28" s="3"/>
      <c r="C28" s="3"/>
      <c r="D28" s="4"/>
      <c r="E28" s="4"/>
      <c r="F28" s="4"/>
      <c r="G28" s="4"/>
      <c r="H28" s="4"/>
    </row>
    <row r="29" spans="1:8">
      <c r="A29" s="3"/>
      <c r="B29" s="3"/>
      <c r="C29" s="3"/>
      <c r="D29" s="4"/>
      <c r="E29" s="4"/>
      <c r="F29" s="4"/>
      <c r="G29" s="4"/>
      <c r="H29" s="4"/>
    </row>
    <row r="30" spans="1:8">
      <c r="A30" s="3"/>
      <c r="B30" s="3"/>
      <c r="C30" s="3"/>
      <c r="D30" s="4"/>
      <c r="E30" s="4"/>
      <c r="F30" s="4"/>
      <c r="G30" s="4"/>
      <c r="H30" s="4"/>
    </row>
    <row r="31" spans="1:8">
      <c r="A31" s="3"/>
      <c r="B31" s="3"/>
      <c r="C31" s="3"/>
      <c r="D31" s="4"/>
      <c r="E31" s="4"/>
      <c r="F31" s="4"/>
      <c r="G31" s="4"/>
      <c r="H31" s="4"/>
    </row>
    <row r="32" spans="1:8">
      <c r="A32" s="3"/>
      <c r="B32" s="3"/>
      <c r="C32" s="3"/>
      <c r="D32" s="4"/>
      <c r="E32" s="4"/>
      <c r="F32" s="4"/>
      <c r="G32" s="4"/>
      <c r="H32" s="4"/>
    </row>
    <row r="33" spans="1:8">
      <c r="A33" s="3"/>
      <c r="B33" s="3"/>
      <c r="C33" s="3"/>
      <c r="D33" s="4"/>
      <c r="E33" s="4"/>
      <c r="F33" s="4"/>
      <c r="G33" s="4"/>
      <c r="H33" s="4"/>
    </row>
    <row r="34" spans="1:8">
      <c r="A34" s="3"/>
      <c r="B34" s="3"/>
      <c r="C34" s="3"/>
      <c r="D34" s="4"/>
      <c r="E34" s="4"/>
      <c r="F34" s="4"/>
      <c r="G34" s="4"/>
      <c r="H34" s="4"/>
    </row>
    <row r="35" spans="1:8">
      <c r="A35" s="3"/>
      <c r="B35" s="3"/>
      <c r="C35" s="3"/>
      <c r="D35" s="4"/>
      <c r="E35" s="4"/>
      <c r="F35" s="4"/>
      <c r="G35" s="4"/>
      <c r="H35" s="4"/>
    </row>
    <row r="36" spans="1:8">
      <c r="A36" s="3"/>
      <c r="B36" s="3"/>
      <c r="C36" s="3"/>
      <c r="D36" s="4"/>
      <c r="E36" s="4"/>
      <c r="F36" s="4"/>
      <c r="G36" s="4"/>
      <c r="H36" s="4"/>
    </row>
    <row r="37" spans="1:8">
      <c r="A37" s="3"/>
      <c r="B37" s="3"/>
      <c r="C37" s="3"/>
      <c r="D37" s="4"/>
      <c r="E37" s="4"/>
      <c r="F37" s="4"/>
      <c r="G37" s="4"/>
      <c r="H37" s="4"/>
    </row>
    <row r="38" spans="1:8">
      <c r="A38" s="3"/>
      <c r="B38" s="3"/>
      <c r="C38" s="3"/>
      <c r="D38" s="4"/>
      <c r="E38" s="4"/>
      <c r="F38" s="4"/>
      <c r="G38" s="4"/>
      <c r="H38" s="4"/>
    </row>
    <row r="39" spans="1:8">
      <c r="A39" s="3"/>
      <c r="B39" s="3"/>
      <c r="C39" s="3"/>
      <c r="D39" s="4"/>
      <c r="E39" s="4"/>
      <c r="F39" s="4"/>
      <c r="G39" s="4"/>
      <c r="H39" s="4"/>
    </row>
    <row r="40" spans="1:8">
      <c r="A40" s="3"/>
      <c r="B40" s="3"/>
      <c r="C40" s="3"/>
      <c r="D40" s="4"/>
      <c r="E40" s="4"/>
      <c r="F40" s="4"/>
      <c r="G40" s="4"/>
      <c r="H40" s="4"/>
    </row>
    <row r="41" spans="1:8">
      <c r="A41" s="3"/>
      <c r="B41" s="3"/>
      <c r="C41" s="3"/>
      <c r="D41" s="4"/>
      <c r="E41" s="4"/>
      <c r="F41" s="4"/>
      <c r="G41" s="4"/>
      <c r="H41" s="4"/>
    </row>
    <row r="42" spans="1:8">
      <c r="A42" s="3"/>
      <c r="B42" s="3"/>
      <c r="C42" s="3"/>
      <c r="D42" s="4"/>
      <c r="E42" s="4"/>
      <c r="F42" s="4"/>
      <c r="G42" s="4"/>
      <c r="H42" s="4"/>
    </row>
    <row r="43" spans="1:8">
      <c r="A43" s="3"/>
      <c r="B43" s="3"/>
      <c r="C43" s="3"/>
      <c r="D43" s="4"/>
      <c r="E43" s="4"/>
      <c r="F43" s="4"/>
      <c r="G43" s="4"/>
      <c r="H43" s="4"/>
    </row>
    <row r="44" spans="1:8">
      <c r="A44" s="3"/>
      <c r="B44" s="3"/>
      <c r="C44" s="3"/>
      <c r="D44" s="4"/>
      <c r="E44" s="4"/>
      <c r="F44" s="4"/>
      <c r="G44" s="4"/>
      <c r="H44" s="4"/>
    </row>
    <row r="45" spans="1:8">
      <c r="A45" s="3"/>
      <c r="B45" s="3"/>
      <c r="C45" s="3"/>
      <c r="D45" s="4"/>
      <c r="E45" s="4"/>
      <c r="F45" s="4"/>
      <c r="G45" s="4"/>
      <c r="H45" s="4"/>
    </row>
    <row r="46" spans="1:8">
      <c r="A46" s="3"/>
      <c r="B46" s="3"/>
      <c r="C46" s="3"/>
      <c r="D46" s="4"/>
      <c r="E46" s="4"/>
      <c r="F46" s="4"/>
      <c r="G46" s="4"/>
      <c r="H46" s="4"/>
    </row>
    <row r="47" spans="1:8">
      <c r="A47" s="3"/>
      <c r="B47" s="3"/>
      <c r="C47" s="3"/>
      <c r="D47" s="4"/>
      <c r="E47" s="4"/>
      <c r="F47" s="4"/>
      <c r="G47" s="4"/>
      <c r="H47" s="4"/>
    </row>
    <row r="48" spans="1:8">
      <c r="A48" s="3"/>
      <c r="B48" s="3"/>
      <c r="C48" s="3"/>
      <c r="D48" s="4"/>
      <c r="E48" s="4"/>
      <c r="F48" s="4"/>
      <c r="G48" s="4"/>
      <c r="H48" s="4"/>
    </row>
    <row r="49" spans="1:8">
      <c r="A49" s="3"/>
      <c r="B49" s="3"/>
      <c r="C49" s="3"/>
      <c r="D49" s="4"/>
      <c r="E49" s="4"/>
      <c r="F49" s="4"/>
      <c r="G49" s="4"/>
      <c r="H49" s="4"/>
    </row>
    <row r="50" spans="1:8">
      <c r="A50" s="3"/>
      <c r="B50" s="3"/>
      <c r="C50" s="3"/>
      <c r="D50" s="4"/>
      <c r="E50" s="4"/>
      <c r="F50" s="4"/>
      <c r="G50" s="4"/>
      <c r="H50" s="4"/>
    </row>
    <row r="51" spans="1:8">
      <c r="A51" s="3"/>
      <c r="B51" s="3"/>
      <c r="C51" s="3"/>
      <c r="D51" s="4"/>
      <c r="E51" s="4"/>
      <c r="F51" s="4"/>
      <c r="G51" s="4"/>
      <c r="H51" s="4"/>
    </row>
    <row r="52" spans="1:8">
      <c r="A52" s="3"/>
      <c r="B52" s="3"/>
      <c r="C52" s="3"/>
      <c r="D52" s="4"/>
      <c r="E52" s="4"/>
      <c r="F52" s="4"/>
      <c r="G52" s="4"/>
      <c r="H52" s="4"/>
    </row>
    <row r="53" spans="1:8">
      <c r="A53" s="3"/>
      <c r="B53" s="3"/>
      <c r="C53" s="3"/>
      <c r="D53" s="4"/>
      <c r="E53" s="4"/>
      <c r="F53" s="4"/>
      <c r="G53" s="4"/>
      <c r="H53" s="4"/>
    </row>
    <row r="54" spans="1:8">
      <c r="A54" s="3"/>
      <c r="B54" s="3"/>
      <c r="C54" s="3"/>
      <c r="D54" s="4"/>
      <c r="E54" s="4"/>
      <c r="F54" s="4"/>
      <c r="G54" s="4"/>
      <c r="H54" s="4"/>
    </row>
    <row r="55" spans="1:8">
      <c r="A55" s="3"/>
      <c r="B55" s="3"/>
      <c r="C55" s="3"/>
      <c r="D55" s="4"/>
      <c r="E55" s="4"/>
      <c r="F55" s="4"/>
      <c r="G55" s="4"/>
      <c r="H55" s="4"/>
    </row>
    <row r="56" spans="1:8">
      <c r="A56" s="3"/>
      <c r="B56" s="3"/>
      <c r="C56" s="3"/>
      <c r="D56" s="4"/>
      <c r="E56" s="4"/>
      <c r="F56" s="4"/>
      <c r="G56" s="4"/>
      <c r="H56" s="4"/>
    </row>
    <row r="57" spans="1:8">
      <c r="A57" s="3"/>
      <c r="B57" s="3"/>
      <c r="C57" s="3"/>
      <c r="D57" s="4"/>
      <c r="E57" s="4"/>
      <c r="F57" s="4"/>
      <c r="G57" s="4"/>
      <c r="H57" s="4"/>
    </row>
    <row r="58" spans="1:8">
      <c r="A58" s="3"/>
      <c r="B58" s="3"/>
      <c r="C58" s="3"/>
      <c r="D58" s="4"/>
      <c r="E58" s="4"/>
      <c r="F58" s="4"/>
      <c r="G58" s="4"/>
      <c r="H58" s="4"/>
    </row>
    <row r="59" spans="1:8">
      <c r="A59" s="3"/>
      <c r="B59" s="3"/>
      <c r="C59" s="3"/>
      <c r="D59" s="4"/>
      <c r="E59" s="4"/>
      <c r="F59" s="4"/>
      <c r="G59" s="4"/>
      <c r="H59" s="4"/>
    </row>
    <row r="60" spans="1:8">
      <c r="A60" s="3"/>
      <c r="B60" s="3"/>
      <c r="C60" s="3"/>
      <c r="D60" s="4"/>
      <c r="E60" s="4"/>
      <c r="F60" s="4"/>
      <c r="G60" s="4"/>
      <c r="H60" s="4"/>
    </row>
    <row r="61" spans="1:8">
      <c r="A61" s="3"/>
      <c r="B61" s="3"/>
      <c r="C61" s="3"/>
      <c r="D61" s="4"/>
      <c r="E61" s="4"/>
      <c r="F61" s="4"/>
      <c r="G61" s="4"/>
      <c r="H61" s="4"/>
    </row>
    <row r="62" spans="1:8">
      <c r="A62" s="3"/>
      <c r="B62" s="3"/>
      <c r="C62" s="3"/>
      <c r="D62" s="4"/>
      <c r="E62" s="4"/>
      <c r="F62" s="4"/>
      <c r="G62" s="4"/>
      <c r="H62" s="4"/>
    </row>
    <row r="63" spans="1:8">
      <c r="A63" s="3"/>
      <c r="B63" s="3"/>
      <c r="C63" s="3"/>
      <c r="D63" s="4"/>
      <c r="E63" s="4"/>
      <c r="F63" s="4"/>
      <c r="G63" s="4"/>
      <c r="H63" s="4"/>
    </row>
    <row r="64" spans="1:8">
      <c r="A64" s="3"/>
      <c r="B64" s="3"/>
      <c r="C64" s="3"/>
      <c r="D64" s="4"/>
      <c r="E64" s="4"/>
      <c r="F64" s="4"/>
      <c r="G64" s="4"/>
      <c r="H64" s="4"/>
    </row>
    <row r="65" spans="1:8">
      <c r="A65" s="3"/>
      <c r="B65" s="3"/>
      <c r="C65" s="3"/>
      <c r="D65" s="4"/>
      <c r="E65" s="4"/>
      <c r="F65" s="4"/>
      <c r="G65" s="4"/>
      <c r="H65" s="4"/>
    </row>
    <row r="66" spans="1:8">
      <c r="A66" s="3"/>
      <c r="B66" s="3"/>
      <c r="C66" s="3"/>
      <c r="D66" s="4"/>
      <c r="E66" s="4"/>
      <c r="F66" s="4"/>
      <c r="G66" s="4"/>
      <c r="H66" s="4"/>
    </row>
    <row r="67" spans="1:8">
      <c r="A67" s="3"/>
      <c r="B67" s="3"/>
      <c r="C67" s="3"/>
      <c r="D67" s="4"/>
      <c r="E67" s="4"/>
      <c r="F67" s="4"/>
      <c r="G67" s="4"/>
      <c r="H67" s="4"/>
    </row>
    <row r="68" spans="1:8">
      <c r="A68" s="3"/>
      <c r="B68" s="3"/>
      <c r="C68" s="3"/>
      <c r="D68" s="4"/>
      <c r="E68" s="4"/>
      <c r="F68" s="4"/>
      <c r="G68" s="4"/>
      <c r="H68" s="4"/>
    </row>
    <row r="69" spans="1:8">
      <c r="A69" s="3"/>
      <c r="B69" s="3"/>
      <c r="C69" s="3"/>
      <c r="D69" s="4"/>
      <c r="E69" s="4"/>
      <c r="F69" s="4"/>
      <c r="G69" s="4"/>
      <c r="H69" s="4"/>
    </row>
    <row r="70" spans="1:8">
      <c r="A70" s="3"/>
      <c r="B70" s="3"/>
      <c r="C70" s="3"/>
      <c r="D70" s="4"/>
      <c r="E70" s="4"/>
      <c r="F70" s="4"/>
      <c r="G70" s="4"/>
      <c r="H70" s="4"/>
    </row>
    <row r="71" spans="1:8">
      <c r="A71" s="3"/>
      <c r="B71" s="3"/>
      <c r="C71" s="3"/>
      <c r="D71" s="4"/>
      <c r="E71" s="4"/>
      <c r="F71" s="4"/>
      <c r="G71" s="4"/>
      <c r="H71" s="4"/>
    </row>
    <row r="72" spans="1:8">
      <c r="A72" s="3"/>
      <c r="B72" s="3"/>
      <c r="C72" s="3"/>
      <c r="D72" s="4"/>
      <c r="E72" s="4"/>
      <c r="F72" s="4"/>
      <c r="G72" s="4"/>
      <c r="H72" s="4"/>
    </row>
    <row r="73" spans="1:8">
      <c r="A73" s="3"/>
      <c r="B73" s="3"/>
      <c r="C73" s="3"/>
      <c r="D73" s="4"/>
      <c r="E73" s="4"/>
      <c r="F73" s="4"/>
      <c r="G73" s="4"/>
      <c r="H73" s="4"/>
    </row>
    <row r="74" spans="1:8">
      <c r="A74" s="3"/>
      <c r="B74" s="3"/>
      <c r="C74" s="3"/>
      <c r="D74" s="4"/>
      <c r="E74" s="4"/>
      <c r="F74" s="4"/>
      <c r="G74" s="4"/>
      <c r="H74" s="4"/>
    </row>
    <row r="75" spans="1:8">
      <c r="A75" s="3"/>
      <c r="B75" s="3"/>
      <c r="C75" s="3"/>
      <c r="D75" s="4"/>
      <c r="E75" s="4"/>
      <c r="F75" s="4"/>
      <c r="G75" s="4"/>
      <c r="H75" s="4"/>
    </row>
    <row r="76" spans="1:8">
      <c r="A76" s="3"/>
      <c r="B76" s="3"/>
      <c r="C76" s="3"/>
      <c r="D76" s="4"/>
      <c r="E76" s="4"/>
      <c r="F76" s="4"/>
      <c r="G76" s="4"/>
      <c r="H76" s="4"/>
    </row>
    <row r="77" spans="1:8">
      <c r="A77" s="3"/>
      <c r="B77" s="3"/>
      <c r="C77" s="3"/>
      <c r="D77" s="4"/>
      <c r="E77" s="4"/>
      <c r="F77" s="4"/>
      <c r="G77" s="4"/>
      <c r="H77" s="4"/>
    </row>
    <row r="78" spans="1:8">
      <c r="A78" s="3"/>
      <c r="B78" s="3"/>
      <c r="C78" s="3"/>
      <c r="D78" s="4"/>
      <c r="E78" s="4"/>
      <c r="F78" s="4"/>
      <c r="G78" s="4"/>
      <c r="H78" s="4"/>
    </row>
    <row r="79" spans="1:8">
      <c r="A79" s="3"/>
      <c r="B79" s="3"/>
      <c r="C79" s="3"/>
      <c r="D79" s="4"/>
      <c r="E79" s="4"/>
      <c r="F79" s="4"/>
      <c r="G79" s="4"/>
      <c r="H79" s="4"/>
    </row>
    <row r="80" spans="1:8">
      <c r="A80" s="3"/>
      <c r="B80" s="3"/>
      <c r="C80" s="3"/>
      <c r="D80" s="4"/>
      <c r="E80" s="4"/>
      <c r="F80" s="4"/>
      <c r="G80" s="4"/>
      <c r="H80" s="4"/>
    </row>
    <row r="81" spans="1:8">
      <c r="A81" s="3"/>
      <c r="B81" s="3"/>
      <c r="C81" s="3"/>
      <c r="D81" s="4"/>
      <c r="E81" s="4"/>
      <c r="F81" s="4"/>
      <c r="G81" s="4"/>
      <c r="H81" s="4"/>
    </row>
    <row r="82" spans="1:8">
      <c r="A82" s="3"/>
      <c r="B82" s="3"/>
      <c r="C82" s="3"/>
      <c r="D82" s="4"/>
      <c r="E82" s="4"/>
      <c r="F82" s="4"/>
      <c r="G82" s="4"/>
      <c r="H82" s="4"/>
    </row>
    <row r="83" spans="1:8">
      <c r="A83" s="3"/>
      <c r="B83" s="3"/>
      <c r="C83" s="3"/>
      <c r="D83" s="4"/>
      <c r="E83" s="4"/>
      <c r="F83" s="4"/>
      <c r="G83" s="4"/>
      <c r="H83" s="4"/>
    </row>
    <row r="84" spans="1:8">
      <c r="A84" s="3"/>
      <c r="B84" s="3"/>
      <c r="C84" s="3"/>
      <c r="D84" s="4"/>
      <c r="E84" s="4"/>
      <c r="F84" s="4"/>
      <c r="G84" s="4"/>
      <c r="H84" s="4"/>
    </row>
    <row r="85" spans="1:8">
      <c r="A85" s="3"/>
      <c r="B85" s="3"/>
      <c r="C85" s="3"/>
      <c r="D85" s="4"/>
      <c r="E85" s="4"/>
      <c r="F85" s="4"/>
      <c r="G85" s="4"/>
      <c r="H85" s="4"/>
    </row>
    <row r="86" spans="1:8">
      <c r="A86" s="3"/>
      <c r="B86" s="3"/>
      <c r="C86" s="3"/>
      <c r="D86" s="4"/>
      <c r="E86" s="4"/>
      <c r="F86" s="4"/>
      <c r="G86" s="4"/>
      <c r="H86" s="4"/>
    </row>
    <row r="87" spans="1:8">
      <c r="A87" s="3"/>
      <c r="B87" s="3"/>
      <c r="C87" s="3"/>
      <c r="D87" s="4"/>
      <c r="E87" s="4"/>
      <c r="F87" s="4"/>
      <c r="G87" s="4"/>
      <c r="H87" s="4"/>
    </row>
    <row r="88" spans="1:8">
      <c r="A88" s="3"/>
      <c r="B88" s="3"/>
      <c r="C88" s="3"/>
      <c r="D88" s="4"/>
      <c r="E88" s="4"/>
      <c r="F88" s="4"/>
      <c r="G88" s="4"/>
      <c r="H88" s="4"/>
    </row>
    <row r="89" spans="1:8">
      <c r="A89" s="3"/>
      <c r="B89" s="3"/>
      <c r="C89" s="3"/>
      <c r="D89" s="4"/>
      <c r="E89" s="4"/>
      <c r="F89" s="4"/>
      <c r="G89" s="4"/>
      <c r="H89" s="4"/>
    </row>
    <row r="90" spans="1:8">
      <c r="A90" s="3"/>
      <c r="B90" s="3"/>
      <c r="C90" s="3"/>
      <c r="D90" s="4"/>
      <c r="E90" s="4"/>
      <c r="F90" s="4"/>
      <c r="G90" s="4"/>
      <c r="H90" s="4"/>
    </row>
    <row r="91" spans="1:8">
      <c r="A91" s="3"/>
      <c r="B91" s="3"/>
      <c r="C91" s="3"/>
      <c r="D91" s="4"/>
      <c r="E91" s="4"/>
      <c r="F91" s="4"/>
      <c r="G91" s="4"/>
      <c r="H91" s="4"/>
    </row>
    <row r="92" spans="1:8">
      <c r="A92" s="3"/>
      <c r="B92" s="3"/>
      <c r="C92" s="3"/>
      <c r="D92" s="4"/>
      <c r="E92" s="4"/>
      <c r="F92" s="4"/>
      <c r="G92" s="4"/>
      <c r="H92" s="4"/>
    </row>
    <row r="93" spans="1:8">
      <c r="A93" s="3"/>
      <c r="B93" s="3"/>
      <c r="C93" s="3"/>
      <c r="D93" s="4"/>
      <c r="E93" s="4"/>
      <c r="F93" s="4"/>
      <c r="G93" s="4"/>
      <c r="H93" s="4"/>
    </row>
    <row r="94" spans="1:8">
      <c r="A94" s="3"/>
      <c r="B94" s="3"/>
      <c r="C94" s="3"/>
      <c r="D94" s="4"/>
      <c r="E94" s="4"/>
      <c r="F94" s="4"/>
      <c r="G94" s="4"/>
      <c r="H94" s="4"/>
    </row>
    <row r="95" spans="1:8">
      <c r="A95" s="3"/>
      <c r="B95" s="3"/>
      <c r="C95" s="3"/>
      <c r="D95" s="4"/>
      <c r="E95" s="4"/>
      <c r="F95" s="4"/>
      <c r="G95" s="4"/>
      <c r="H95" s="4"/>
    </row>
    <row r="96" spans="1:8">
      <c r="A96" s="3"/>
      <c r="B96" s="3"/>
      <c r="C96" s="3"/>
      <c r="D96" s="4"/>
      <c r="E96" s="4"/>
      <c r="F96" s="4"/>
      <c r="G96" s="4"/>
      <c r="H96" s="4"/>
    </row>
    <row r="97" spans="1:8">
      <c r="A97" s="3"/>
      <c r="B97" s="3"/>
      <c r="C97" s="3"/>
      <c r="D97" s="4"/>
      <c r="E97" s="4"/>
      <c r="F97" s="4"/>
      <c r="G97" s="4"/>
      <c r="H97" s="4"/>
    </row>
    <row r="98" spans="1:8">
      <c r="A98" s="3"/>
      <c r="B98" s="3"/>
      <c r="C98" s="3"/>
      <c r="D98" s="4"/>
      <c r="E98" s="4"/>
      <c r="F98" s="4"/>
      <c r="G98" s="4"/>
      <c r="H98" s="4"/>
    </row>
    <row r="99" spans="1:8">
      <c r="A99" s="3"/>
      <c r="B99" s="3"/>
      <c r="C99" s="3"/>
      <c r="D99" s="4"/>
      <c r="E99" s="4"/>
      <c r="F99" s="4"/>
      <c r="G99" s="4"/>
      <c r="H99" s="4"/>
    </row>
    <row r="100" spans="1:8">
      <c r="A100" s="3"/>
      <c r="B100" s="3"/>
      <c r="C100" s="3"/>
      <c r="D100" s="4"/>
      <c r="E100" s="4"/>
      <c r="F100" s="4"/>
      <c r="G100" s="4"/>
      <c r="H100" s="4"/>
    </row>
    <row r="101" spans="1:8">
      <c r="A101" s="3"/>
      <c r="B101" s="3"/>
      <c r="C101" s="3"/>
      <c r="D101" s="4"/>
      <c r="E101" s="4"/>
      <c r="F101" s="4"/>
      <c r="G101" s="4"/>
      <c r="H101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1063"/>
  <sheetViews>
    <sheetView showGridLines="0" topLeftCell="A1033" workbookViewId="0"/>
  </sheetViews>
  <sheetFormatPr defaultRowHeight="14.25"/>
  <cols>
    <col min="1" max="1" width="17.125" bestFit="1" customWidth="1"/>
    <col min="2" max="2" width="22.125" bestFit="1" customWidth="1"/>
    <col min="3" max="3" width="10.875" bestFit="1" customWidth="1"/>
    <col min="4" max="4" width="9.375" bestFit="1" customWidth="1"/>
    <col min="5" max="5" width="19.5" bestFit="1" customWidth="1"/>
    <col min="6" max="6" width="12.25" bestFit="1" customWidth="1"/>
    <col min="7" max="8" width="14" bestFit="1" customWidth="1"/>
    <col min="9" max="9" width="18.375" bestFit="1" customWidth="1"/>
    <col min="10" max="10" width="11" bestFit="1" customWidth="1"/>
    <col min="11" max="11" width="14.5" bestFit="1" customWidth="1"/>
    <col min="12" max="12" width="11.25" bestFit="1" customWidth="1"/>
    <col min="13" max="13" width="11.625" bestFit="1" customWidth="1"/>
    <col min="14" max="14" width="23.25" bestFit="1" customWidth="1"/>
    <col min="15" max="15" width="15" bestFit="1" customWidth="1"/>
    <col min="16" max="16" width="26.5" bestFit="1" customWidth="1"/>
    <col min="17" max="17" width="18.625" bestFit="1" customWidth="1"/>
    <col min="18" max="18" width="10.375" bestFit="1" customWidth="1"/>
    <col min="19" max="19" width="14.75" bestFit="1" customWidth="1"/>
    <col min="20" max="20" width="19.25" bestFit="1" customWidth="1"/>
    <col min="21" max="21" width="15.75" bestFit="1" customWidth="1"/>
    <col min="22" max="22" width="14.75" bestFit="1" customWidth="1"/>
    <col min="23" max="23" width="18.5" bestFit="1" customWidth="1"/>
    <col min="24" max="24" width="15.375" bestFit="1" customWidth="1"/>
    <col min="25" max="25" width="15.5" bestFit="1" customWidth="1"/>
    <col min="26" max="26" width="17.5" bestFit="1" customWidth="1"/>
    <col min="27" max="27" width="10.875" bestFit="1" customWidth="1"/>
    <col min="28" max="28" width="12.125" bestFit="1" customWidth="1"/>
    <col min="29" max="29" width="16.375" bestFit="1" customWidth="1"/>
    <col min="30" max="30" width="20.75" bestFit="1" customWidth="1"/>
    <col min="31" max="31" width="22.875" bestFit="1" customWidth="1"/>
    <col min="32" max="32" width="13.5" bestFit="1" customWidth="1"/>
    <col min="33" max="33" width="14.25" bestFit="1" customWidth="1"/>
    <col min="34" max="34" width="12.25" bestFit="1" customWidth="1"/>
    <col min="35" max="35" width="35" bestFit="1" customWidth="1"/>
    <col min="36" max="36" width="15.25" bestFit="1" customWidth="1"/>
    <col min="37" max="37" width="18" bestFit="1" customWidth="1"/>
    <col min="38" max="38" width="19.375" bestFit="1" customWidth="1"/>
    <col min="39" max="39" width="12" bestFit="1" customWidth="1"/>
    <col min="40" max="40" width="8.125" bestFit="1" customWidth="1"/>
    <col min="41" max="41" width="14.5" bestFit="1" customWidth="1"/>
    <col min="42" max="42" width="6.375" bestFit="1" customWidth="1"/>
    <col min="43" max="43" width="10.625" bestFit="1" customWidth="1"/>
    <col min="44" max="44" width="12.875" bestFit="1" customWidth="1"/>
    <col min="45" max="45" width="11.5" bestFit="1" customWidth="1"/>
    <col min="46" max="46" width="10.75" bestFit="1" customWidth="1"/>
    <col min="47" max="47" width="12.125" bestFit="1" customWidth="1"/>
    <col min="48" max="48" width="25.875" bestFit="1" customWidth="1"/>
    <col min="49" max="49" width="11" bestFit="1" customWidth="1"/>
    <col min="50" max="50" width="22" bestFit="1" customWidth="1"/>
    <col min="51" max="51" width="13.875" bestFit="1" customWidth="1"/>
    <col min="52" max="52" width="13.75" bestFit="1" customWidth="1"/>
    <col min="53" max="53" width="17.875" bestFit="1" customWidth="1"/>
    <col min="54" max="54" width="22" bestFit="1" customWidth="1"/>
    <col min="55" max="55" width="15.875" bestFit="1" customWidth="1"/>
    <col min="56" max="56" width="15.25" bestFit="1" customWidth="1"/>
    <col min="57" max="57" width="19.5" bestFit="1" customWidth="1"/>
    <col min="58" max="58" width="18.5" bestFit="1" customWidth="1"/>
    <col min="59" max="59" width="17.625" bestFit="1" customWidth="1"/>
    <col min="60" max="60" width="19.75" bestFit="1" customWidth="1"/>
    <col min="61" max="61" width="22.5" bestFit="1" customWidth="1"/>
    <col min="62" max="62" width="25.125" bestFit="1" customWidth="1"/>
    <col min="63" max="63" width="15.125" bestFit="1" customWidth="1"/>
    <col min="64" max="64" width="15.75" bestFit="1" customWidth="1"/>
    <col min="65" max="65" width="18.375" bestFit="1" customWidth="1"/>
    <col min="66" max="66" width="16.5" bestFit="1" customWidth="1"/>
    <col min="67" max="67" width="13.5" bestFit="1" customWidth="1"/>
    <col min="68" max="68" width="24.5" bestFit="1" customWidth="1"/>
    <col min="69" max="69" width="22.5" bestFit="1" customWidth="1"/>
    <col min="70" max="70" width="31.75" bestFit="1" customWidth="1"/>
    <col min="71" max="71" width="20.375" bestFit="1" customWidth="1"/>
    <col min="72" max="72" width="23" bestFit="1" customWidth="1"/>
    <col min="73" max="73" width="44.625" bestFit="1" customWidth="1"/>
    <col min="74" max="74" width="24.5" bestFit="1" customWidth="1"/>
    <col min="75" max="75" width="75.875" bestFit="1" customWidth="1"/>
  </cols>
  <sheetData>
    <row r="1" spans="1:7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51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  <c r="AM1" t="s">
        <v>113</v>
      </c>
      <c r="AN1" t="s">
        <v>114</v>
      </c>
      <c r="AO1" t="s">
        <v>115</v>
      </c>
      <c r="AP1" t="s">
        <v>116</v>
      </c>
      <c r="AQ1" t="s">
        <v>117</v>
      </c>
      <c r="AR1" t="s">
        <v>118</v>
      </c>
      <c r="AS1" t="s">
        <v>119</v>
      </c>
      <c r="AT1" t="s">
        <v>120</v>
      </c>
      <c r="AU1" t="s">
        <v>121</v>
      </c>
      <c r="AV1" t="s">
        <v>122</v>
      </c>
      <c r="AW1" t="s">
        <v>123</v>
      </c>
      <c r="AX1" t="s">
        <v>124</v>
      </c>
      <c r="AY1" t="s">
        <v>125</v>
      </c>
      <c r="AZ1" t="s">
        <v>126</v>
      </c>
      <c r="BA1" t="s">
        <v>127</v>
      </c>
      <c r="BB1" t="s">
        <v>128</v>
      </c>
      <c r="BC1" t="s">
        <v>129</v>
      </c>
      <c r="BD1" t="s">
        <v>130</v>
      </c>
      <c r="BE1" t="s">
        <v>131</v>
      </c>
      <c r="BF1" t="s">
        <v>132</v>
      </c>
      <c r="BG1" t="s">
        <v>133</v>
      </c>
      <c r="BH1" t="s">
        <v>134</v>
      </c>
      <c r="BI1" t="s">
        <v>135</v>
      </c>
      <c r="BJ1" t="s">
        <v>136</v>
      </c>
      <c r="BK1" t="s">
        <v>137</v>
      </c>
      <c r="BL1" t="s">
        <v>138</v>
      </c>
      <c r="BM1" t="s">
        <v>139</v>
      </c>
      <c r="BN1" t="s">
        <v>140</v>
      </c>
      <c r="BO1" t="s">
        <v>141</v>
      </c>
      <c r="BP1" t="s">
        <v>142</v>
      </c>
      <c r="BQ1" t="s">
        <v>143</v>
      </c>
      <c r="BR1" t="s">
        <v>144</v>
      </c>
      <c r="BS1" t="s">
        <v>145</v>
      </c>
      <c r="BT1" t="s">
        <v>146</v>
      </c>
      <c r="BU1" t="s">
        <v>147</v>
      </c>
      <c r="BV1" t="s">
        <v>148</v>
      </c>
      <c r="BW1" t="s">
        <v>149</v>
      </c>
    </row>
    <row r="2" spans="1:75">
      <c r="A2" t="s">
        <v>243</v>
      </c>
      <c r="B2" t="s">
        <v>252</v>
      </c>
      <c r="C2">
        <v>914</v>
      </c>
      <c r="D2" t="s">
        <v>253</v>
      </c>
      <c r="E2" t="s">
        <v>254</v>
      </c>
      <c r="F2">
        <v>5</v>
      </c>
      <c r="G2" s="13">
        <v>46262.214490740742</v>
      </c>
      <c r="H2" s="13">
        <v>46262.214814814812</v>
      </c>
      <c r="I2">
        <v>28</v>
      </c>
      <c r="J2" t="s">
        <v>255</v>
      </c>
      <c r="K2">
        <v>1</v>
      </c>
      <c r="L2">
        <v>0.04</v>
      </c>
      <c r="M2">
        <v>0.04</v>
      </c>
      <c r="N2">
        <v>1</v>
      </c>
      <c r="O2">
        <v>0.04</v>
      </c>
      <c r="P2">
        <v>0.68</v>
      </c>
      <c r="Q2">
        <v>3.52</v>
      </c>
      <c r="R2">
        <v>2.12</v>
      </c>
      <c r="S2" t="s">
        <v>256</v>
      </c>
      <c r="T2" t="s">
        <v>257</v>
      </c>
      <c r="U2">
        <v>10</v>
      </c>
      <c r="V2">
        <v>6066.04</v>
      </c>
      <c r="W2">
        <v>4999.3599999999997</v>
      </c>
      <c r="X2">
        <v>4999.32</v>
      </c>
      <c r="Y2">
        <v>0</v>
      </c>
      <c r="Z2">
        <v>0</v>
      </c>
      <c r="AA2">
        <v>35</v>
      </c>
      <c r="AB2">
        <v>50</v>
      </c>
      <c r="AC2">
        <v>5000</v>
      </c>
      <c r="AD2">
        <v>0</v>
      </c>
      <c r="AE2">
        <v>0</v>
      </c>
      <c r="AF2">
        <v>6068.76</v>
      </c>
      <c r="AG2">
        <v>6068.76</v>
      </c>
      <c r="AH2" s="14">
        <v>46262</v>
      </c>
      <c r="AI2" t="s">
        <v>258</v>
      </c>
      <c r="AJ2" s="13">
        <v>46262.213402777779</v>
      </c>
      <c r="AK2">
        <v>6066.68</v>
      </c>
      <c r="AL2" t="s">
        <v>259</v>
      </c>
      <c r="AM2" t="s">
        <v>260</v>
      </c>
      <c r="AN2">
        <v>1400</v>
      </c>
      <c r="AO2">
        <v>0</v>
      </c>
      <c r="AP2">
        <v>35</v>
      </c>
      <c r="AQ2">
        <v>85</v>
      </c>
      <c r="AR2">
        <v>35</v>
      </c>
      <c r="AS2">
        <v>2</v>
      </c>
      <c r="AT2">
        <v>23</v>
      </c>
      <c r="AU2">
        <v>1</v>
      </c>
      <c r="AV2">
        <v>0</v>
      </c>
      <c r="AW2">
        <v>10</v>
      </c>
      <c r="AX2">
        <v>1</v>
      </c>
      <c r="AY2">
        <v>10</v>
      </c>
      <c r="AZ2">
        <v>5</v>
      </c>
      <c r="BA2">
        <v>1</v>
      </c>
      <c r="BB2">
        <v>1440</v>
      </c>
      <c r="BC2">
        <v>0</v>
      </c>
      <c r="BD2">
        <v>0</v>
      </c>
      <c r="BE2">
        <v>14</v>
      </c>
      <c r="BF2">
        <v>25</v>
      </c>
      <c r="BG2">
        <v>3</v>
      </c>
      <c r="BH2">
        <v>8</v>
      </c>
      <c r="BI2">
        <v>3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0</v>
      </c>
      <c r="BQ2">
        <v>60</v>
      </c>
      <c r="BR2">
        <v>0</v>
      </c>
      <c r="BS2">
        <v>3</v>
      </c>
      <c r="BT2" t="s">
        <v>243</v>
      </c>
      <c r="BU2" t="s">
        <v>261</v>
      </c>
      <c r="BV2" t="b">
        <v>0</v>
      </c>
      <c r="BW2" t="s">
        <v>262</v>
      </c>
    </row>
    <row r="3" spans="1:75">
      <c r="A3" t="s">
        <v>243</v>
      </c>
      <c r="B3" t="s">
        <v>252</v>
      </c>
      <c r="C3">
        <v>915</v>
      </c>
      <c r="D3" t="s">
        <v>253</v>
      </c>
      <c r="E3" t="s">
        <v>254</v>
      </c>
      <c r="F3">
        <v>5</v>
      </c>
      <c r="G3" s="13">
        <v>46262.217731481483</v>
      </c>
      <c r="H3" s="13">
        <v>46262.225347222222</v>
      </c>
      <c r="I3">
        <v>658</v>
      </c>
      <c r="J3" t="s">
        <v>255</v>
      </c>
      <c r="K3">
        <v>1</v>
      </c>
      <c r="L3">
        <v>0.04</v>
      </c>
      <c r="M3">
        <v>0.04</v>
      </c>
      <c r="N3">
        <v>1</v>
      </c>
      <c r="O3">
        <v>0.04</v>
      </c>
      <c r="P3">
        <v>13.4</v>
      </c>
      <c r="Q3">
        <v>4.76</v>
      </c>
      <c r="R3">
        <v>3.6</v>
      </c>
      <c r="S3" t="s">
        <v>256</v>
      </c>
      <c r="T3" t="s">
        <v>257</v>
      </c>
      <c r="U3">
        <v>10</v>
      </c>
      <c r="V3">
        <v>6068.12</v>
      </c>
      <c r="W3">
        <v>4999.3599999999997</v>
      </c>
      <c r="X3">
        <v>4986.6000000000004</v>
      </c>
      <c r="Y3">
        <v>0</v>
      </c>
      <c r="Z3">
        <v>0</v>
      </c>
      <c r="AA3">
        <v>35</v>
      </c>
      <c r="AB3">
        <v>50</v>
      </c>
      <c r="AC3">
        <v>5000</v>
      </c>
      <c r="AD3">
        <v>0</v>
      </c>
      <c r="AE3">
        <v>0</v>
      </c>
      <c r="AF3">
        <v>6072.16</v>
      </c>
      <c r="AG3">
        <v>6072.16</v>
      </c>
      <c r="AH3" s="14">
        <v>46262</v>
      </c>
      <c r="AI3" t="s">
        <v>258</v>
      </c>
      <c r="AJ3" s="13">
        <v>46262.213402777779</v>
      </c>
      <c r="AK3">
        <v>6066.68</v>
      </c>
      <c r="AL3" t="s">
        <v>259</v>
      </c>
      <c r="AM3" t="s">
        <v>260</v>
      </c>
      <c r="AN3">
        <v>1400</v>
      </c>
      <c r="AO3">
        <v>0</v>
      </c>
      <c r="AP3">
        <v>35</v>
      </c>
      <c r="AQ3">
        <v>85</v>
      </c>
      <c r="AR3">
        <v>35</v>
      </c>
      <c r="AS3">
        <v>2</v>
      </c>
      <c r="AT3">
        <v>23</v>
      </c>
      <c r="AU3">
        <v>1</v>
      </c>
      <c r="AV3">
        <v>0</v>
      </c>
      <c r="AW3">
        <v>10</v>
      </c>
      <c r="AX3">
        <v>1</v>
      </c>
      <c r="AY3">
        <v>10</v>
      </c>
      <c r="AZ3">
        <v>5</v>
      </c>
      <c r="BA3">
        <v>1</v>
      </c>
      <c r="BB3">
        <v>1440</v>
      </c>
      <c r="BC3">
        <v>0</v>
      </c>
      <c r="BD3">
        <v>0</v>
      </c>
      <c r="BE3">
        <v>14</v>
      </c>
      <c r="BF3">
        <v>25</v>
      </c>
      <c r="BG3">
        <v>3</v>
      </c>
      <c r="BH3">
        <v>8</v>
      </c>
      <c r="BI3">
        <v>3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0</v>
      </c>
      <c r="BQ3">
        <v>60</v>
      </c>
      <c r="BR3">
        <v>0</v>
      </c>
      <c r="BS3">
        <v>3</v>
      </c>
      <c r="BT3" t="s">
        <v>243</v>
      </c>
      <c r="BU3" t="s">
        <v>261</v>
      </c>
      <c r="BV3" t="b">
        <v>0</v>
      </c>
      <c r="BW3" t="s">
        <v>262</v>
      </c>
    </row>
    <row r="4" spans="1:75">
      <c r="A4" t="s">
        <v>243</v>
      </c>
      <c r="B4" t="s">
        <v>252</v>
      </c>
      <c r="C4">
        <v>916</v>
      </c>
      <c r="D4" t="s">
        <v>253</v>
      </c>
      <c r="E4" t="s">
        <v>254</v>
      </c>
      <c r="F4">
        <v>5</v>
      </c>
      <c r="G4" s="13">
        <v>46262.22550925926</v>
      </c>
      <c r="H4" s="13">
        <v>46262.228483796294</v>
      </c>
      <c r="I4">
        <v>257</v>
      </c>
      <c r="J4" t="s">
        <v>255</v>
      </c>
      <c r="K4">
        <v>1</v>
      </c>
      <c r="L4">
        <v>0.04</v>
      </c>
      <c r="M4">
        <v>0.04</v>
      </c>
      <c r="N4">
        <v>1</v>
      </c>
      <c r="O4">
        <v>0.04</v>
      </c>
      <c r="P4">
        <v>4.32</v>
      </c>
      <c r="Q4">
        <v>3.36</v>
      </c>
      <c r="R4">
        <v>2.56</v>
      </c>
      <c r="S4" t="s">
        <v>256</v>
      </c>
      <c r="T4" t="s">
        <v>257</v>
      </c>
      <c r="U4">
        <v>10</v>
      </c>
      <c r="V4">
        <v>6071.52</v>
      </c>
      <c r="W4">
        <v>4999.3599999999997</v>
      </c>
      <c r="X4">
        <v>4995.68</v>
      </c>
      <c r="Y4">
        <v>0</v>
      </c>
      <c r="Z4">
        <v>0</v>
      </c>
      <c r="AA4">
        <v>35</v>
      </c>
      <c r="AB4">
        <v>50</v>
      </c>
      <c r="AC4">
        <v>5000</v>
      </c>
      <c r="AD4">
        <v>0</v>
      </c>
      <c r="AE4">
        <v>0</v>
      </c>
      <c r="AF4">
        <v>6074.12</v>
      </c>
      <c r="AG4">
        <v>6074.12</v>
      </c>
      <c r="AH4" s="14">
        <v>46262</v>
      </c>
      <c r="AI4" t="s">
        <v>258</v>
      </c>
      <c r="AJ4" s="13">
        <v>46262.213402777779</v>
      </c>
      <c r="AK4">
        <v>6066.68</v>
      </c>
      <c r="AL4" t="s">
        <v>259</v>
      </c>
      <c r="AM4" t="s">
        <v>260</v>
      </c>
      <c r="AN4">
        <v>1400</v>
      </c>
      <c r="AO4">
        <v>0</v>
      </c>
      <c r="AP4">
        <v>35</v>
      </c>
      <c r="AQ4">
        <v>85</v>
      </c>
      <c r="AR4">
        <v>35</v>
      </c>
      <c r="AS4">
        <v>2</v>
      </c>
      <c r="AT4">
        <v>23</v>
      </c>
      <c r="AU4">
        <v>1</v>
      </c>
      <c r="AV4">
        <v>0</v>
      </c>
      <c r="AW4">
        <v>10</v>
      </c>
      <c r="AX4">
        <v>1</v>
      </c>
      <c r="AY4">
        <v>10</v>
      </c>
      <c r="AZ4">
        <v>5</v>
      </c>
      <c r="BA4">
        <v>1</v>
      </c>
      <c r="BB4">
        <v>1440</v>
      </c>
      <c r="BC4">
        <v>0</v>
      </c>
      <c r="BD4">
        <v>0</v>
      </c>
      <c r="BE4">
        <v>14</v>
      </c>
      <c r="BF4">
        <v>25</v>
      </c>
      <c r="BG4">
        <v>3</v>
      </c>
      <c r="BH4">
        <v>8</v>
      </c>
      <c r="BI4">
        <v>3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0</v>
      </c>
      <c r="BQ4">
        <v>60</v>
      </c>
      <c r="BR4">
        <v>0</v>
      </c>
      <c r="BS4">
        <v>3</v>
      </c>
      <c r="BT4" t="s">
        <v>243</v>
      </c>
      <c r="BU4" t="s">
        <v>261</v>
      </c>
      <c r="BV4" t="b">
        <v>0</v>
      </c>
      <c r="BW4" t="s">
        <v>262</v>
      </c>
    </row>
    <row r="5" spans="1:75">
      <c r="A5" t="s">
        <v>243</v>
      </c>
      <c r="B5" t="s">
        <v>252</v>
      </c>
      <c r="C5">
        <v>917</v>
      </c>
      <c r="D5" t="s">
        <v>253</v>
      </c>
      <c r="E5" t="s">
        <v>254</v>
      </c>
      <c r="F5">
        <v>5</v>
      </c>
      <c r="G5" s="13">
        <v>46262.229722222219</v>
      </c>
      <c r="H5" s="13">
        <v>46262.235555555555</v>
      </c>
      <c r="I5">
        <v>504</v>
      </c>
      <c r="J5" t="s">
        <v>255</v>
      </c>
      <c r="K5">
        <v>2</v>
      </c>
      <c r="L5">
        <v>0.08</v>
      </c>
      <c r="M5">
        <v>0.04</v>
      </c>
      <c r="N5">
        <v>2</v>
      </c>
      <c r="O5">
        <v>0.08</v>
      </c>
      <c r="P5">
        <v>14.2</v>
      </c>
      <c r="Q5">
        <v>14.24</v>
      </c>
      <c r="R5">
        <v>9.1199999999999992</v>
      </c>
      <c r="S5" t="s">
        <v>263</v>
      </c>
      <c r="T5" t="s">
        <v>257</v>
      </c>
      <c r="U5">
        <v>11</v>
      </c>
      <c r="V5">
        <v>6073.24</v>
      </c>
      <c r="W5">
        <v>4999.12</v>
      </c>
      <c r="X5">
        <v>4985.8</v>
      </c>
      <c r="Y5">
        <v>0</v>
      </c>
      <c r="Z5">
        <v>0</v>
      </c>
      <c r="AA5">
        <v>35</v>
      </c>
      <c r="AB5">
        <v>50</v>
      </c>
      <c r="AC5">
        <v>5000</v>
      </c>
      <c r="AD5">
        <v>0</v>
      </c>
      <c r="AE5">
        <v>0</v>
      </c>
      <c r="AF5">
        <v>6083.72</v>
      </c>
      <c r="AG5">
        <v>6083.72</v>
      </c>
      <c r="AH5" s="14">
        <v>46262</v>
      </c>
      <c r="AI5" t="s">
        <v>258</v>
      </c>
      <c r="AJ5" s="13">
        <v>46262.213402777779</v>
      </c>
      <c r="AK5">
        <v>6066.68</v>
      </c>
      <c r="AL5" t="s">
        <v>259</v>
      </c>
      <c r="AM5" t="s">
        <v>260</v>
      </c>
      <c r="AN5">
        <v>1400</v>
      </c>
      <c r="AO5">
        <v>0</v>
      </c>
      <c r="AP5">
        <v>35</v>
      </c>
      <c r="AQ5">
        <v>85</v>
      </c>
      <c r="AR5">
        <v>35</v>
      </c>
      <c r="AS5">
        <v>2</v>
      </c>
      <c r="AT5">
        <v>23</v>
      </c>
      <c r="AU5">
        <v>1</v>
      </c>
      <c r="AV5">
        <v>0</v>
      </c>
      <c r="AW5">
        <v>10</v>
      </c>
      <c r="AX5">
        <v>1</v>
      </c>
      <c r="AY5">
        <v>10</v>
      </c>
      <c r="AZ5">
        <v>5</v>
      </c>
      <c r="BA5">
        <v>1</v>
      </c>
      <c r="BB5">
        <v>1440</v>
      </c>
      <c r="BC5">
        <v>0</v>
      </c>
      <c r="BD5">
        <v>0</v>
      </c>
      <c r="BE5">
        <v>14</v>
      </c>
      <c r="BF5">
        <v>25</v>
      </c>
      <c r="BG5">
        <v>3</v>
      </c>
      <c r="BH5">
        <v>8</v>
      </c>
      <c r="BI5">
        <v>3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0</v>
      </c>
      <c r="BQ5">
        <v>60</v>
      </c>
      <c r="BR5">
        <v>0</v>
      </c>
      <c r="BS5">
        <v>3</v>
      </c>
      <c r="BT5" t="s">
        <v>243</v>
      </c>
      <c r="BU5" t="s">
        <v>261</v>
      </c>
      <c r="BV5" t="b">
        <v>0</v>
      </c>
      <c r="BW5" t="s">
        <v>262</v>
      </c>
    </row>
    <row r="6" spans="1:75">
      <c r="A6" t="s">
        <v>243</v>
      </c>
      <c r="B6" t="s">
        <v>252</v>
      </c>
      <c r="C6">
        <v>918</v>
      </c>
      <c r="D6" t="s">
        <v>253</v>
      </c>
      <c r="E6" t="s">
        <v>254</v>
      </c>
      <c r="F6">
        <v>5</v>
      </c>
      <c r="G6" s="13">
        <v>46262.238842592589</v>
      </c>
      <c r="H6" s="13">
        <v>46262.240115740744</v>
      </c>
      <c r="I6">
        <v>110</v>
      </c>
      <c r="J6" t="s">
        <v>264</v>
      </c>
      <c r="K6">
        <v>1</v>
      </c>
      <c r="L6">
        <v>0.04</v>
      </c>
      <c r="M6">
        <v>0.04</v>
      </c>
      <c r="N6">
        <v>1</v>
      </c>
      <c r="O6">
        <v>0.04</v>
      </c>
      <c r="P6">
        <v>4.5999999999999996</v>
      </c>
      <c r="Q6">
        <v>8.68</v>
      </c>
      <c r="R6">
        <v>7.92</v>
      </c>
      <c r="S6" t="s">
        <v>256</v>
      </c>
      <c r="T6" t="s">
        <v>257</v>
      </c>
      <c r="U6">
        <v>10</v>
      </c>
      <c r="V6">
        <v>6083.04</v>
      </c>
      <c r="W6">
        <v>4999.32</v>
      </c>
      <c r="X6">
        <v>4995.3999999999996</v>
      </c>
      <c r="Y6">
        <v>0</v>
      </c>
      <c r="Z6">
        <v>0</v>
      </c>
      <c r="AA6">
        <v>35</v>
      </c>
      <c r="AB6">
        <v>50</v>
      </c>
      <c r="AC6">
        <v>5000</v>
      </c>
      <c r="AD6">
        <v>0</v>
      </c>
      <c r="AE6">
        <v>0</v>
      </c>
      <c r="AF6">
        <v>6091</v>
      </c>
      <c r="AG6">
        <v>6091</v>
      </c>
      <c r="AH6" s="14">
        <v>46262</v>
      </c>
      <c r="AI6" t="s">
        <v>258</v>
      </c>
      <c r="AJ6" s="13">
        <v>46262.213402777779</v>
      </c>
      <c r="AK6">
        <v>6066.68</v>
      </c>
      <c r="AL6" t="s">
        <v>259</v>
      </c>
      <c r="AM6" t="s">
        <v>260</v>
      </c>
      <c r="AN6">
        <v>1400</v>
      </c>
      <c r="AO6">
        <v>0</v>
      </c>
      <c r="AP6">
        <v>35</v>
      </c>
      <c r="AQ6">
        <v>85</v>
      </c>
      <c r="AR6">
        <v>35</v>
      </c>
      <c r="AS6">
        <v>2</v>
      </c>
      <c r="AT6">
        <v>23</v>
      </c>
      <c r="AU6">
        <v>1</v>
      </c>
      <c r="AV6">
        <v>0</v>
      </c>
      <c r="AW6">
        <v>10</v>
      </c>
      <c r="AX6">
        <v>1</v>
      </c>
      <c r="AY6">
        <v>10</v>
      </c>
      <c r="AZ6">
        <v>5</v>
      </c>
      <c r="BA6">
        <v>1</v>
      </c>
      <c r="BB6">
        <v>1440</v>
      </c>
      <c r="BC6">
        <v>0</v>
      </c>
      <c r="BD6">
        <v>0</v>
      </c>
      <c r="BE6">
        <v>14</v>
      </c>
      <c r="BF6">
        <v>25</v>
      </c>
      <c r="BG6">
        <v>3</v>
      </c>
      <c r="BH6">
        <v>8</v>
      </c>
      <c r="BI6">
        <v>3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0</v>
      </c>
      <c r="BQ6">
        <v>60</v>
      </c>
      <c r="BR6">
        <v>0</v>
      </c>
      <c r="BS6">
        <v>3</v>
      </c>
      <c r="BT6" t="s">
        <v>243</v>
      </c>
      <c r="BU6" t="s">
        <v>261</v>
      </c>
      <c r="BV6" t="b">
        <v>0</v>
      </c>
      <c r="BW6" t="s">
        <v>262</v>
      </c>
    </row>
    <row r="7" spans="1:75">
      <c r="A7" t="s">
        <v>243</v>
      </c>
      <c r="B7" t="s">
        <v>252</v>
      </c>
      <c r="C7">
        <v>919</v>
      </c>
      <c r="D7" t="s">
        <v>253</v>
      </c>
      <c r="E7" t="s">
        <v>254</v>
      </c>
      <c r="F7">
        <v>5</v>
      </c>
      <c r="G7" s="13">
        <v>46262.2425</v>
      </c>
      <c r="H7" s="13">
        <v>46262.24422453704</v>
      </c>
      <c r="I7">
        <v>149</v>
      </c>
      <c r="J7" t="s">
        <v>255</v>
      </c>
      <c r="K7">
        <v>1</v>
      </c>
      <c r="L7">
        <v>0.04</v>
      </c>
      <c r="M7">
        <v>0.04</v>
      </c>
      <c r="N7">
        <v>1</v>
      </c>
      <c r="O7">
        <v>0.04</v>
      </c>
      <c r="P7">
        <v>4.84</v>
      </c>
      <c r="Q7">
        <v>4.2</v>
      </c>
      <c r="R7">
        <v>3.2</v>
      </c>
      <c r="S7" t="s">
        <v>256</v>
      </c>
      <c r="T7" t="s">
        <v>257</v>
      </c>
      <c r="U7">
        <v>11</v>
      </c>
      <c r="V7">
        <v>6090.32</v>
      </c>
      <c r="W7">
        <v>4999.32</v>
      </c>
      <c r="X7">
        <v>4995.16</v>
      </c>
      <c r="Y7">
        <v>0</v>
      </c>
      <c r="Z7">
        <v>0</v>
      </c>
      <c r="AA7">
        <v>35</v>
      </c>
      <c r="AB7">
        <v>50</v>
      </c>
      <c r="AC7">
        <v>5000</v>
      </c>
      <c r="AD7">
        <v>0</v>
      </c>
      <c r="AE7">
        <v>0</v>
      </c>
      <c r="AF7">
        <v>6093.76</v>
      </c>
      <c r="AG7">
        <v>6093.76</v>
      </c>
      <c r="AH7" s="14">
        <v>46262</v>
      </c>
      <c r="AI7" t="s">
        <v>258</v>
      </c>
      <c r="AJ7" s="13">
        <v>46262.213402777779</v>
      </c>
      <c r="AK7">
        <v>6066.68</v>
      </c>
      <c r="AL7" t="s">
        <v>259</v>
      </c>
      <c r="AM7" t="s">
        <v>260</v>
      </c>
      <c r="AN7">
        <v>1400</v>
      </c>
      <c r="AO7">
        <v>0</v>
      </c>
      <c r="AP7">
        <v>35</v>
      </c>
      <c r="AQ7">
        <v>85</v>
      </c>
      <c r="AR7">
        <v>35</v>
      </c>
      <c r="AS7">
        <v>2</v>
      </c>
      <c r="AT7">
        <v>23</v>
      </c>
      <c r="AU7">
        <v>1</v>
      </c>
      <c r="AV7">
        <v>0</v>
      </c>
      <c r="AW7">
        <v>10</v>
      </c>
      <c r="AX7">
        <v>1</v>
      </c>
      <c r="AY7">
        <v>10</v>
      </c>
      <c r="AZ7">
        <v>5</v>
      </c>
      <c r="BA7">
        <v>1</v>
      </c>
      <c r="BB7">
        <v>1440</v>
      </c>
      <c r="BC7">
        <v>0</v>
      </c>
      <c r="BD7">
        <v>0</v>
      </c>
      <c r="BE7">
        <v>14</v>
      </c>
      <c r="BF7">
        <v>25</v>
      </c>
      <c r="BG7">
        <v>3</v>
      </c>
      <c r="BH7">
        <v>8</v>
      </c>
      <c r="BI7">
        <v>3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0</v>
      </c>
      <c r="BQ7">
        <v>60</v>
      </c>
      <c r="BR7">
        <v>0</v>
      </c>
      <c r="BS7">
        <v>3</v>
      </c>
      <c r="BT7" t="s">
        <v>243</v>
      </c>
      <c r="BU7" t="s">
        <v>261</v>
      </c>
      <c r="BV7" t="b">
        <v>0</v>
      </c>
      <c r="BW7" t="s">
        <v>262</v>
      </c>
    </row>
    <row r="8" spans="1:75">
      <c r="A8" t="s">
        <v>243</v>
      </c>
      <c r="B8" t="s">
        <v>252</v>
      </c>
      <c r="C8">
        <v>920</v>
      </c>
      <c r="D8" t="s">
        <v>253</v>
      </c>
      <c r="E8" t="s">
        <v>254</v>
      </c>
      <c r="F8">
        <v>5</v>
      </c>
      <c r="G8" s="13">
        <v>46262.249768518515</v>
      </c>
      <c r="H8" s="13">
        <v>46262.250694444447</v>
      </c>
      <c r="I8">
        <v>80</v>
      </c>
      <c r="J8" t="s">
        <v>255</v>
      </c>
      <c r="K8">
        <v>1</v>
      </c>
      <c r="L8">
        <v>0.04</v>
      </c>
      <c r="M8">
        <v>0.04</v>
      </c>
      <c r="N8">
        <v>1</v>
      </c>
      <c r="O8">
        <v>0.04</v>
      </c>
      <c r="P8">
        <v>4</v>
      </c>
      <c r="Q8">
        <v>3.28</v>
      </c>
      <c r="R8">
        <v>2.88</v>
      </c>
      <c r="S8" t="s">
        <v>256</v>
      </c>
      <c r="T8" t="s">
        <v>257</v>
      </c>
      <c r="U8">
        <v>11</v>
      </c>
      <c r="V8">
        <v>6093.12</v>
      </c>
      <c r="W8">
        <v>4999.3599999999997</v>
      </c>
      <c r="X8">
        <v>4996</v>
      </c>
      <c r="Y8">
        <v>0</v>
      </c>
      <c r="Z8">
        <v>0</v>
      </c>
      <c r="AA8">
        <v>35</v>
      </c>
      <c r="AB8">
        <v>50</v>
      </c>
      <c r="AC8">
        <v>5000</v>
      </c>
      <c r="AD8">
        <v>0</v>
      </c>
      <c r="AE8">
        <v>0</v>
      </c>
      <c r="AF8">
        <v>6095.64</v>
      </c>
      <c r="AG8">
        <v>6095.64</v>
      </c>
      <c r="AH8" s="14">
        <v>46262</v>
      </c>
      <c r="AI8" t="s">
        <v>258</v>
      </c>
      <c r="AJ8" s="13">
        <v>46262.213402777779</v>
      </c>
      <c r="AK8">
        <v>6066.68</v>
      </c>
      <c r="AL8" t="s">
        <v>259</v>
      </c>
      <c r="AM8" t="s">
        <v>260</v>
      </c>
      <c r="AN8">
        <v>1400</v>
      </c>
      <c r="AO8">
        <v>0</v>
      </c>
      <c r="AP8">
        <v>35</v>
      </c>
      <c r="AQ8">
        <v>85</v>
      </c>
      <c r="AR8">
        <v>35</v>
      </c>
      <c r="AS8">
        <v>2</v>
      </c>
      <c r="AT8">
        <v>23</v>
      </c>
      <c r="AU8">
        <v>1</v>
      </c>
      <c r="AV8">
        <v>0</v>
      </c>
      <c r="AW8">
        <v>10</v>
      </c>
      <c r="AX8">
        <v>1</v>
      </c>
      <c r="AY8">
        <v>10</v>
      </c>
      <c r="AZ8">
        <v>5</v>
      </c>
      <c r="BA8">
        <v>1</v>
      </c>
      <c r="BB8">
        <v>1440</v>
      </c>
      <c r="BC8">
        <v>0</v>
      </c>
      <c r="BD8">
        <v>0</v>
      </c>
      <c r="BE8">
        <v>14</v>
      </c>
      <c r="BF8">
        <v>25</v>
      </c>
      <c r="BG8">
        <v>3</v>
      </c>
      <c r="BH8">
        <v>8</v>
      </c>
      <c r="BI8">
        <v>3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0</v>
      </c>
      <c r="BQ8">
        <v>60</v>
      </c>
      <c r="BR8">
        <v>0</v>
      </c>
      <c r="BS8">
        <v>3</v>
      </c>
      <c r="BT8" t="s">
        <v>243</v>
      </c>
      <c r="BU8" t="s">
        <v>261</v>
      </c>
      <c r="BV8" t="b">
        <v>0</v>
      </c>
      <c r="BW8" t="s">
        <v>262</v>
      </c>
    </row>
    <row r="9" spans="1:75">
      <c r="A9" t="s">
        <v>243</v>
      </c>
      <c r="B9" t="s">
        <v>252</v>
      </c>
      <c r="C9">
        <v>921</v>
      </c>
      <c r="D9" t="s">
        <v>253</v>
      </c>
      <c r="E9" t="s">
        <v>254</v>
      </c>
      <c r="F9">
        <v>5</v>
      </c>
      <c r="G9" s="13">
        <v>46262.253078703703</v>
      </c>
      <c r="H9" s="13">
        <v>46262.267557870371</v>
      </c>
      <c r="I9">
        <v>1251</v>
      </c>
      <c r="J9" t="s">
        <v>255</v>
      </c>
      <c r="K9">
        <v>3</v>
      </c>
      <c r="L9">
        <v>0.12</v>
      </c>
      <c r="M9">
        <v>0.04</v>
      </c>
      <c r="N9">
        <v>3</v>
      </c>
      <c r="O9">
        <v>0.12</v>
      </c>
      <c r="P9">
        <v>17.760000000000002</v>
      </c>
      <c r="Q9">
        <v>18.64</v>
      </c>
      <c r="R9">
        <v>11.08</v>
      </c>
      <c r="S9" t="s">
        <v>263</v>
      </c>
      <c r="T9" t="s">
        <v>257</v>
      </c>
      <c r="U9">
        <v>11</v>
      </c>
      <c r="V9">
        <v>6095.12</v>
      </c>
      <c r="W9">
        <v>4999.4799999999996</v>
      </c>
      <c r="X9">
        <v>4982.24</v>
      </c>
      <c r="Y9">
        <v>0</v>
      </c>
      <c r="Z9">
        <v>0</v>
      </c>
      <c r="AA9">
        <v>35</v>
      </c>
      <c r="AB9">
        <v>50</v>
      </c>
      <c r="AC9">
        <v>5000</v>
      </c>
      <c r="AD9">
        <v>0</v>
      </c>
      <c r="AE9">
        <v>0</v>
      </c>
      <c r="AF9">
        <v>6107.36</v>
      </c>
      <c r="AG9">
        <v>6107.36</v>
      </c>
      <c r="AH9" s="14">
        <v>46262</v>
      </c>
      <c r="AI9" t="s">
        <v>258</v>
      </c>
      <c r="AJ9" s="13">
        <v>46262.213402777779</v>
      </c>
      <c r="AK9">
        <v>6066.68</v>
      </c>
      <c r="AL9" t="s">
        <v>259</v>
      </c>
      <c r="AM9" t="s">
        <v>260</v>
      </c>
      <c r="AN9">
        <v>1400</v>
      </c>
      <c r="AO9">
        <v>0</v>
      </c>
      <c r="AP9">
        <v>35</v>
      </c>
      <c r="AQ9">
        <v>85</v>
      </c>
      <c r="AR9">
        <v>35</v>
      </c>
      <c r="AS9">
        <v>2</v>
      </c>
      <c r="AT9">
        <v>23</v>
      </c>
      <c r="AU9">
        <v>1</v>
      </c>
      <c r="AV9">
        <v>0</v>
      </c>
      <c r="AW9">
        <v>10</v>
      </c>
      <c r="AX9">
        <v>1</v>
      </c>
      <c r="AY9">
        <v>10</v>
      </c>
      <c r="AZ9">
        <v>5</v>
      </c>
      <c r="BA9">
        <v>1</v>
      </c>
      <c r="BB9">
        <v>1440</v>
      </c>
      <c r="BC9">
        <v>0</v>
      </c>
      <c r="BD9">
        <v>0</v>
      </c>
      <c r="BE9">
        <v>14</v>
      </c>
      <c r="BF9">
        <v>25</v>
      </c>
      <c r="BG9">
        <v>3</v>
      </c>
      <c r="BH9">
        <v>8</v>
      </c>
      <c r="BI9">
        <v>3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0</v>
      </c>
      <c r="BQ9">
        <v>60</v>
      </c>
      <c r="BR9">
        <v>0</v>
      </c>
      <c r="BS9">
        <v>3</v>
      </c>
      <c r="BT9" t="s">
        <v>243</v>
      </c>
      <c r="BU9" t="s">
        <v>261</v>
      </c>
      <c r="BV9" t="b">
        <v>0</v>
      </c>
      <c r="BW9" t="s">
        <v>262</v>
      </c>
    </row>
    <row r="10" spans="1:75">
      <c r="A10" t="s">
        <v>243</v>
      </c>
      <c r="B10" t="s">
        <v>252</v>
      </c>
      <c r="C10">
        <v>922</v>
      </c>
      <c r="D10" t="s">
        <v>253</v>
      </c>
      <c r="E10" t="s">
        <v>254</v>
      </c>
      <c r="F10">
        <v>5</v>
      </c>
      <c r="G10" s="13">
        <v>46262.271539351852</v>
      </c>
      <c r="H10" s="13">
        <v>46262.274050925924</v>
      </c>
      <c r="I10">
        <v>217</v>
      </c>
      <c r="J10" t="s">
        <v>264</v>
      </c>
      <c r="K10">
        <v>1</v>
      </c>
      <c r="L10">
        <v>0.04</v>
      </c>
      <c r="M10">
        <v>0.04</v>
      </c>
      <c r="N10">
        <v>1</v>
      </c>
      <c r="O10">
        <v>0.04</v>
      </c>
      <c r="P10">
        <v>5.92</v>
      </c>
      <c r="Q10">
        <v>4.4000000000000004</v>
      </c>
      <c r="R10">
        <v>3.28</v>
      </c>
      <c r="S10" t="s">
        <v>256</v>
      </c>
      <c r="T10" t="s">
        <v>257</v>
      </c>
      <c r="U10">
        <v>10</v>
      </c>
      <c r="V10">
        <v>6106.68</v>
      </c>
      <c r="W10">
        <v>4999.32</v>
      </c>
      <c r="X10">
        <v>4994.08</v>
      </c>
      <c r="Y10">
        <v>0</v>
      </c>
      <c r="Z10">
        <v>0</v>
      </c>
      <c r="AA10">
        <v>35</v>
      </c>
      <c r="AB10">
        <v>50</v>
      </c>
      <c r="AC10">
        <v>5000</v>
      </c>
      <c r="AD10">
        <v>0</v>
      </c>
      <c r="AE10">
        <v>0</v>
      </c>
      <c r="AF10">
        <v>6110.32</v>
      </c>
      <c r="AG10">
        <v>6110.32</v>
      </c>
      <c r="AH10" s="14">
        <v>46262</v>
      </c>
      <c r="AI10" t="s">
        <v>258</v>
      </c>
      <c r="AJ10" s="13">
        <v>46262.213402777779</v>
      </c>
      <c r="AK10">
        <v>6066.68</v>
      </c>
      <c r="AL10" t="s">
        <v>259</v>
      </c>
      <c r="AM10" t="s">
        <v>260</v>
      </c>
      <c r="AN10">
        <v>1400</v>
      </c>
      <c r="AO10">
        <v>0</v>
      </c>
      <c r="AP10">
        <v>35</v>
      </c>
      <c r="AQ10">
        <v>85</v>
      </c>
      <c r="AR10">
        <v>35</v>
      </c>
      <c r="AS10">
        <v>2</v>
      </c>
      <c r="AT10">
        <v>23</v>
      </c>
      <c r="AU10">
        <v>1</v>
      </c>
      <c r="AV10">
        <v>0</v>
      </c>
      <c r="AW10">
        <v>10</v>
      </c>
      <c r="AX10">
        <v>1</v>
      </c>
      <c r="AY10">
        <v>10</v>
      </c>
      <c r="AZ10">
        <v>5</v>
      </c>
      <c r="BA10">
        <v>1</v>
      </c>
      <c r="BB10">
        <v>1440</v>
      </c>
      <c r="BC10">
        <v>0</v>
      </c>
      <c r="BD10">
        <v>0</v>
      </c>
      <c r="BE10">
        <v>14</v>
      </c>
      <c r="BF10">
        <v>25</v>
      </c>
      <c r="BG10">
        <v>3</v>
      </c>
      <c r="BH10">
        <v>8</v>
      </c>
      <c r="BI10">
        <v>3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0</v>
      </c>
      <c r="BQ10">
        <v>60</v>
      </c>
      <c r="BR10">
        <v>0</v>
      </c>
      <c r="BS10">
        <v>3</v>
      </c>
      <c r="BT10" t="s">
        <v>243</v>
      </c>
      <c r="BU10" t="s">
        <v>261</v>
      </c>
      <c r="BV10" t="b">
        <v>0</v>
      </c>
      <c r="BW10" t="s">
        <v>262</v>
      </c>
    </row>
    <row r="11" spans="1:75">
      <c r="A11" t="s">
        <v>243</v>
      </c>
      <c r="B11" t="s">
        <v>252</v>
      </c>
      <c r="C11">
        <v>923</v>
      </c>
      <c r="D11" t="s">
        <v>253</v>
      </c>
      <c r="E11" t="s">
        <v>254</v>
      </c>
      <c r="F11">
        <v>5</v>
      </c>
      <c r="G11" s="13">
        <v>46262.304328703707</v>
      </c>
      <c r="H11" s="13">
        <v>46262.305578703701</v>
      </c>
      <c r="I11">
        <v>108</v>
      </c>
      <c r="J11" t="s">
        <v>255</v>
      </c>
      <c r="K11">
        <v>1</v>
      </c>
      <c r="L11">
        <v>0.04</v>
      </c>
      <c r="M11">
        <v>0.04</v>
      </c>
      <c r="N11">
        <v>1</v>
      </c>
      <c r="O11">
        <v>0.04</v>
      </c>
      <c r="P11">
        <v>2.4</v>
      </c>
      <c r="Q11">
        <v>4.5599999999999996</v>
      </c>
      <c r="R11">
        <v>4.04</v>
      </c>
      <c r="S11" t="s">
        <v>256</v>
      </c>
      <c r="T11" t="s">
        <v>257</v>
      </c>
      <c r="U11">
        <v>11</v>
      </c>
      <c r="V11">
        <v>6109.64</v>
      </c>
      <c r="W11">
        <v>4999.32</v>
      </c>
      <c r="X11">
        <v>4997.6000000000004</v>
      </c>
      <c r="Y11">
        <v>0</v>
      </c>
      <c r="Z11">
        <v>0</v>
      </c>
      <c r="AA11">
        <v>35</v>
      </c>
      <c r="AB11">
        <v>50</v>
      </c>
      <c r="AC11">
        <v>5000</v>
      </c>
      <c r="AD11">
        <v>0</v>
      </c>
      <c r="AE11">
        <v>0</v>
      </c>
      <c r="AF11">
        <v>6113.48</v>
      </c>
      <c r="AG11">
        <v>6113.48</v>
      </c>
      <c r="AH11" s="14">
        <v>46262</v>
      </c>
      <c r="AI11" t="s">
        <v>258</v>
      </c>
      <c r="AJ11" s="13">
        <v>46262.213402777779</v>
      </c>
      <c r="AK11">
        <v>6066.68</v>
      </c>
      <c r="AL11" t="s">
        <v>259</v>
      </c>
      <c r="AM11" t="s">
        <v>260</v>
      </c>
      <c r="AN11">
        <v>1400</v>
      </c>
      <c r="AO11">
        <v>0</v>
      </c>
      <c r="AP11">
        <v>35</v>
      </c>
      <c r="AQ11">
        <v>85</v>
      </c>
      <c r="AR11">
        <v>35</v>
      </c>
      <c r="AS11">
        <v>2</v>
      </c>
      <c r="AT11">
        <v>23</v>
      </c>
      <c r="AU11">
        <v>1</v>
      </c>
      <c r="AV11">
        <v>0</v>
      </c>
      <c r="AW11">
        <v>10</v>
      </c>
      <c r="AX11">
        <v>1</v>
      </c>
      <c r="AY11">
        <v>10</v>
      </c>
      <c r="AZ11">
        <v>5</v>
      </c>
      <c r="BA11">
        <v>1</v>
      </c>
      <c r="BB11">
        <v>1440</v>
      </c>
      <c r="BC11">
        <v>0</v>
      </c>
      <c r="BD11">
        <v>0</v>
      </c>
      <c r="BE11">
        <v>14</v>
      </c>
      <c r="BF11">
        <v>25</v>
      </c>
      <c r="BG11">
        <v>3</v>
      </c>
      <c r="BH11">
        <v>8</v>
      </c>
      <c r="BI11">
        <v>3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0</v>
      </c>
      <c r="BQ11">
        <v>60</v>
      </c>
      <c r="BR11">
        <v>0</v>
      </c>
      <c r="BS11">
        <v>3</v>
      </c>
      <c r="BT11" t="s">
        <v>243</v>
      </c>
      <c r="BU11" t="s">
        <v>261</v>
      </c>
      <c r="BV11" t="b">
        <v>0</v>
      </c>
      <c r="BW11" t="s">
        <v>262</v>
      </c>
    </row>
    <row r="12" spans="1:75">
      <c r="A12" t="s">
        <v>243</v>
      </c>
      <c r="B12" t="s">
        <v>252</v>
      </c>
      <c r="C12">
        <v>924</v>
      </c>
      <c r="D12" t="s">
        <v>253</v>
      </c>
      <c r="E12" t="s">
        <v>254</v>
      </c>
      <c r="F12">
        <v>5</v>
      </c>
      <c r="G12" s="13">
        <v>46262.318923611114</v>
      </c>
      <c r="H12" s="13">
        <v>46262.354409722226</v>
      </c>
      <c r="I12">
        <v>3066</v>
      </c>
      <c r="J12" t="s">
        <v>264</v>
      </c>
      <c r="K12">
        <v>4</v>
      </c>
      <c r="L12">
        <v>0.16</v>
      </c>
      <c r="M12">
        <v>0.04</v>
      </c>
      <c r="N12">
        <v>4</v>
      </c>
      <c r="O12">
        <v>0.16</v>
      </c>
      <c r="P12">
        <v>60.56</v>
      </c>
      <c r="Q12">
        <v>10.36</v>
      </c>
      <c r="R12">
        <v>5.08</v>
      </c>
      <c r="S12" t="s">
        <v>263</v>
      </c>
      <c r="T12" t="s">
        <v>257</v>
      </c>
      <c r="U12">
        <v>11</v>
      </c>
      <c r="V12">
        <v>6112.8</v>
      </c>
      <c r="W12">
        <v>4999.32</v>
      </c>
      <c r="X12">
        <v>4939.4399999999996</v>
      </c>
      <c r="Y12">
        <v>0</v>
      </c>
      <c r="Z12">
        <v>0</v>
      </c>
      <c r="AA12">
        <v>35</v>
      </c>
      <c r="AB12">
        <v>50</v>
      </c>
      <c r="AC12">
        <v>5000</v>
      </c>
      <c r="AD12">
        <v>0</v>
      </c>
      <c r="AE12">
        <v>0</v>
      </c>
      <c r="AF12">
        <v>6117.96</v>
      </c>
      <c r="AG12">
        <v>6117.96</v>
      </c>
      <c r="AH12" s="14">
        <v>46262</v>
      </c>
      <c r="AI12" t="s">
        <v>258</v>
      </c>
      <c r="AJ12" s="13">
        <v>46262.213402777779</v>
      </c>
      <c r="AK12">
        <v>6066.68</v>
      </c>
      <c r="AL12" t="s">
        <v>259</v>
      </c>
      <c r="AM12" t="s">
        <v>260</v>
      </c>
      <c r="AN12">
        <v>1400</v>
      </c>
      <c r="AO12">
        <v>0</v>
      </c>
      <c r="AP12">
        <v>35</v>
      </c>
      <c r="AQ12">
        <v>85</v>
      </c>
      <c r="AR12">
        <v>35</v>
      </c>
      <c r="AS12">
        <v>2</v>
      </c>
      <c r="AT12">
        <v>23</v>
      </c>
      <c r="AU12">
        <v>1</v>
      </c>
      <c r="AV12">
        <v>0</v>
      </c>
      <c r="AW12">
        <v>10</v>
      </c>
      <c r="AX12">
        <v>1</v>
      </c>
      <c r="AY12">
        <v>10</v>
      </c>
      <c r="AZ12">
        <v>5</v>
      </c>
      <c r="BA12">
        <v>1</v>
      </c>
      <c r="BB12">
        <v>1440</v>
      </c>
      <c r="BC12">
        <v>0</v>
      </c>
      <c r="BD12">
        <v>0</v>
      </c>
      <c r="BE12">
        <v>14</v>
      </c>
      <c r="BF12">
        <v>25</v>
      </c>
      <c r="BG12">
        <v>3</v>
      </c>
      <c r="BH12">
        <v>8</v>
      </c>
      <c r="BI12">
        <v>3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0</v>
      </c>
      <c r="BQ12">
        <v>60</v>
      </c>
      <c r="BR12">
        <v>0</v>
      </c>
      <c r="BS12">
        <v>3</v>
      </c>
      <c r="BT12" t="s">
        <v>243</v>
      </c>
      <c r="BU12" t="s">
        <v>261</v>
      </c>
      <c r="BV12" t="b">
        <v>0</v>
      </c>
      <c r="BW12" t="s">
        <v>262</v>
      </c>
    </row>
    <row r="13" spans="1:75">
      <c r="A13" t="s">
        <v>243</v>
      </c>
      <c r="B13" t="s">
        <v>252</v>
      </c>
      <c r="C13">
        <v>925</v>
      </c>
      <c r="D13" t="s">
        <v>253</v>
      </c>
      <c r="E13" t="s">
        <v>254</v>
      </c>
      <c r="F13">
        <v>5</v>
      </c>
      <c r="G13" s="13">
        <v>46262.358981481484</v>
      </c>
      <c r="H13" s="13">
        <v>46262.361145833333</v>
      </c>
      <c r="I13">
        <v>187</v>
      </c>
      <c r="J13" t="s">
        <v>264</v>
      </c>
      <c r="K13">
        <v>1</v>
      </c>
      <c r="L13">
        <v>0.04</v>
      </c>
      <c r="M13">
        <v>0.04</v>
      </c>
      <c r="N13">
        <v>1</v>
      </c>
      <c r="O13">
        <v>0.04</v>
      </c>
      <c r="P13">
        <v>16.64</v>
      </c>
      <c r="Q13">
        <v>4.12</v>
      </c>
      <c r="R13">
        <v>4.12</v>
      </c>
      <c r="S13" t="s">
        <v>256</v>
      </c>
      <c r="T13" t="s">
        <v>257</v>
      </c>
      <c r="U13">
        <v>11</v>
      </c>
      <c r="V13">
        <v>6117.32</v>
      </c>
      <c r="W13">
        <v>4999.3599999999997</v>
      </c>
      <c r="X13">
        <v>4983.3599999999997</v>
      </c>
      <c r="Y13">
        <v>0</v>
      </c>
      <c r="Z13">
        <v>0</v>
      </c>
      <c r="AA13">
        <v>35</v>
      </c>
      <c r="AB13">
        <v>50</v>
      </c>
      <c r="AC13">
        <v>5000</v>
      </c>
      <c r="AD13">
        <v>0</v>
      </c>
      <c r="AE13">
        <v>0</v>
      </c>
      <c r="AF13">
        <v>6120.68</v>
      </c>
      <c r="AG13">
        <v>6120.68</v>
      </c>
      <c r="AH13" s="14">
        <v>46262</v>
      </c>
      <c r="AI13" t="s">
        <v>258</v>
      </c>
      <c r="AJ13" s="13">
        <v>46262.213402777779</v>
      </c>
      <c r="AK13">
        <v>6066.68</v>
      </c>
      <c r="AL13" t="s">
        <v>259</v>
      </c>
      <c r="AM13" t="s">
        <v>260</v>
      </c>
      <c r="AN13">
        <v>1400</v>
      </c>
      <c r="AO13">
        <v>0</v>
      </c>
      <c r="AP13">
        <v>35</v>
      </c>
      <c r="AQ13">
        <v>85</v>
      </c>
      <c r="AR13">
        <v>35</v>
      </c>
      <c r="AS13">
        <v>2</v>
      </c>
      <c r="AT13">
        <v>23</v>
      </c>
      <c r="AU13">
        <v>1</v>
      </c>
      <c r="AV13">
        <v>0</v>
      </c>
      <c r="AW13">
        <v>10</v>
      </c>
      <c r="AX13">
        <v>1</v>
      </c>
      <c r="AY13">
        <v>10</v>
      </c>
      <c r="AZ13">
        <v>5</v>
      </c>
      <c r="BA13">
        <v>1</v>
      </c>
      <c r="BB13">
        <v>1440</v>
      </c>
      <c r="BC13">
        <v>0</v>
      </c>
      <c r="BD13">
        <v>0</v>
      </c>
      <c r="BE13">
        <v>14</v>
      </c>
      <c r="BF13">
        <v>25</v>
      </c>
      <c r="BG13">
        <v>3</v>
      </c>
      <c r="BH13">
        <v>8</v>
      </c>
      <c r="BI13">
        <v>3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0</v>
      </c>
      <c r="BQ13">
        <v>60</v>
      </c>
      <c r="BR13">
        <v>0</v>
      </c>
      <c r="BS13">
        <v>3</v>
      </c>
      <c r="BT13" t="s">
        <v>243</v>
      </c>
      <c r="BU13" t="s">
        <v>261</v>
      </c>
      <c r="BV13" t="b">
        <v>0</v>
      </c>
      <c r="BW13" t="s">
        <v>262</v>
      </c>
    </row>
    <row r="14" spans="1:75">
      <c r="A14" t="s">
        <v>243</v>
      </c>
      <c r="B14" t="s">
        <v>252</v>
      </c>
      <c r="C14">
        <v>926</v>
      </c>
      <c r="D14" t="s">
        <v>253</v>
      </c>
      <c r="E14" t="s">
        <v>254</v>
      </c>
      <c r="F14">
        <v>5</v>
      </c>
      <c r="G14" s="13">
        <v>46262.363611111112</v>
      </c>
      <c r="H14" s="13">
        <v>46262.578194444446</v>
      </c>
      <c r="I14">
        <v>18540</v>
      </c>
      <c r="J14" t="s">
        <v>264</v>
      </c>
      <c r="K14">
        <v>15</v>
      </c>
      <c r="L14">
        <v>0.6</v>
      </c>
      <c r="M14">
        <v>0.04</v>
      </c>
      <c r="N14">
        <v>15</v>
      </c>
      <c r="O14">
        <v>0.6</v>
      </c>
      <c r="P14">
        <v>738.8</v>
      </c>
      <c r="Q14">
        <v>61.04</v>
      </c>
      <c r="R14">
        <v>61.04</v>
      </c>
      <c r="S14" t="s">
        <v>263</v>
      </c>
      <c r="T14" t="s">
        <v>257</v>
      </c>
      <c r="U14">
        <v>10</v>
      </c>
      <c r="V14">
        <v>6120.16</v>
      </c>
      <c r="W14">
        <v>4999.4799999999996</v>
      </c>
      <c r="X14">
        <v>4261.2</v>
      </c>
      <c r="Y14">
        <v>0</v>
      </c>
      <c r="Z14">
        <v>0</v>
      </c>
      <c r="AA14">
        <v>35</v>
      </c>
      <c r="AB14">
        <v>50</v>
      </c>
      <c r="AC14">
        <v>5000</v>
      </c>
      <c r="AD14">
        <v>0</v>
      </c>
      <c r="AE14">
        <v>0</v>
      </c>
      <c r="AF14">
        <v>6191.36</v>
      </c>
      <c r="AG14">
        <v>6191.36</v>
      </c>
      <c r="AH14" s="14">
        <v>46262</v>
      </c>
      <c r="AI14" t="s">
        <v>258</v>
      </c>
      <c r="AJ14" s="13">
        <v>46262.213402777779</v>
      </c>
      <c r="AK14">
        <v>6066.68</v>
      </c>
      <c r="AL14" t="s">
        <v>259</v>
      </c>
      <c r="AM14" t="s">
        <v>260</v>
      </c>
      <c r="AN14">
        <v>1400</v>
      </c>
      <c r="AO14">
        <v>0</v>
      </c>
      <c r="AP14">
        <v>35</v>
      </c>
      <c r="AQ14">
        <v>85</v>
      </c>
      <c r="AR14">
        <v>35</v>
      </c>
      <c r="AS14">
        <v>2</v>
      </c>
      <c r="AT14">
        <v>23</v>
      </c>
      <c r="AU14">
        <v>1</v>
      </c>
      <c r="AV14">
        <v>0</v>
      </c>
      <c r="AW14">
        <v>10</v>
      </c>
      <c r="AX14">
        <v>1</v>
      </c>
      <c r="AY14">
        <v>10</v>
      </c>
      <c r="AZ14">
        <v>5</v>
      </c>
      <c r="BA14">
        <v>1</v>
      </c>
      <c r="BB14">
        <v>1440</v>
      </c>
      <c r="BC14">
        <v>0</v>
      </c>
      <c r="BD14">
        <v>0</v>
      </c>
      <c r="BE14">
        <v>14</v>
      </c>
      <c r="BF14">
        <v>25</v>
      </c>
      <c r="BG14">
        <v>3</v>
      </c>
      <c r="BH14">
        <v>8</v>
      </c>
      <c r="BI14">
        <v>3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0</v>
      </c>
      <c r="BQ14">
        <v>60</v>
      </c>
      <c r="BR14">
        <v>0</v>
      </c>
      <c r="BS14">
        <v>3</v>
      </c>
      <c r="BT14" t="s">
        <v>243</v>
      </c>
      <c r="BU14" t="s">
        <v>261</v>
      </c>
      <c r="BV14" t="b">
        <v>0</v>
      </c>
      <c r="BW14" t="s">
        <v>262</v>
      </c>
    </row>
    <row r="15" spans="1:75">
      <c r="A15" t="s">
        <v>243</v>
      </c>
      <c r="B15" t="s">
        <v>252</v>
      </c>
      <c r="C15">
        <v>927</v>
      </c>
      <c r="D15" t="s">
        <v>253</v>
      </c>
      <c r="E15" t="s">
        <v>254</v>
      </c>
      <c r="F15">
        <v>5</v>
      </c>
      <c r="G15" s="13">
        <v>46262.578194444446</v>
      </c>
      <c r="H15" s="13">
        <v>46262.588252314818</v>
      </c>
      <c r="I15">
        <v>869</v>
      </c>
      <c r="J15" t="s">
        <v>264</v>
      </c>
      <c r="K15">
        <v>3</v>
      </c>
      <c r="L15">
        <v>0.12</v>
      </c>
      <c r="M15">
        <v>0.04</v>
      </c>
      <c r="N15">
        <v>3</v>
      </c>
      <c r="O15">
        <v>0.12</v>
      </c>
      <c r="P15">
        <v>15.56</v>
      </c>
      <c r="Q15">
        <v>16.16</v>
      </c>
      <c r="R15">
        <v>11.12</v>
      </c>
      <c r="S15" t="s">
        <v>263</v>
      </c>
      <c r="T15" t="s">
        <v>257</v>
      </c>
      <c r="U15">
        <v>11</v>
      </c>
      <c r="V15">
        <v>6190.72</v>
      </c>
      <c r="W15">
        <v>4999.3599999999997</v>
      </c>
      <c r="X15">
        <v>4984.4399999999996</v>
      </c>
      <c r="Y15">
        <v>0</v>
      </c>
      <c r="Z15">
        <v>0</v>
      </c>
      <c r="AA15">
        <v>35</v>
      </c>
      <c r="AB15">
        <v>50</v>
      </c>
      <c r="AC15">
        <v>5000</v>
      </c>
      <c r="AD15">
        <v>0</v>
      </c>
      <c r="AE15">
        <v>0</v>
      </c>
      <c r="AF15">
        <v>6202.68</v>
      </c>
      <c r="AG15">
        <v>6202.68</v>
      </c>
      <c r="AH15" s="14">
        <v>46262</v>
      </c>
      <c r="AI15" t="s">
        <v>258</v>
      </c>
      <c r="AJ15" s="13">
        <v>46262.213402777779</v>
      </c>
      <c r="AK15">
        <v>6066.68</v>
      </c>
      <c r="AL15" t="s">
        <v>259</v>
      </c>
      <c r="AM15" t="s">
        <v>260</v>
      </c>
      <c r="AN15">
        <v>1400</v>
      </c>
      <c r="AO15">
        <v>0</v>
      </c>
      <c r="AP15">
        <v>35</v>
      </c>
      <c r="AQ15">
        <v>85</v>
      </c>
      <c r="AR15">
        <v>35</v>
      </c>
      <c r="AS15">
        <v>2</v>
      </c>
      <c r="AT15">
        <v>23</v>
      </c>
      <c r="AU15">
        <v>1</v>
      </c>
      <c r="AV15">
        <v>0</v>
      </c>
      <c r="AW15">
        <v>10</v>
      </c>
      <c r="AX15">
        <v>1</v>
      </c>
      <c r="AY15">
        <v>10</v>
      </c>
      <c r="AZ15">
        <v>5</v>
      </c>
      <c r="BA15">
        <v>1</v>
      </c>
      <c r="BB15">
        <v>1440</v>
      </c>
      <c r="BC15">
        <v>0</v>
      </c>
      <c r="BD15">
        <v>0</v>
      </c>
      <c r="BE15">
        <v>14</v>
      </c>
      <c r="BF15">
        <v>25</v>
      </c>
      <c r="BG15">
        <v>3</v>
      </c>
      <c r="BH15">
        <v>8</v>
      </c>
      <c r="BI15">
        <v>3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0</v>
      </c>
      <c r="BQ15">
        <v>60</v>
      </c>
      <c r="BR15">
        <v>0</v>
      </c>
      <c r="BS15">
        <v>3</v>
      </c>
      <c r="BT15" t="s">
        <v>243</v>
      </c>
      <c r="BU15" t="s">
        <v>261</v>
      </c>
      <c r="BV15" t="b">
        <v>0</v>
      </c>
      <c r="BW15" t="s">
        <v>262</v>
      </c>
    </row>
    <row r="16" spans="1:75">
      <c r="A16" t="s">
        <v>243</v>
      </c>
      <c r="B16" t="s">
        <v>252</v>
      </c>
      <c r="C16">
        <v>928</v>
      </c>
      <c r="D16" t="s">
        <v>253</v>
      </c>
      <c r="E16" t="s">
        <v>254</v>
      </c>
      <c r="F16">
        <v>5</v>
      </c>
      <c r="G16" s="13">
        <v>46262.593715277777</v>
      </c>
      <c r="H16" s="13">
        <v>46262.59447916667</v>
      </c>
      <c r="I16">
        <v>66</v>
      </c>
      <c r="J16" t="s">
        <v>255</v>
      </c>
      <c r="K16">
        <v>1</v>
      </c>
      <c r="L16">
        <v>0.04</v>
      </c>
      <c r="M16">
        <v>0.04</v>
      </c>
      <c r="N16">
        <v>1</v>
      </c>
      <c r="O16">
        <v>0.04</v>
      </c>
      <c r="P16">
        <v>1.68</v>
      </c>
      <c r="Q16">
        <v>4.76</v>
      </c>
      <c r="R16">
        <v>3.72</v>
      </c>
      <c r="S16" t="s">
        <v>256</v>
      </c>
      <c r="T16" t="s">
        <v>257</v>
      </c>
      <c r="U16">
        <v>10</v>
      </c>
      <c r="V16">
        <v>6202.04</v>
      </c>
      <c r="W16">
        <v>4999.3599999999997</v>
      </c>
      <c r="X16">
        <v>4998.32</v>
      </c>
      <c r="Y16">
        <v>0</v>
      </c>
      <c r="Z16">
        <v>0</v>
      </c>
      <c r="AA16">
        <v>35</v>
      </c>
      <c r="AB16">
        <v>50</v>
      </c>
      <c r="AC16">
        <v>5000</v>
      </c>
      <c r="AD16">
        <v>0</v>
      </c>
      <c r="AE16">
        <v>0</v>
      </c>
      <c r="AF16">
        <v>6206</v>
      </c>
      <c r="AG16">
        <v>6206</v>
      </c>
      <c r="AH16" s="14">
        <v>46262</v>
      </c>
      <c r="AI16" t="s">
        <v>258</v>
      </c>
      <c r="AJ16" s="13">
        <v>46262.213402777779</v>
      </c>
      <c r="AK16">
        <v>6066.68</v>
      </c>
      <c r="AL16" t="s">
        <v>259</v>
      </c>
      <c r="AM16" t="s">
        <v>260</v>
      </c>
      <c r="AN16">
        <v>1400</v>
      </c>
      <c r="AO16">
        <v>0</v>
      </c>
      <c r="AP16">
        <v>35</v>
      </c>
      <c r="AQ16">
        <v>85</v>
      </c>
      <c r="AR16">
        <v>35</v>
      </c>
      <c r="AS16">
        <v>2</v>
      </c>
      <c r="AT16">
        <v>23</v>
      </c>
      <c r="AU16">
        <v>1</v>
      </c>
      <c r="AV16">
        <v>0</v>
      </c>
      <c r="AW16">
        <v>10</v>
      </c>
      <c r="AX16">
        <v>1</v>
      </c>
      <c r="AY16">
        <v>10</v>
      </c>
      <c r="AZ16">
        <v>5</v>
      </c>
      <c r="BA16">
        <v>1</v>
      </c>
      <c r="BB16">
        <v>1440</v>
      </c>
      <c r="BC16">
        <v>0</v>
      </c>
      <c r="BD16">
        <v>0</v>
      </c>
      <c r="BE16">
        <v>14</v>
      </c>
      <c r="BF16">
        <v>25</v>
      </c>
      <c r="BG16">
        <v>3</v>
      </c>
      <c r="BH16">
        <v>8</v>
      </c>
      <c r="BI16">
        <v>3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0</v>
      </c>
      <c r="BQ16">
        <v>60</v>
      </c>
      <c r="BR16">
        <v>0</v>
      </c>
      <c r="BS16">
        <v>3</v>
      </c>
      <c r="BT16" t="s">
        <v>243</v>
      </c>
      <c r="BU16" t="s">
        <v>261</v>
      </c>
      <c r="BV16" t="b">
        <v>0</v>
      </c>
      <c r="BW16" t="s">
        <v>262</v>
      </c>
    </row>
    <row r="17" spans="1:75">
      <c r="A17" t="s">
        <v>243</v>
      </c>
      <c r="B17" t="s">
        <v>252</v>
      </c>
      <c r="C17">
        <v>929</v>
      </c>
      <c r="D17" t="s">
        <v>253</v>
      </c>
      <c r="E17" t="s">
        <v>254</v>
      </c>
      <c r="F17">
        <v>5</v>
      </c>
      <c r="G17" s="13">
        <v>46262.610046296293</v>
      </c>
      <c r="H17" s="13">
        <v>46262.610914351855</v>
      </c>
      <c r="I17">
        <v>75</v>
      </c>
      <c r="J17" t="s">
        <v>264</v>
      </c>
      <c r="K17">
        <v>1</v>
      </c>
      <c r="L17">
        <v>0.04</v>
      </c>
      <c r="M17">
        <v>0.04</v>
      </c>
      <c r="N17">
        <v>1</v>
      </c>
      <c r="O17">
        <v>0.04</v>
      </c>
      <c r="P17">
        <v>1.8</v>
      </c>
      <c r="Q17">
        <v>5.88</v>
      </c>
      <c r="R17">
        <v>5.52</v>
      </c>
      <c r="S17" t="s">
        <v>256</v>
      </c>
      <c r="T17" t="s">
        <v>257</v>
      </c>
      <c r="U17">
        <v>10</v>
      </c>
      <c r="V17">
        <v>6205.36</v>
      </c>
      <c r="W17">
        <v>4999.3599999999997</v>
      </c>
      <c r="X17">
        <v>4998.2</v>
      </c>
      <c r="Y17">
        <v>0</v>
      </c>
      <c r="Z17">
        <v>0</v>
      </c>
      <c r="AA17">
        <v>35</v>
      </c>
      <c r="AB17">
        <v>50</v>
      </c>
      <c r="AC17">
        <v>5000</v>
      </c>
      <c r="AD17">
        <v>0</v>
      </c>
      <c r="AE17">
        <v>0</v>
      </c>
      <c r="AF17">
        <v>6210.48</v>
      </c>
      <c r="AG17">
        <v>6210.48</v>
      </c>
      <c r="AH17" s="14">
        <v>46262</v>
      </c>
      <c r="AI17" t="s">
        <v>258</v>
      </c>
      <c r="AJ17" s="13">
        <v>46262.213402777779</v>
      </c>
      <c r="AK17">
        <v>6066.68</v>
      </c>
      <c r="AL17" t="s">
        <v>259</v>
      </c>
      <c r="AM17" t="s">
        <v>260</v>
      </c>
      <c r="AN17">
        <v>1400</v>
      </c>
      <c r="AO17">
        <v>0</v>
      </c>
      <c r="AP17">
        <v>35</v>
      </c>
      <c r="AQ17">
        <v>85</v>
      </c>
      <c r="AR17">
        <v>35</v>
      </c>
      <c r="AS17">
        <v>2</v>
      </c>
      <c r="AT17">
        <v>23</v>
      </c>
      <c r="AU17">
        <v>1</v>
      </c>
      <c r="AV17">
        <v>0</v>
      </c>
      <c r="AW17">
        <v>10</v>
      </c>
      <c r="AX17">
        <v>1</v>
      </c>
      <c r="AY17">
        <v>10</v>
      </c>
      <c r="AZ17">
        <v>5</v>
      </c>
      <c r="BA17">
        <v>1</v>
      </c>
      <c r="BB17">
        <v>1440</v>
      </c>
      <c r="BC17">
        <v>0</v>
      </c>
      <c r="BD17">
        <v>0</v>
      </c>
      <c r="BE17">
        <v>14</v>
      </c>
      <c r="BF17">
        <v>25</v>
      </c>
      <c r="BG17">
        <v>3</v>
      </c>
      <c r="BH17">
        <v>8</v>
      </c>
      <c r="BI17">
        <v>3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0</v>
      </c>
      <c r="BQ17">
        <v>60</v>
      </c>
      <c r="BR17">
        <v>0</v>
      </c>
      <c r="BS17">
        <v>3</v>
      </c>
      <c r="BT17" t="s">
        <v>243</v>
      </c>
      <c r="BU17" t="s">
        <v>261</v>
      </c>
      <c r="BV17" t="b">
        <v>0</v>
      </c>
      <c r="BW17" t="s">
        <v>262</v>
      </c>
    </row>
    <row r="18" spans="1:75">
      <c r="A18" t="s">
        <v>243</v>
      </c>
      <c r="B18" t="s">
        <v>252</v>
      </c>
      <c r="C18">
        <v>930</v>
      </c>
      <c r="D18" t="s">
        <v>253</v>
      </c>
      <c r="E18" t="s">
        <v>254</v>
      </c>
      <c r="F18">
        <v>5</v>
      </c>
      <c r="G18" s="13">
        <v>46262.613287037035</v>
      </c>
      <c r="H18" s="13">
        <v>46262.615787037037</v>
      </c>
      <c r="I18">
        <v>216</v>
      </c>
      <c r="J18" t="s">
        <v>255</v>
      </c>
      <c r="K18">
        <v>1</v>
      </c>
      <c r="L18">
        <v>0.04</v>
      </c>
      <c r="M18">
        <v>0.04</v>
      </c>
      <c r="N18">
        <v>1</v>
      </c>
      <c r="O18">
        <v>0.04</v>
      </c>
      <c r="P18">
        <v>5.12</v>
      </c>
      <c r="Q18">
        <v>4.08</v>
      </c>
      <c r="R18">
        <v>3.12</v>
      </c>
      <c r="S18" t="s">
        <v>256</v>
      </c>
      <c r="T18" t="s">
        <v>257</v>
      </c>
      <c r="U18">
        <v>10</v>
      </c>
      <c r="V18">
        <v>6209.8</v>
      </c>
      <c r="W18">
        <v>4999.32</v>
      </c>
      <c r="X18">
        <v>4994.88</v>
      </c>
      <c r="Y18">
        <v>0</v>
      </c>
      <c r="Z18">
        <v>0</v>
      </c>
      <c r="AA18">
        <v>35</v>
      </c>
      <c r="AB18">
        <v>50</v>
      </c>
      <c r="AC18">
        <v>5000</v>
      </c>
      <c r="AD18">
        <v>0</v>
      </c>
      <c r="AE18">
        <v>0</v>
      </c>
      <c r="AF18">
        <v>6213.16</v>
      </c>
      <c r="AG18">
        <v>6213.16</v>
      </c>
      <c r="AH18" s="14">
        <v>46262</v>
      </c>
      <c r="AI18" t="s">
        <v>258</v>
      </c>
      <c r="AJ18" s="13">
        <v>46262.213402777779</v>
      </c>
      <c r="AK18">
        <v>6066.68</v>
      </c>
      <c r="AL18" t="s">
        <v>259</v>
      </c>
      <c r="AM18" t="s">
        <v>260</v>
      </c>
      <c r="AN18">
        <v>1400</v>
      </c>
      <c r="AO18">
        <v>0</v>
      </c>
      <c r="AP18">
        <v>35</v>
      </c>
      <c r="AQ18">
        <v>85</v>
      </c>
      <c r="AR18">
        <v>35</v>
      </c>
      <c r="AS18">
        <v>2</v>
      </c>
      <c r="AT18">
        <v>23</v>
      </c>
      <c r="AU18">
        <v>1</v>
      </c>
      <c r="AV18">
        <v>0</v>
      </c>
      <c r="AW18">
        <v>10</v>
      </c>
      <c r="AX18">
        <v>1</v>
      </c>
      <c r="AY18">
        <v>10</v>
      </c>
      <c r="AZ18">
        <v>5</v>
      </c>
      <c r="BA18">
        <v>1</v>
      </c>
      <c r="BB18">
        <v>1440</v>
      </c>
      <c r="BC18">
        <v>0</v>
      </c>
      <c r="BD18">
        <v>0</v>
      </c>
      <c r="BE18">
        <v>14</v>
      </c>
      <c r="BF18">
        <v>25</v>
      </c>
      <c r="BG18">
        <v>3</v>
      </c>
      <c r="BH18">
        <v>8</v>
      </c>
      <c r="BI18">
        <v>3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0</v>
      </c>
      <c r="BQ18">
        <v>60</v>
      </c>
      <c r="BR18">
        <v>0</v>
      </c>
      <c r="BS18">
        <v>3</v>
      </c>
      <c r="BT18" t="s">
        <v>243</v>
      </c>
      <c r="BU18" t="s">
        <v>261</v>
      </c>
      <c r="BV18" t="b">
        <v>0</v>
      </c>
      <c r="BW18" t="s">
        <v>262</v>
      </c>
    </row>
    <row r="19" spans="1:75">
      <c r="A19" t="s">
        <v>243</v>
      </c>
      <c r="B19" t="s">
        <v>252</v>
      </c>
      <c r="C19">
        <v>931</v>
      </c>
      <c r="D19" t="s">
        <v>253</v>
      </c>
      <c r="E19" t="s">
        <v>254</v>
      </c>
      <c r="F19">
        <v>5</v>
      </c>
      <c r="G19" s="13">
        <v>46262.627696759257</v>
      </c>
      <c r="H19" s="13">
        <v>46262.63484953704</v>
      </c>
      <c r="I19">
        <v>618</v>
      </c>
      <c r="J19" t="s">
        <v>255</v>
      </c>
      <c r="K19">
        <v>3</v>
      </c>
      <c r="L19">
        <v>0.12</v>
      </c>
      <c r="M19">
        <v>0.04</v>
      </c>
      <c r="N19">
        <v>3</v>
      </c>
      <c r="O19">
        <v>0.12</v>
      </c>
      <c r="P19">
        <v>25.36</v>
      </c>
      <c r="Q19">
        <v>16.52</v>
      </c>
      <c r="R19">
        <v>10.76</v>
      </c>
      <c r="S19" t="s">
        <v>263</v>
      </c>
      <c r="T19" t="s">
        <v>257</v>
      </c>
      <c r="U19">
        <v>10</v>
      </c>
      <c r="V19">
        <v>6212.48</v>
      </c>
      <c r="W19">
        <v>4999.32</v>
      </c>
      <c r="X19">
        <v>4974.6400000000003</v>
      </c>
      <c r="Y19">
        <v>0</v>
      </c>
      <c r="Z19">
        <v>0</v>
      </c>
      <c r="AA19">
        <v>35</v>
      </c>
      <c r="AB19">
        <v>50</v>
      </c>
      <c r="AC19">
        <v>5000</v>
      </c>
      <c r="AD19">
        <v>0</v>
      </c>
      <c r="AE19">
        <v>0</v>
      </c>
      <c r="AF19">
        <v>6223.76</v>
      </c>
      <c r="AG19">
        <v>6223.76</v>
      </c>
      <c r="AH19" s="14">
        <v>46262</v>
      </c>
      <c r="AI19" t="s">
        <v>258</v>
      </c>
      <c r="AJ19" s="13">
        <v>46262.213402777779</v>
      </c>
      <c r="AK19">
        <v>6066.68</v>
      </c>
      <c r="AL19" t="s">
        <v>259</v>
      </c>
      <c r="AM19" t="s">
        <v>260</v>
      </c>
      <c r="AN19">
        <v>1400</v>
      </c>
      <c r="AO19">
        <v>0</v>
      </c>
      <c r="AP19">
        <v>35</v>
      </c>
      <c r="AQ19">
        <v>85</v>
      </c>
      <c r="AR19">
        <v>35</v>
      </c>
      <c r="AS19">
        <v>2</v>
      </c>
      <c r="AT19">
        <v>23</v>
      </c>
      <c r="AU19">
        <v>1</v>
      </c>
      <c r="AV19">
        <v>0</v>
      </c>
      <c r="AW19">
        <v>10</v>
      </c>
      <c r="AX19">
        <v>1</v>
      </c>
      <c r="AY19">
        <v>10</v>
      </c>
      <c r="AZ19">
        <v>5</v>
      </c>
      <c r="BA19">
        <v>1</v>
      </c>
      <c r="BB19">
        <v>1440</v>
      </c>
      <c r="BC19">
        <v>0</v>
      </c>
      <c r="BD19">
        <v>0</v>
      </c>
      <c r="BE19">
        <v>14</v>
      </c>
      <c r="BF19">
        <v>25</v>
      </c>
      <c r="BG19">
        <v>3</v>
      </c>
      <c r="BH19">
        <v>8</v>
      </c>
      <c r="BI19">
        <v>3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0</v>
      </c>
      <c r="BQ19">
        <v>60</v>
      </c>
      <c r="BR19">
        <v>0</v>
      </c>
      <c r="BS19">
        <v>3</v>
      </c>
      <c r="BT19" t="s">
        <v>243</v>
      </c>
      <c r="BU19" t="s">
        <v>261</v>
      </c>
      <c r="BV19" t="b">
        <v>0</v>
      </c>
      <c r="BW19" t="s">
        <v>262</v>
      </c>
    </row>
    <row r="20" spans="1:75">
      <c r="A20" t="s">
        <v>243</v>
      </c>
      <c r="B20" t="s">
        <v>252</v>
      </c>
      <c r="C20">
        <v>932</v>
      </c>
      <c r="D20" t="s">
        <v>253</v>
      </c>
      <c r="E20" t="s">
        <v>254</v>
      </c>
      <c r="F20">
        <v>5</v>
      </c>
      <c r="G20" s="13">
        <v>46262.639317129629</v>
      </c>
      <c r="H20" s="13">
        <v>46262.64</v>
      </c>
      <c r="I20">
        <v>59</v>
      </c>
      <c r="J20" t="s">
        <v>255</v>
      </c>
      <c r="K20">
        <v>1</v>
      </c>
      <c r="L20">
        <v>0.04</v>
      </c>
      <c r="M20">
        <v>0.04</v>
      </c>
      <c r="N20">
        <v>1</v>
      </c>
      <c r="O20">
        <v>0.04</v>
      </c>
      <c r="P20">
        <v>0.68</v>
      </c>
      <c r="Q20">
        <v>6.12</v>
      </c>
      <c r="R20">
        <v>4.76</v>
      </c>
      <c r="S20" t="s">
        <v>256</v>
      </c>
      <c r="T20" t="s">
        <v>257</v>
      </c>
      <c r="U20">
        <v>11</v>
      </c>
      <c r="V20">
        <v>6223.08</v>
      </c>
      <c r="W20">
        <v>4999.32</v>
      </c>
      <c r="X20">
        <v>4999.32</v>
      </c>
      <c r="Y20">
        <v>0</v>
      </c>
      <c r="Z20">
        <v>0</v>
      </c>
      <c r="AA20">
        <v>35</v>
      </c>
      <c r="AB20">
        <v>50</v>
      </c>
      <c r="AC20">
        <v>5000</v>
      </c>
      <c r="AD20">
        <v>0</v>
      </c>
      <c r="AE20">
        <v>0</v>
      </c>
      <c r="AF20">
        <v>6228.48</v>
      </c>
      <c r="AG20">
        <v>6228.48</v>
      </c>
      <c r="AH20" s="14">
        <v>46262</v>
      </c>
      <c r="AI20" t="s">
        <v>258</v>
      </c>
      <c r="AJ20" s="13">
        <v>46262.213402777779</v>
      </c>
      <c r="AK20">
        <v>6066.68</v>
      </c>
      <c r="AL20" t="s">
        <v>259</v>
      </c>
      <c r="AM20" t="s">
        <v>260</v>
      </c>
      <c r="AN20">
        <v>1400</v>
      </c>
      <c r="AO20">
        <v>0</v>
      </c>
      <c r="AP20">
        <v>35</v>
      </c>
      <c r="AQ20">
        <v>85</v>
      </c>
      <c r="AR20">
        <v>35</v>
      </c>
      <c r="AS20">
        <v>2</v>
      </c>
      <c r="AT20">
        <v>23</v>
      </c>
      <c r="AU20">
        <v>1</v>
      </c>
      <c r="AV20">
        <v>0</v>
      </c>
      <c r="AW20">
        <v>10</v>
      </c>
      <c r="AX20">
        <v>1</v>
      </c>
      <c r="AY20">
        <v>10</v>
      </c>
      <c r="AZ20">
        <v>5</v>
      </c>
      <c r="BA20">
        <v>1</v>
      </c>
      <c r="BB20">
        <v>1440</v>
      </c>
      <c r="BC20">
        <v>0</v>
      </c>
      <c r="BD20">
        <v>0</v>
      </c>
      <c r="BE20">
        <v>14</v>
      </c>
      <c r="BF20">
        <v>25</v>
      </c>
      <c r="BG20">
        <v>3</v>
      </c>
      <c r="BH20">
        <v>8</v>
      </c>
      <c r="BI20">
        <v>3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0</v>
      </c>
      <c r="BQ20">
        <v>60</v>
      </c>
      <c r="BR20">
        <v>0</v>
      </c>
      <c r="BS20">
        <v>3</v>
      </c>
      <c r="BT20" t="s">
        <v>243</v>
      </c>
      <c r="BU20" t="s">
        <v>261</v>
      </c>
      <c r="BV20" t="b">
        <v>0</v>
      </c>
      <c r="BW20" t="s">
        <v>262</v>
      </c>
    </row>
    <row r="21" spans="1:75">
      <c r="A21" t="s">
        <v>243</v>
      </c>
      <c r="B21" t="s">
        <v>252</v>
      </c>
      <c r="C21">
        <v>933</v>
      </c>
      <c r="D21" t="s">
        <v>253</v>
      </c>
      <c r="E21" t="s">
        <v>254</v>
      </c>
      <c r="F21">
        <v>5</v>
      </c>
      <c r="G21" s="13">
        <v>46262.645416666666</v>
      </c>
      <c r="H21" s="13">
        <v>46262.646608796298</v>
      </c>
      <c r="I21">
        <v>103</v>
      </c>
      <c r="J21" t="s">
        <v>264</v>
      </c>
      <c r="K21">
        <v>2</v>
      </c>
      <c r="L21">
        <v>0.08</v>
      </c>
      <c r="M21">
        <v>0.04</v>
      </c>
      <c r="N21">
        <v>2</v>
      </c>
      <c r="O21">
        <v>0.08</v>
      </c>
      <c r="P21">
        <v>8.56</v>
      </c>
      <c r="Q21">
        <v>12.68</v>
      </c>
      <c r="R21">
        <v>3.08</v>
      </c>
      <c r="S21" t="s">
        <v>263</v>
      </c>
      <c r="T21" t="s">
        <v>257</v>
      </c>
      <c r="U21">
        <v>10</v>
      </c>
      <c r="V21">
        <v>6227.92</v>
      </c>
      <c r="W21">
        <v>4999.4399999999996</v>
      </c>
      <c r="X21">
        <v>4991.4399999999996</v>
      </c>
      <c r="Y21">
        <v>0</v>
      </c>
      <c r="Z21">
        <v>0</v>
      </c>
      <c r="AA21">
        <v>35</v>
      </c>
      <c r="AB21">
        <v>50</v>
      </c>
      <c r="AC21">
        <v>5000</v>
      </c>
      <c r="AD21">
        <v>0</v>
      </c>
      <c r="AE21">
        <v>0</v>
      </c>
      <c r="AF21">
        <v>6231.48</v>
      </c>
      <c r="AG21">
        <v>6231.48</v>
      </c>
      <c r="AH21" s="14">
        <v>46262</v>
      </c>
      <c r="AI21" t="s">
        <v>258</v>
      </c>
      <c r="AJ21" s="13">
        <v>46262.213402777779</v>
      </c>
      <c r="AK21">
        <v>6066.68</v>
      </c>
      <c r="AL21" t="s">
        <v>259</v>
      </c>
      <c r="AM21" t="s">
        <v>260</v>
      </c>
      <c r="AN21">
        <v>1400</v>
      </c>
      <c r="AO21">
        <v>0</v>
      </c>
      <c r="AP21">
        <v>35</v>
      </c>
      <c r="AQ21">
        <v>85</v>
      </c>
      <c r="AR21">
        <v>35</v>
      </c>
      <c r="AS21">
        <v>2</v>
      </c>
      <c r="AT21">
        <v>23</v>
      </c>
      <c r="AU21">
        <v>1</v>
      </c>
      <c r="AV21">
        <v>0</v>
      </c>
      <c r="AW21">
        <v>10</v>
      </c>
      <c r="AX21">
        <v>1</v>
      </c>
      <c r="AY21">
        <v>10</v>
      </c>
      <c r="AZ21">
        <v>5</v>
      </c>
      <c r="BA21">
        <v>1</v>
      </c>
      <c r="BB21">
        <v>1440</v>
      </c>
      <c r="BC21">
        <v>0</v>
      </c>
      <c r="BD21">
        <v>0</v>
      </c>
      <c r="BE21">
        <v>14</v>
      </c>
      <c r="BF21">
        <v>25</v>
      </c>
      <c r="BG21">
        <v>3</v>
      </c>
      <c r="BH21">
        <v>8</v>
      </c>
      <c r="BI21">
        <v>3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0</v>
      </c>
      <c r="BQ21">
        <v>60</v>
      </c>
      <c r="BR21">
        <v>0</v>
      </c>
      <c r="BS21">
        <v>3</v>
      </c>
      <c r="BT21" t="s">
        <v>243</v>
      </c>
      <c r="BU21" t="s">
        <v>261</v>
      </c>
      <c r="BV21" t="b">
        <v>0</v>
      </c>
      <c r="BW21" t="s">
        <v>262</v>
      </c>
    </row>
    <row r="22" spans="1:75">
      <c r="A22" t="s">
        <v>243</v>
      </c>
      <c r="B22" t="s">
        <v>252</v>
      </c>
      <c r="C22">
        <v>934</v>
      </c>
      <c r="D22" t="s">
        <v>253</v>
      </c>
      <c r="E22" t="s">
        <v>254</v>
      </c>
      <c r="F22">
        <v>5</v>
      </c>
      <c r="G22" s="13">
        <v>46262.650023148148</v>
      </c>
      <c r="H22" s="13">
        <v>46262.650231481479</v>
      </c>
      <c r="I22">
        <v>18</v>
      </c>
      <c r="J22" t="s">
        <v>264</v>
      </c>
      <c r="K22">
        <v>1</v>
      </c>
      <c r="L22">
        <v>0.04</v>
      </c>
      <c r="M22">
        <v>0.04</v>
      </c>
      <c r="N22">
        <v>1</v>
      </c>
      <c r="O22">
        <v>0.04</v>
      </c>
      <c r="P22">
        <v>3.96</v>
      </c>
      <c r="Q22">
        <v>3.8</v>
      </c>
      <c r="R22">
        <v>2.44</v>
      </c>
      <c r="S22" t="s">
        <v>256</v>
      </c>
      <c r="T22" t="s">
        <v>257</v>
      </c>
      <c r="U22">
        <v>11</v>
      </c>
      <c r="V22">
        <v>6230.8</v>
      </c>
      <c r="W22">
        <v>4999.32</v>
      </c>
      <c r="X22">
        <v>4996.04</v>
      </c>
      <c r="Y22">
        <v>0</v>
      </c>
      <c r="Z22">
        <v>0</v>
      </c>
      <c r="AA22">
        <v>35</v>
      </c>
      <c r="AB22">
        <v>50</v>
      </c>
      <c r="AC22">
        <v>5000</v>
      </c>
      <c r="AD22">
        <v>0</v>
      </c>
      <c r="AE22">
        <v>0</v>
      </c>
      <c r="AF22">
        <v>6233.84</v>
      </c>
      <c r="AG22">
        <v>6233.84</v>
      </c>
      <c r="AH22" s="14">
        <v>46262</v>
      </c>
      <c r="AI22" t="s">
        <v>258</v>
      </c>
      <c r="AJ22" s="13">
        <v>46262.213402777779</v>
      </c>
      <c r="AK22">
        <v>6066.68</v>
      </c>
      <c r="AL22" t="s">
        <v>259</v>
      </c>
      <c r="AM22" t="s">
        <v>260</v>
      </c>
      <c r="AN22">
        <v>1400</v>
      </c>
      <c r="AO22">
        <v>0</v>
      </c>
      <c r="AP22">
        <v>35</v>
      </c>
      <c r="AQ22">
        <v>85</v>
      </c>
      <c r="AR22">
        <v>35</v>
      </c>
      <c r="AS22">
        <v>2</v>
      </c>
      <c r="AT22">
        <v>23</v>
      </c>
      <c r="AU22">
        <v>1</v>
      </c>
      <c r="AV22">
        <v>0</v>
      </c>
      <c r="AW22">
        <v>10</v>
      </c>
      <c r="AX22">
        <v>1</v>
      </c>
      <c r="AY22">
        <v>10</v>
      </c>
      <c r="AZ22">
        <v>5</v>
      </c>
      <c r="BA22">
        <v>1</v>
      </c>
      <c r="BB22">
        <v>1440</v>
      </c>
      <c r="BC22">
        <v>0</v>
      </c>
      <c r="BD22">
        <v>0</v>
      </c>
      <c r="BE22">
        <v>14</v>
      </c>
      <c r="BF22">
        <v>25</v>
      </c>
      <c r="BG22">
        <v>3</v>
      </c>
      <c r="BH22">
        <v>8</v>
      </c>
      <c r="BI22">
        <v>3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0</v>
      </c>
      <c r="BQ22">
        <v>60</v>
      </c>
      <c r="BR22">
        <v>0</v>
      </c>
      <c r="BS22">
        <v>3</v>
      </c>
      <c r="BT22" t="s">
        <v>243</v>
      </c>
      <c r="BU22" t="s">
        <v>261</v>
      </c>
      <c r="BV22" t="b">
        <v>0</v>
      </c>
      <c r="BW22" t="s">
        <v>262</v>
      </c>
    </row>
    <row r="23" spans="1:75">
      <c r="A23" t="s">
        <v>243</v>
      </c>
      <c r="B23" t="s">
        <v>252</v>
      </c>
      <c r="C23">
        <v>935</v>
      </c>
      <c r="D23" t="s">
        <v>253</v>
      </c>
      <c r="E23" t="s">
        <v>254</v>
      </c>
      <c r="F23">
        <v>5</v>
      </c>
      <c r="G23" s="13">
        <v>46262.658912037034</v>
      </c>
      <c r="H23" s="13">
        <v>46262.658993055556</v>
      </c>
      <c r="I23">
        <v>7</v>
      </c>
      <c r="J23" t="s">
        <v>255</v>
      </c>
      <c r="K23">
        <v>1</v>
      </c>
      <c r="L23">
        <v>0.04</v>
      </c>
      <c r="M23">
        <v>0.04</v>
      </c>
      <c r="N23">
        <v>1</v>
      </c>
      <c r="O23">
        <v>0.04</v>
      </c>
      <c r="P23">
        <v>1.52</v>
      </c>
      <c r="Q23">
        <v>3.76</v>
      </c>
      <c r="R23">
        <v>2.44</v>
      </c>
      <c r="S23" t="s">
        <v>256</v>
      </c>
      <c r="T23" t="s">
        <v>257</v>
      </c>
      <c r="U23">
        <v>11</v>
      </c>
      <c r="V23">
        <v>6233.2</v>
      </c>
      <c r="W23">
        <v>4999.3599999999997</v>
      </c>
      <c r="X23">
        <v>4998.4799999999996</v>
      </c>
      <c r="Y23">
        <v>0</v>
      </c>
      <c r="Z23">
        <v>0</v>
      </c>
      <c r="AA23">
        <v>35</v>
      </c>
      <c r="AB23">
        <v>50</v>
      </c>
      <c r="AC23">
        <v>5000</v>
      </c>
      <c r="AD23">
        <v>0</v>
      </c>
      <c r="AE23">
        <v>0</v>
      </c>
      <c r="AF23">
        <v>6236.16</v>
      </c>
      <c r="AG23">
        <v>6236.16</v>
      </c>
      <c r="AH23" s="14">
        <v>46262</v>
      </c>
      <c r="AI23" t="s">
        <v>258</v>
      </c>
      <c r="AJ23" s="13">
        <v>46262.213402777779</v>
      </c>
      <c r="AK23">
        <v>6066.68</v>
      </c>
      <c r="AL23" t="s">
        <v>259</v>
      </c>
      <c r="AM23" t="s">
        <v>260</v>
      </c>
      <c r="AN23">
        <v>1400</v>
      </c>
      <c r="AO23">
        <v>0</v>
      </c>
      <c r="AP23">
        <v>35</v>
      </c>
      <c r="AQ23">
        <v>85</v>
      </c>
      <c r="AR23">
        <v>35</v>
      </c>
      <c r="AS23">
        <v>2</v>
      </c>
      <c r="AT23">
        <v>23</v>
      </c>
      <c r="AU23">
        <v>1</v>
      </c>
      <c r="AV23">
        <v>0</v>
      </c>
      <c r="AW23">
        <v>10</v>
      </c>
      <c r="AX23">
        <v>1</v>
      </c>
      <c r="AY23">
        <v>10</v>
      </c>
      <c r="AZ23">
        <v>5</v>
      </c>
      <c r="BA23">
        <v>1</v>
      </c>
      <c r="BB23">
        <v>1440</v>
      </c>
      <c r="BC23">
        <v>0</v>
      </c>
      <c r="BD23">
        <v>0</v>
      </c>
      <c r="BE23">
        <v>14</v>
      </c>
      <c r="BF23">
        <v>25</v>
      </c>
      <c r="BG23">
        <v>3</v>
      </c>
      <c r="BH23">
        <v>8</v>
      </c>
      <c r="BI23">
        <v>3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0</v>
      </c>
      <c r="BQ23">
        <v>60</v>
      </c>
      <c r="BR23">
        <v>0</v>
      </c>
      <c r="BS23">
        <v>3</v>
      </c>
      <c r="BT23" t="s">
        <v>243</v>
      </c>
      <c r="BU23" t="s">
        <v>261</v>
      </c>
      <c r="BV23" t="b">
        <v>0</v>
      </c>
      <c r="BW23" t="s">
        <v>262</v>
      </c>
    </row>
    <row r="24" spans="1:75">
      <c r="A24" t="s">
        <v>243</v>
      </c>
      <c r="B24" t="s">
        <v>252</v>
      </c>
      <c r="C24">
        <v>936</v>
      </c>
      <c r="D24" t="s">
        <v>253</v>
      </c>
      <c r="E24" t="s">
        <v>254</v>
      </c>
      <c r="F24">
        <v>5</v>
      </c>
      <c r="G24" s="13">
        <v>46262.660671296297</v>
      </c>
      <c r="H24" s="13">
        <v>46262.660983796297</v>
      </c>
      <c r="I24">
        <v>27</v>
      </c>
      <c r="J24" t="s">
        <v>264</v>
      </c>
      <c r="K24">
        <v>1</v>
      </c>
      <c r="L24">
        <v>0.04</v>
      </c>
      <c r="M24">
        <v>0.04</v>
      </c>
      <c r="N24">
        <v>1</v>
      </c>
      <c r="O24">
        <v>0.04</v>
      </c>
      <c r="P24">
        <v>1.88</v>
      </c>
      <c r="Q24">
        <v>3.52</v>
      </c>
      <c r="R24">
        <v>3.04</v>
      </c>
      <c r="S24" t="s">
        <v>256</v>
      </c>
      <c r="T24" t="s">
        <v>257</v>
      </c>
      <c r="U24">
        <v>10</v>
      </c>
      <c r="V24">
        <v>6235.52</v>
      </c>
      <c r="W24">
        <v>4999.3599999999997</v>
      </c>
      <c r="X24">
        <v>4998.12</v>
      </c>
      <c r="Y24">
        <v>0</v>
      </c>
      <c r="Z24">
        <v>0</v>
      </c>
      <c r="AA24">
        <v>35</v>
      </c>
      <c r="AB24">
        <v>50</v>
      </c>
      <c r="AC24">
        <v>5000</v>
      </c>
      <c r="AD24">
        <v>0</v>
      </c>
      <c r="AE24">
        <v>0</v>
      </c>
      <c r="AF24">
        <v>6238.28</v>
      </c>
      <c r="AG24">
        <v>6238.28</v>
      </c>
      <c r="AH24" s="14">
        <v>46262</v>
      </c>
      <c r="AI24" t="s">
        <v>258</v>
      </c>
      <c r="AJ24" s="13">
        <v>46262.213402777779</v>
      </c>
      <c r="AK24">
        <v>6066.68</v>
      </c>
      <c r="AL24" t="s">
        <v>259</v>
      </c>
      <c r="AM24" t="s">
        <v>260</v>
      </c>
      <c r="AN24">
        <v>1400</v>
      </c>
      <c r="AO24">
        <v>0</v>
      </c>
      <c r="AP24">
        <v>35</v>
      </c>
      <c r="AQ24">
        <v>85</v>
      </c>
      <c r="AR24">
        <v>35</v>
      </c>
      <c r="AS24">
        <v>2</v>
      </c>
      <c r="AT24">
        <v>23</v>
      </c>
      <c r="AU24">
        <v>1</v>
      </c>
      <c r="AV24">
        <v>0</v>
      </c>
      <c r="AW24">
        <v>10</v>
      </c>
      <c r="AX24">
        <v>1</v>
      </c>
      <c r="AY24">
        <v>10</v>
      </c>
      <c r="AZ24">
        <v>5</v>
      </c>
      <c r="BA24">
        <v>1</v>
      </c>
      <c r="BB24">
        <v>1440</v>
      </c>
      <c r="BC24">
        <v>0</v>
      </c>
      <c r="BD24">
        <v>0</v>
      </c>
      <c r="BE24">
        <v>14</v>
      </c>
      <c r="BF24">
        <v>25</v>
      </c>
      <c r="BG24">
        <v>3</v>
      </c>
      <c r="BH24">
        <v>8</v>
      </c>
      <c r="BI24">
        <v>3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0</v>
      </c>
      <c r="BQ24">
        <v>60</v>
      </c>
      <c r="BR24">
        <v>0</v>
      </c>
      <c r="BS24">
        <v>3</v>
      </c>
      <c r="BT24" t="s">
        <v>243</v>
      </c>
      <c r="BU24" t="s">
        <v>261</v>
      </c>
      <c r="BV24" t="b">
        <v>0</v>
      </c>
      <c r="BW24" t="s">
        <v>262</v>
      </c>
    </row>
    <row r="25" spans="1:75">
      <c r="A25" t="s">
        <v>243</v>
      </c>
      <c r="B25" t="s">
        <v>252</v>
      </c>
      <c r="C25">
        <v>937</v>
      </c>
      <c r="D25" t="s">
        <v>253</v>
      </c>
      <c r="E25" t="s">
        <v>254</v>
      </c>
      <c r="F25">
        <v>5</v>
      </c>
      <c r="G25" s="13">
        <v>46262.663483796299</v>
      </c>
      <c r="H25" s="13">
        <v>46262.66369212963</v>
      </c>
      <c r="I25">
        <v>18</v>
      </c>
      <c r="J25" t="s">
        <v>255</v>
      </c>
      <c r="K25">
        <v>1</v>
      </c>
      <c r="L25">
        <v>0.04</v>
      </c>
      <c r="M25">
        <v>0.04</v>
      </c>
      <c r="N25">
        <v>1</v>
      </c>
      <c r="O25">
        <v>0.04</v>
      </c>
      <c r="P25">
        <v>1.48</v>
      </c>
      <c r="Q25">
        <v>6.12</v>
      </c>
      <c r="R25">
        <v>4.96</v>
      </c>
      <c r="S25" t="s">
        <v>256</v>
      </c>
      <c r="T25" t="s">
        <v>257</v>
      </c>
      <c r="U25">
        <v>10</v>
      </c>
      <c r="V25">
        <v>6237.6</v>
      </c>
      <c r="W25">
        <v>4999.32</v>
      </c>
      <c r="X25">
        <v>4998.5200000000004</v>
      </c>
      <c r="Y25">
        <v>0</v>
      </c>
      <c r="Z25">
        <v>0</v>
      </c>
      <c r="AA25">
        <v>35</v>
      </c>
      <c r="AB25">
        <v>50</v>
      </c>
      <c r="AC25">
        <v>5000</v>
      </c>
      <c r="AD25">
        <v>0</v>
      </c>
      <c r="AE25">
        <v>0</v>
      </c>
      <c r="AF25">
        <v>6243</v>
      </c>
      <c r="AG25">
        <v>6243</v>
      </c>
      <c r="AH25" s="14">
        <v>46262</v>
      </c>
      <c r="AI25" t="s">
        <v>258</v>
      </c>
      <c r="AJ25" s="13">
        <v>46262.213402777779</v>
      </c>
      <c r="AK25">
        <v>6066.68</v>
      </c>
      <c r="AL25" t="s">
        <v>259</v>
      </c>
      <c r="AM25" t="s">
        <v>260</v>
      </c>
      <c r="AN25">
        <v>1400</v>
      </c>
      <c r="AO25">
        <v>0</v>
      </c>
      <c r="AP25">
        <v>35</v>
      </c>
      <c r="AQ25">
        <v>85</v>
      </c>
      <c r="AR25">
        <v>35</v>
      </c>
      <c r="AS25">
        <v>2</v>
      </c>
      <c r="AT25">
        <v>23</v>
      </c>
      <c r="AU25">
        <v>1</v>
      </c>
      <c r="AV25">
        <v>0</v>
      </c>
      <c r="AW25">
        <v>10</v>
      </c>
      <c r="AX25">
        <v>1</v>
      </c>
      <c r="AY25">
        <v>10</v>
      </c>
      <c r="AZ25">
        <v>5</v>
      </c>
      <c r="BA25">
        <v>1</v>
      </c>
      <c r="BB25">
        <v>1440</v>
      </c>
      <c r="BC25">
        <v>0</v>
      </c>
      <c r="BD25">
        <v>0</v>
      </c>
      <c r="BE25">
        <v>14</v>
      </c>
      <c r="BF25">
        <v>25</v>
      </c>
      <c r="BG25">
        <v>3</v>
      </c>
      <c r="BH25">
        <v>8</v>
      </c>
      <c r="BI25">
        <v>3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0</v>
      </c>
      <c r="BQ25">
        <v>60</v>
      </c>
      <c r="BR25">
        <v>0</v>
      </c>
      <c r="BS25">
        <v>3</v>
      </c>
      <c r="BT25" t="s">
        <v>243</v>
      </c>
      <c r="BU25" t="s">
        <v>261</v>
      </c>
      <c r="BV25" t="b">
        <v>0</v>
      </c>
      <c r="BW25" t="s">
        <v>262</v>
      </c>
    </row>
    <row r="26" spans="1:75">
      <c r="A26" t="s">
        <v>243</v>
      </c>
      <c r="B26" t="s">
        <v>252</v>
      </c>
      <c r="C26">
        <v>938</v>
      </c>
      <c r="D26" t="s">
        <v>253</v>
      </c>
      <c r="E26" t="s">
        <v>254</v>
      </c>
      <c r="F26">
        <v>5</v>
      </c>
      <c r="G26" s="13">
        <v>46262.666979166665</v>
      </c>
      <c r="H26" s="13">
        <v>46262.667303240742</v>
      </c>
      <c r="I26">
        <v>28</v>
      </c>
      <c r="J26" t="s">
        <v>264</v>
      </c>
      <c r="K26">
        <v>1</v>
      </c>
      <c r="L26">
        <v>0.04</v>
      </c>
      <c r="M26">
        <v>0.04</v>
      </c>
      <c r="N26">
        <v>1</v>
      </c>
      <c r="O26">
        <v>0.04</v>
      </c>
      <c r="P26">
        <v>2.96</v>
      </c>
      <c r="Q26">
        <v>9.1999999999999993</v>
      </c>
      <c r="R26">
        <v>8.44</v>
      </c>
      <c r="S26" t="s">
        <v>256</v>
      </c>
      <c r="T26" t="s">
        <v>257</v>
      </c>
      <c r="U26">
        <v>10</v>
      </c>
      <c r="V26">
        <v>6242.32</v>
      </c>
      <c r="W26">
        <v>4999.32</v>
      </c>
      <c r="X26">
        <v>4997.04</v>
      </c>
      <c r="Y26">
        <v>0</v>
      </c>
      <c r="Z26">
        <v>0</v>
      </c>
      <c r="AA26">
        <v>35</v>
      </c>
      <c r="AB26">
        <v>50</v>
      </c>
      <c r="AC26">
        <v>5000</v>
      </c>
      <c r="AD26">
        <v>0</v>
      </c>
      <c r="AE26">
        <v>0</v>
      </c>
      <c r="AF26">
        <v>6250.8</v>
      </c>
      <c r="AG26">
        <v>6250.8</v>
      </c>
      <c r="AH26" s="14">
        <v>46262</v>
      </c>
      <c r="AI26" t="s">
        <v>258</v>
      </c>
      <c r="AJ26" s="13">
        <v>46262.213402777779</v>
      </c>
      <c r="AK26">
        <v>6066.68</v>
      </c>
      <c r="AL26" t="s">
        <v>259</v>
      </c>
      <c r="AM26" t="s">
        <v>260</v>
      </c>
      <c r="AN26">
        <v>1400</v>
      </c>
      <c r="AO26">
        <v>0</v>
      </c>
      <c r="AP26">
        <v>35</v>
      </c>
      <c r="AQ26">
        <v>85</v>
      </c>
      <c r="AR26">
        <v>35</v>
      </c>
      <c r="AS26">
        <v>2</v>
      </c>
      <c r="AT26">
        <v>23</v>
      </c>
      <c r="AU26">
        <v>1</v>
      </c>
      <c r="AV26">
        <v>0</v>
      </c>
      <c r="AW26">
        <v>10</v>
      </c>
      <c r="AX26">
        <v>1</v>
      </c>
      <c r="AY26">
        <v>10</v>
      </c>
      <c r="AZ26">
        <v>5</v>
      </c>
      <c r="BA26">
        <v>1</v>
      </c>
      <c r="BB26">
        <v>1440</v>
      </c>
      <c r="BC26">
        <v>0</v>
      </c>
      <c r="BD26">
        <v>0</v>
      </c>
      <c r="BE26">
        <v>14</v>
      </c>
      <c r="BF26">
        <v>25</v>
      </c>
      <c r="BG26">
        <v>3</v>
      </c>
      <c r="BH26">
        <v>8</v>
      </c>
      <c r="BI26">
        <v>3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0</v>
      </c>
      <c r="BQ26">
        <v>60</v>
      </c>
      <c r="BR26">
        <v>0</v>
      </c>
      <c r="BS26">
        <v>3</v>
      </c>
      <c r="BT26" t="s">
        <v>243</v>
      </c>
      <c r="BU26" t="s">
        <v>261</v>
      </c>
      <c r="BV26" t="b">
        <v>0</v>
      </c>
      <c r="BW26" t="s">
        <v>262</v>
      </c>
    </row>
    <row r="27" spans="1:75">
      <c r="A27" t="s">
        <v>243</v>
      </c>
      <c r="B27" t="s">
        <v>252</v>
      </c>
      <c r="C27">
        <v>939</v>
      </c>
      <c r="D27" t="s">
        <v>253</v>
      </c>
      <c r="E27" t="s">
        <v>254</v>
      </c>
      <c r="F27">
        <v>5</v>
      </c>
      <c r="G27" s="13">
        <v>46262.671863425923</v>
      </c>
      <c r="H27" s="13">
        <v>46262.672256944446</v>
      </c>
      <c r="I27">
        <v>34</v>
      </c>
      <c r="J27" t="s">
        <v>255</v>
      </c>
      <c r="K27">
        <v>1</v>
      </c>
      <c r="L27">
        <v>0.04</v>
      </c>
      <c r="M27">
        <v>0.04</v>
      </c>
      <c r="N27">
        <v>1</v>
      </c>
      <c r="O27">
        <v>0.04</v>
      </c>
      <c r="P27">
        <v>2.2400000000000002</v>
      </c>
      <c r="Q27">
        <v>5.24</v>
      </c>
      <c r="R27">
        <v>3.96</v>
      </c>
      <c r="S27" t="s">
        <v>256</v>
      </c>
      <c r="T27" t="s">
        <v>257</v>
      </c>
      <c r="U27">
        <v>11</v>
      </c>
      <c r="V27">
        <v>6250.12</v>
      </c>
      <c r="W27">
        <v>4999.32</v>
      </c>
      <c r="X27">
        <v>4997.76</v>
      </c>
      <c r="Y27">
        <v>0</v>
      </c>
      <c r="Z27">
        <v>0</v>
      </c>
      <c r="AA27">
        <v>35</v>
      </c>
      <c r="AB27">
        <v>50</v>
      </c>
      <c r="AC27">
        <v>5000</v>
      </c>
      <c r="AD27">
        <v>0</v>
      </c>
      <c r="AE27">
        <v>0</v>
      </c>
      <c r="AF27">
        <v>6254.64</v>
      </c>
      <c r="AG27">
        <v>6254.64</v>
      </c>
      <c r="AH27" s="14">
        <v>46262</v>
      </c>
      <c r="AI27" t="s">
        <v>258</v>
      </c>
      <c r="AJ27" s="13">
        <v>46262.213402777779</v>
      </c>
      <c r="AK27">
        <v>6066.68</v>
      </c>
      <c r="AL27" t="s">
        <v>259</v>
      </c>
      <c r="AM27" t="s">
        <v>260</v>
      </c>
      <c r="AN27">
        <v>1400</v>
      </c>
      <c r="AO27">
        <v>0</v>
      </c>
      <c r="AP27">
        <v>35</v>
      </c>
      <c r="AQ27">
        <v>85</v>
      </c>
      <c r="AR27">
        <v>35</v>
      </c>
      <c r="AS27">
        <v>2</v>
      </c>
      <c r="AT27">
        <v>23</v>
      </c>
      <c r="AU27">
        <v>1</v>
      </c>
      <c r="AV27">
        <v>0</v>
      </c>
      <c r="AW27">
        <v>10</v>
      </c>
      <c r="AX27">
        <v>1</v>
      </c>
      <c r="AY27">
        <v>10</v>
      </c>
      <c r="AZ27">
        <v>5</v>
      </c>
      <c r="BA27">
        <v>1</v>
      </c>
      <c r="BB27">
        <v>1440</v>
      </c>
      <c r="BC27">
        <v>0</v>
      </c>
      <c r="BD27">
        <v>0</v>
      </c>
      <c r="BE27">
        <v>14</v>
      </c>
      <c r="BF27">
        <v>25</v>
      </c>
      <c r="BG27">
        <v>3</v>
      </c>
      <c r="BH27">
        <v>8</v>
      </c>
      <c r="BI27">
        <v>3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0</v>
      </c>
      <c r="BQ27">
        <v>60</v>
      </c>
      <c r="BR27">
        <v>0</v>
      </c>
      <c r="BS27">
        <v>3</v>
      </c>
      <c r="BT27" t="s">
        <v>243</v>
      </c>
      <c r="BU27" t="s">
        <v>261</v>
      </c>
      <c r="BV27" t="b">
        <v>0</v>
      </c>
      <c r="BW27" t="s">
        <v>262</v>
      </c>
    </row>
    <row r="28" spans="1:75">
      <c r="A28" t="s">
        <v>243</v>
      </c>
      <c r="B28" t="s">
        <v>252</v>
      </c>
      <c r="C28">
        <v>940</v>
      </c>
      <c r="D28" t="s">
        <v>253</v>
      </c>
      <c r="E28" t="s">
        <v>254</v>
      </c>
      <c r="F28">
        <v>5</v>
      </c>
      <c r="G28" s="13">
        <v>46262.677546296298</v>
      </c>
      <c r="H28" s="13">
        <v>46262.67769675926</v>
      </c>
      <c r="I28">
        <v>13</v>
      </c>
      <c r="J28" t="s">
        <v>264</v>
      </c>
      <c r="K28">
        <v>1</v>
      </c>
      <c r="L28">
        <v>0.04</v>
      </c>
      <c r="M28">
        <v>0.04</v>
      </c>
      <c r="N28">
        <v>1</v>
      </c>
      <c r="O28">
        <v>0.04</v>
      </c>
      <c r="P28">
        <v>1.08</v>
      </c>
      <c r="Q28">
        <v>5.48</v>
      </c>
      <c r="R28">
        <v>5.48</v>
      </c>
      <c r="S28" t="s">
        <v>256</v>
      </c>
      <c r="T28" t="s">
        <v>257</v>
      </c>
      <c r="U28">
        <v>11</v>
      </c>
      <c r="V28">
        <v>6253.96</v>
      </c>
      <c r="W28">
        <v>4999.32</v>
      </c>
      <c r="X28">
        <v>4998.92</v>
      </c>
      <c r="Y28">
        <v>0</v>
      </c>
      <c r="Z28">
        <v>0</v>
      </c>
      <c r="AA28">
        <v>35</v>
      </c>
      <c r="AB28">
        <v>50</v>
      </c>
      <c r="AC28">
        <v>5000</v>
      </c>
      <c r="AD28">
        <v>0</v>
      </c>
      <c r="AE28">
        <v>0</v>
      </c>
      <c r="AF28">
        <v>6258.72</v>
      </c>
      <c r="AG28">
        <v>6258.72</v>
      </c>
      <c r="AH28" s="14">
        <v>46262</v>
      </c>
      <c r="AI28" t="s">
        <v>258</v>
      </c>
      <c r="AJ28" s="13">
        <v>46262.213402777779</v>
      </c>
      <c r="AK28">
        <v>6066.68</v>
      </c>
      <c r="AL28" t="s">
        <v>259</v>
      </c>
      <c r="AM28" t="s">
        <v>260</v>
      </c>
      <c r="AN28">
        <v>1400</v>
      </c>
      <c r="AO28">
        <v>0</v>
      </c>
      <c r="AP28">
        <v>35</v>
      </c>
      <c r="AQ28">
        <v>85</v>
      </c>
      <c r="AR28">
        <v>35</v>
      </c>
      <c r="AS28">
        <v>2</v>
      </c>
      <c r="AT28">
        <v>23</v>
      </c>
      <c r="AU28">
        <v>1</v>
      </c>
      <c r="AV28">
        <v>0</v>
      </c>
      <c r="AW28">
        <v>10</v>
      </c>
      <c r="AX28">
        <v>1</v>
      </c>
      <c r="AY28">
        <v>10</v>
      </c>
      <c r="AZ28">
        <v>5</v>
      </c>
      <c r="BA28">
        <v>1</v>
      </c>
      <c r="BB28">
        <v>1440</v>
      </c>
      <c r="BC28">
        <v>0</v>
      </c>
      <c r="BD28">
        <v>0</v>
      </c>
      <c r="BE28">
        <v>14</v>
      </c>
      <c r="BF28">
        <v>25</v>
      </c>
      <c r="BG28">
        <v>3</v>
      </c>
      <c r="BH28">
        <v>8</v>
      </c>
      <c r="BI28">
        <v>3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0</v>
      </c>
      <c r="BQ28">
        <v>60</v>
      </c>
      <c r="BR28">
        <v>0</v>
      </c>
      <c r="BS28">
        <v>3</v>
      </c>
      <c r="BT28" t="s">
        <v>243</v>
      </c>
      <c r="BU28" t="s">
        <v>261</v>
      </c>
      <c r="BV28" t="b">
        <v>0</v>
      </c>
      <c r="BW28" t="s">
        <v>262</v>
      </c>
    </row>
    <row r="29" spans="1:75">
      <c r="A29" t="s">
        <v>243</v>
      </c>
      <c r="B29" t="s">
        <v>252</v>
      </c>
      <c r="C29">
        <v>941</v>
      </c>
      <c r="D29" t="s">
        <v>253</v>
      </c>
      <c r="E29" t="s">
        <v>254</v>
      </c>
      <c r="F29">
        <v>5</v>
      </c>
      <c r="G29" s="13">
        <v>46262.683865740742</v>
      </c>
      <c r="H29" s="13">
        <v>46262.684062499997</v>
      </c>
      <c r="I29">
        <v>17</v>
      </c>
      <c r="J29" t="s">
        <v>255</v>
      </c>
      <c r="K29">
        <v>1</v>
      </c>
      <c r="L29">
        <v>0.04</v>
      </c>
      <c r="M29">
        <v>0.04</v>
      </c>
      <c r="N29">
        <v>1</v>
      </c>
      <c r="O29">
        <v>0.04</v>
      </c>
      <c r="P29">
        <v>1.32</v>
      </c>
      <c r="Q29">
        <v>6.48</v>
      </c>
      <c r="R29">
        <v>5.28</v>
      </c>
      <c r="S29" t="s">
        <v>256</v>
      </c>
      <c r="T29" t="s">
        <v>257</v>
      </c>
      <c r="U29">
        <v>11</v>
      </c>
      <c r="V29">
        <v>6257.48</v>
      </c>
      <c r="W29">
        <v>4998.76</v>
      </c>
      <c r="X29">
        <v>4998.68</v>
      </c>
      <c r="Y29">
        <v>0</v>
      </c>
      <c r="Z29">
        <v>0</v>
      </c>
      <c r="AA29">
        <v>35</v>
      </c>
      <c r="AB29">
        <v>50</v>
      </c>
      <c r="AC29">
        <v>5000</v>
      </c>
      <c r="AD29">
        <v>0</v>
      </c>
      <c r="AE29">
        <v>0</v>
      </c>
      <c r="AF29">
        <v>6263.8</v>
      </c>
      <c r="AG29">
        <v>6263.8</v>
      </c>
      <c r="AH29" s="14">
        <v>46262</v>
      </c>
      <c r="AI29" t="s">
        <v>258</v>
      </c>
      <c r="AJ29" s="13">
        <v>46262.213402777779</v>
      </c>
      <c r="AK29">
        <v>6066.68</v>
      </c>
      <c r="AL29" t="s">
        <v>259</v>
      </c>
      <c r="AM29" t="s">
        <v>260</v>
      </c>
      <c r="AN29">
        <v>1400</v>
      </c>
      <c r="AO29">
        <v>0</v>
      </c>
      <c r="AP29">
        <v>35</v>
      </c>
      <c r="AQ29">
        <v>85</v>
      </c>
      <c r="AR29">
        <v>35</v>
      </c>
      <c r="AS29">
        <v>2</v>
      </c>
      <c r="AT29">
        <v>23</v>
      </c>
      <c r="AU29">
        <v>1</v>
      </c>
      <c r="AV29">
        <v>0</v>
      </c>
      <c r="AW29">
        <v>10</v>
      </c>
      <c r="AX29">
        <v>1</v>
      </c>
      <c r="AY29">
        <v>10</v>
      </c>
      <c r="AZ29">
        <v>5</v>
      </c>
      <c r="BA29">
        <v>1</v>
      </c>
      <c r="BB29">
        <v>1440</v>
      </c>
      <c r="BC29">
        <v>0</v>
      </c>
      <c r="BD29">
        <v>0</v>
      </c>
      <c r="BE29">
        <v>14</v>
      </c>
      <c r="BF29">
        <v>25</v>
      </c>
      <c r="BG29">
        <v>3</v>
      </c>
      <c r="BH29">
        <v>8</v>
      </c>
      <c r="BI29">
        <v>3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0</v>
      </c>
      <c r="BQ29">
        <v>60</v>
      </c>
      <c r="BR29">
        <v>0</v>
      </c>
      <c r="BS29">
        <v>3</v>
      </c>
      <c r="BT29" t="s">
        <v>243</v>
      </c>
      <c r="BU29" t="s">
        <v>261</v>
      </c>
      <c r="BV29" t="b">
        <v>0</v>
      </c>
      <c r="BW29" t="s">
        <v>262</v>
      </c>
    </row>
    <row r="30" spans="1:75">
      <c r="A30" t="s">
        <v>243</v>
      </c>
      <c r="B30" t="s">
        <v>252</v>
      </c>
      <c r="C30">
        <v>942</v>
      </c>
      <c r="D30" t="s">
        <v>253</v>
      </c>
      <c r="E30" t="s">
        <v>254</v>
      </c>
      <c r="F30">
        <v>5</v>
      </c>
      <c r="G30" s="13">
        <v>46262.68472222222</v>
      </c>
      <c r="H30" s="13">
        <v>46262.710034722222</v>
      </c>
      <c r="I30">
        <v>2187</v>
      </c>
      <c r="J30" t="s">
        <v>264</v>
      </c>
      <c r="K30">
        <v>5</v>
      </c>
      <c r="L30">
        <v>0.2</v>
      </c>
      <c r="M30">
        <v>0.04</v>
      </c>
      <c r="N30">
        <v>5</v>
      </c>
      <c r="O30">
        <v>0.2</v>
      </c>
      <c r="P30">
        <v>409.4</v>
      </c>
      <c r="Q30">
        <v>372.32</v>
      </c>
      <c r="R30">
        <v>372.32</v>
      </c>
      <c r="S30" t="s">
        <v>263</v>
      </c>
      <c r="T30" t="s">
        <v>257</v>
      </c>
      <c r="U30">
        <v>11</v>
      </c>
      <c r="V30">
        <v>6263.16</v>
      </c>
      <c r="W30">
        <v>4999.3599999999997</v>
      </c>
      <c r="X30">
        <v>4590.6000000000004</v>
      </c>
      <c r="Y30">
        <v>0</v>
      </c>
      <c r="Z30">
        <v>0</v>
      </c>
      <c r="AA30">
        <v>35</v>
      </c>
      <c r="AB30">
        <v>50</v>
      </c>
      <c r="AC30">
        <v>5000</v>
      </c>
      <c r="AD30">
        <v>0</v>
      </c>
      <c r="AE30">
        <v>0</v>
      </c>
      <c r="AF30">
        <v>6679.12</v>
      </c>
      <c r="AG30">
        <v>6679.12</v>
      </c>
      <c r="AH30" s="14">
        <v>46262</v>
      </c>
      <c r="AI30" t="s">
        <v>258</v>
      </c>
      <c r="AJ30" s="13">
        <v>46262.213402777779</v>
      </c>
      <c r="AK30">
        <v>6066.68</v>
      </c>
      <c r="AL30" t="s">
        <v>259</v>
      </c>
      <c r="AM30" t="s">
        <v>260</v>
      </c>
      <c r="AN30">
        <v>1400</v>
      </c>
      <c r="AO30">
        <v>0</v>
      </c>
      <c r="AP30">
        <v>35</v>
      </c>
      <c r="AQ30">
        <v>85</v>
      </c>
      <c r="AR30">
        <v>35</v>
      </c>
      <c r="AS30">
        <v>2</v>
      </c>
      <c r="AT30">
        <v>23</v>
      </c>
      <c r="AU30">
        <v>1</v>
      </c>
      <c r="AV30">
        <v>0</v>
      </c>
      <c r="AW30">
        <v>10</v>
      </c>
      <c r="AX30">
        <v>1</v>
      </c>
      <c r="AY30">
        <v>10</v>
      </c>
      <c r="AZ30">
        <v>5</v>
      </c>
      <c r="BA30">
        <v>1</v>
      </c>
      <c r="BB30">
        <v>1440</v>
      </c>
      <c r="BC30">
        <v>0</v>
      </c>
      <c r="BD30">
        <v>0</v>
      </c>
      <c r="BE30">
        <v>14</v>
      </c>
      <c r="BF30">
        <v>25</v>
      </c>
      <c r="BG30">
        <v>3</v>
      </c>
      <c r="BH30">
        <v>8</v>
      </c>
      <c r="BI30">
        <v>3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0</v>
      </c>
      <c r="BQ30">
        <v>60</v>
      </c>
      <c r="BR30">
        <v>0</v>
      </c>
      <c r="BS30">
        <v>3</v>
      </c>
      <c r="BT30" t="s">
        <v>243</v>
      </c>
      <c r="BU30" t="s">
        <v>261</v>
      </c>
      <c r="BV30" t="b">
        <v>0</v>
      </c>
      <c r="BW30" t="s">
        <v>262</v>
      </c>
    </row>
    <row r="31" spans="1:75">
      <c r="A31" t="s">
        <v>243</v>
      </c>
      <c r="B31" t="s">
        <v>252</v>
      </c>
      <c r="C31">
        <v>943</v>
      </c>
      <c r="D31" t="s">
        <v>253</v>
      </c>
      <c r="E31" t="s">
        <v>254</v>
      </c>
      <c r="F31">
        <v>5</v>
      </c>
      <c r="G31" s="13">
        <v>46262.710034722222</v>
      </c>
      <c r="H31" s="13">
        <v>46262.712395833332</v>
      </c>
      <c r="I31">
        <v>204</v>
      </c>
      <c r="J31" t="s">
        <v>264</v>
      </c>
      <c r="K31">
        <v>1</v>
      </c>
      <c r="L31">
        <v>0.04</v>
      </c>
      <c r="M31">
        <v>0.04</v>
      </c>
      <c r="N31">
        <v>1</v>
      </c>
      <c r="O31">
        <v>0.04</v>
      </c>
      <c r="P31">
        <v>46.88</v>
      </c>
      <c r="Q31">
        <v>25</v>
      </c>
      <c r="R31">
        <v>25</v>
      </c>
      <c r="S31" t="s">
        <v>256</v>
      </c>
      <c r="T31" t="s">
        <v>257</v>
      </c>
      <c r="U31">
        <v>15</v>
      </c>
      <c r="V31">
        <v>6678.32</v>
      </c>
      <c r="W31">
        <v>4999.2</v>
      </c>
      <c r="X31">
        <v>4953.12</v>
      </c>
      <c r="Y31">
        <v>0</v>
      </c>
      <c r="Z31">
        <v>0</v>
      </c>
      <c r="AA31">
        <v>35</v>
      </c>
      <c r="AB31">
        <v>50</v>
      </c>
      <c r="AC31">
        <v>5000</v>
      </c>
      <c r="AD31">
        <v>0</v>
      </c>
      <c r="AE31">
        <v>0</v>
      </c>
      <c r="AF31">
        <v>6702.68</v>
      </c>
      <c r="AG31">
        <v>6702.68</v>
      </c>
      <c r="AH31" s="14">
        <v>46262</v>
      </c>
      <c r="AI31" t="s">
        <v>258</v>
      </c>
      <c r="AJ31" s="13">
        <v>46262.213402777779</v>
      </c>
      <c r="AK31">
        <v>6066.68</v>
      </c>
      <c r="AL31" t="s">
        <v>259</v>
      </c>
      <c r="AM31" t="s">
        <v>260</v>
      </c>
      <c r="AN31">
        <v>1400</v>
      </c>
      <c r="AO31">
        <v>0</v>
      </c>
      <c r="AP31">
        <v>35</v>
      </c>
      <c r="AQ31">
        <v>85</v>
      </c>
      <c r="AR31">
        <v>35</v>
      </c>
      <c r="AS31">
        <v>2</v>
      </c>
      <c r="AT31">
        <v>23</v>
      </c>
      <c r="AU31">
        <v>1</v>
      </c>
      <c r="AV31">
        <v>0</v>
      </c>
      <c r="AW31">
        <v>10</v>
      </c>
      <c r="AX31">
        <v>1</v>
      </c>
      <c r="AY31">
        <v>10</v>
      </c>
      <c r="AZ31">
        <v>5</v>
      </c>
      <c r="BA31">
        <v>1</v>
      </c>
      <c r="BB31">
        <v>1440</v>
      </c>
      <c r="BC31">
        <v>0</v>
      </c>
      <c r="BD31">
        <v>0</v>
      </c>
      <c r="BE31">
        <v>14</v>
      </c>
      <c r="BF31">
        <v>25</v>
      </c>
      <c r="BG31">
        <v>3</v>
      </c>
      <c r="BH31">
        <v>8</v>
      </c>
      <c r="BI31">
        <v>3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0</v>
      </c>
      <c r="BQ31">
        <v>60</v>
      </c>
      <c r="BR31">
        <v>0</v>
      </c>
      <c r="BS31">
        <v>3</v>
      </c>
      <c r="BT31" t="s">
        <v>243</v>
      </c>
      <c r="BU31" t="s">
        <v>261</v>
      </c>
      <c r="BV31" t="b">
        <v>0</v>
      </c>
      <c r="BW31" t="s">
        <v>262</v>
      </c>
    </row>
    <row r="32" spans="1:75">
      <c r="A32" t="s">
        <v>243</v>
      </c>
      <c r="B32" t="s">
        <v>252</v>
      </c>
      <c r="C32">
        <v>944</v>
      </c>
      <c r="D32" t="s">
        <v>253</v>
      </c>
      <c r="E32" t="s">
        <v>254</v>
      </c>
      <c r="F32">
        <v>5</v>
      </c>
      <c r="G32" s="13">
        <v>46262.712395833332</v>
      </c>
      <c r="H32" s="13">
        <v>46262.714722222219</v>
      </c>
      <c r="I32">
        <v>201</v>
      </c>
      <c r="J32" t="s">
        <v>264</v>
      </c>
      <c r="K32">
        <v>1</v>
      </c>
      <c r="L32">
        <v>0.04</v>
      </c>
      <c r="M32">
        <v>0.04</v>
      </c>
      <c r="N32">
        <v>1</v>
      </c>
      <c r="O32">
        <v>0.04</v>
      </c>
      <c r="P32">
        <v>0.8</v>
      </c>
      <c r="Q32">
        <v>6.08</v>
      </c>
      <c r="R32">
        <v>6.08</v>
      </c>
      <c r="S32" t="s">
        <v>256</v>
      </c>
      <c r="T32" t="s">
        <v>257</v>
      </c>
      <c r="U32">
        <v>14</v>
      </c>
      <c r="V32">
        <v>6701.88</v>
      </c>
      <c r="W32">
        <v>4999.2</v>
      </c>
      <c r="X32">
        <v>4999.2</v>
      </c>
      <c r="Y32">
        <v>0</v>
      </c>
      <c r="Z32">
        <v>0</v>
      </c>
      <c r="AA32">
        <v>35</v>
      </c>
      <c r="AB32">
        <v>50</v>
      </c>
      <c r="AC32">
        <v>5000</v>
      </c>
      <c r="AD32">
        <v>0</v>
      </c>
      <c r="AE32">
        <v>0</v>
      </c>
      <c r="AF32">
        <v>6707.36</v>
      </c>
      <c r="AG32">
        <v>6707.36</v>
      </c>
      <c r="AH32" s="14">
        <v>46262</v>
      </c>
      <c r="AI32" t="s">
        <v>258</v>
      </c>
      <c r="AJ32" s="13">
        <v>46262.213402777779</v>
      </c>
      <c r="AK32">
        <v>6066.68</v>
      </c>
      <c r="AL32" t="s">
        <v>259</v>
      </c>
      <c r="AM32" t="s">
        <v>260</v>
      </c>
      <c r="AN32">
        <v>1400</v>
      </c>
      <c r="AO32">
        <v>0</v>
      </c>
      <c r="AP32">
        <v>35</v>
      </c>
      <c r="AQ32">
        <v>85</v>
      </c>
      <c r="AR32">
        <v>35</v>
      </c>
      <c r="AS32">
        <v>2</v>
      </c>
      <c r="AT32">
        <v>23</v>
      </c>
      <c r="AU32">
        <v>1</v>
      </c>
      <c r="AV32">
        <v>0</v>
      </c>
      <c r="AW32">
        <v>10</v>
      </c>
      <c r="AX32">
        <v>1</v>
      </c>
      <c r="AY32">
        <v>10</v>
      </c>
      <c r="AZ32">
        <v>5</v>
      </c>
      <c r="BA32">
        <v>1</v>
      </c>
      <c r="BB32">
        <v>1440</v>
      </c>
      <c r="BC32">
        <v>0</v>
      </c>
      <c r="BD32">
        <v>0</v>
      </c>
      <c r="BE32">
        <v>14</v>
      </c>
      <c r="BF32">
        <v>25</v>
      </c>
      <c r="BG32">
        <v>3</v>
      </c>
      <c r="BH32">
        <v>8</v>
      </c>
      <c r="BI32">
        <v>3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0</v>
      </c>
      <c r="BQ32">
        <v>60</v>
      </c>
      <c r="BR32">
        <v>0</v>
      </c>
      <c r="BS32">
        <v>3</v>
      </c>
      <c r="BT32" t="s">
        <v>243</v>
      </c>
      <c r="BU32" t="s">
        <v>261</v>
      </c>
      <c r="BV32" t="b">
        <v>0</v>
      </c>
      <c r="BW32" t="s">
        <v>262</v>
      </c>
    </row>
    <row r="33" spans="1:75">
      <c r="A33" t="s">
        <v>243</v>
      </c>
      <c r="B33" t="s">
        <v>252</v>
      </c>
      <c r="C33">
        <v>945</v>
      </c>
      <c r="D33" t="s">
        <v>253</v>
      </c>
      <c r="E33" t="s">
        <v>254</v>
      </c>
      <c r="F33">
        <v>5</v>
      </c>
      <c r="G33" s="13">
        <v>46262.715995370374</v>
      </c>
      <c r="H33" s="13">
        <v>46262.73233796296</v>
      </c>
      <c r="I33">
        <v>1412</v>
      </c>
      <c r="J33" t="s">
        <v>264</v>
      </c>
      <c r="K33">
        <v>1</v>
      </c>
      <c r="L33">
        <v>0.04</v>
      </c>
      <c r="M33">
        <v>0.04</v>
      </c>
      <c r="N33">
        <v>1</v>
      </c>
      <c r="O33">
        <v>0.04</v>
      </c>
      <c r="P33">
        <v>0.68</v>
      </c>
      <c r="Q33">
        <v>22</v>
      </c>
      <c r="R33">
        <v>22</v>
      </c>
      <c r="S33" t="s">
        <v>256</v>
      </c>
      <c r="T33" t="s">
        <v>257</v>
      </c>
      <c r="U33">
        <v>11</v>
      </c>
      <c r="V33">
        <v>6706.68</v>
      </c>
      <c r="W33">
        <v>4999.32</v>
      </c>
      <c r="X33">
        <v>4999.32</v>
      </c>
      <c r="Y33">
        <v>0</v>
      </c>
      <c r="Z33">
        <v>0</v>
      </c>
      <c r="AA33">
        <v>35</v>
      </c>
      <c r="AB33">
        <v>50</v>
      </c>
      <c r="AC33">
        <v>5000</v>
      </c>
      <c r="AD33">
        <v>0</v>
      </c>
      <c r="AE33">
        <v>0</v>
      </c>
      <c r="AF33">
        <v>6727.96</v>
      </c>
      <c r="AG33">
        <v>6727.96</v>
      </c>
      <c r="AH33" s="14">
        <v>46262</v>
      </c>
      <c r="AI33" t="s">
        <v>258</v>
      </c>
      <c r="AJ33" s="13">
        <v>46262.213402777779</v>
      </c>
      <c r="AK33">
        <v>6066.68</v>
      </c>
      <c r="AL33" t="s">
        <v>259</v>
      </c>
      <c r="AM33" t="s">
        <v>260</v>
      </c>
      <c r="AN33">
        <v>1400</v>
      </c>
      <c r="AO33">
        <v>0</v>
      </c>
      <c r="AP33">
        <v>35</v>
      </c>
      <c r="AQ33">
        <v>85</v>
      </c>
      <c r="AR33">
        <v>35</v>
      </c>
      <c r="AS33">
        <v>2</v>
      </c>
      <c r="AT33">
        <v>23</v>
      </c>
      <c r="AU33">
        <v>1</v>
      </c>
      <c r="AV33">
        <v>0</v>
      </c>
      <c r="AW33">
        <v>10</v>
      </c>
      <c r="AX33">
        <v>1</v>
      </c>
      <c r="AY33">
        <v>10</v>
      </c>
      <c r="AZ33">
        <v>5</v>
      </c>
      <c r="BA33">
        <v>1</v>
      </c>
      <c r="BB33">
        <v>1440</v>
      </c>
      <c r="BC33">
        <v>0</v>
      </c>
      <c r="BD33">
        <v>0</v>
      </c>
      <c r="BE33">
        <v>14</v>
      </c>
      <c r="BF33">
        <v>25</v>
      </c>
      <c r="BG33">
        <v>3</v>
      </c>
      <c r="BH33">
        <v>8</v>
      </c>
      <c r="BI33">
        <v>3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0</v>
      </c>
      <c r="BQ33">
        <v>60</v>
      </c>
      <c r="BR33">
        <v>0</v>
      </c>
      <c r="BS33">
        <v>3</v>
      </c>
      <c r="BT33" t="s">
        <v>243</v>
      </c>
      <c r="BU33" t="s">
        <v>261</v>
      </c>
      <c r="BV33" t="b">
        <v>0</v>
      </c>
      <c r="BW33" t="s">
        <v>262</v>
      </c>
    </row>
    <row r="34" spans="1:75">
      <c r="A34" t="s">
        <v>243</v>
      </c>
      <c r="B34" t="s">
        <v>252</v>
      </c>
      <c r="C34">
        <v>946</v>
      </c>
      <c r="D34" t="s">
        <v>253</v>
      </c>
      <c r="E34" t="s">
        <v>254</v>
      </c>
      <c r="F34">
        <v>5</v>
      </c>
      <c r="G34" s="13">
        <v>46262.73233796296</v>
      </c>
      <c r="H34" s="13">
        <v>46262.732685185183</v>
      </c>
      <c r="I34">
        <v>30</v>
      </c>
      <c r="J34" t="s">
        <v>255</v>
      </c>
      <c r="K34">
        <v>1</v>
      </c>
      <c r="L34">
        <v>0.04</v>
      </c>
      <c r="M34">
        <v>0.04</v>
      </c>
      <c r="N34">
        <v>1</v>
      </c>
      <c r="O34">
        <v>0.04</v>
      </c>
      <c r="P34">
        <v>0.64</v>
      </c>
      <c r="Q34">
        <v>9.84</v>
      </c>
      <c r="R34">
        <v>9.84</v>
      </c>
      <c r="S34" t="s">
        <v>256</v>
      </c>
      <c r="T34" t="s">
        <v>257</v>
      </c>
      <c r="U34">
        <v>11</v>
      </c>
      <c r="V34">
        <v>6727.32</v>
      </c>
      <c r="W34">
        <v>4999.3599999999997</v>
      </c>
      <c r="X34">
        <v>4999.3599999999997</v>
      </c>
      <c r="Y34">
        <v>0</v>
      </c>
      <c r="Z34">
        <v>0</v>
      </c>
      <c r="AA34">
        <v>35</v>
      </c>
      <c r="AB34">
        <v>50</v>
      </c>
      <c r="AC34">
        <v>5000</v>
      </c>
      <c r="AD34">
        <v>0</v>
      </c>
      <c r="AE34">
        <v>0</v>
      </c>
      <c r="AF34">
        <v>6736.4</v>
      </c>
      <c r="AG34">
        <v>6736.4</v>
      </c>
      <c r="AH34" s="14">
        <v>46262</v>
      </c>
      <c r="AI34" t="s">
        <v>258</v>
      </c>
      <c r="AJ34" s="13">
        <v>46262.213402777779</v>
      </c>
      <c r="AK34">
        <v>6066.68</v>
      </c>
      <c r="AL34" t="s">
        <v>259</v>
      </c>
      <c r="AM34" t="s">
        <v>260</v>
      </c>
      <c r="AN34">
        <v>1400</v>
      </c>
      <c r="AO34">
        <v>0</v>
      </c>
      <c r="AP34">
        <v>35</v>
      </c>
      <c r="AQ34">
        <v>85</v>
      </c>
      <c r="AR34">
        <v>35</v>
      </c>
      <c r="AS34">
        <v>2</v>
      </c>
      <c r="AT34">
        <v>23</v>
      </c>
      <c r="AU34">
        <v>1</v>
      </c>
      <c r="AV34">
        <v>0</v>
      </c>
      <c r="AW34">
        <v>10</v>
      </c>
      <c r="AX34">
        <v>1</v>
      </c>
      <c r="AY34">
        <v>10</v>
      </c>
      <c r="AZ34">
        <v>5</v>
      </c>
      <c r="BA34">
        <v>1</v>
      </c>
      <c r="BB34">
        <v>1440</v>
      </c>
      <c r="BC34">
        <v>0</v>
      </c>
      <c r="BD34">
        <v>0</v>
      </c>
      <c r="BE34">
        <v>14</v>
      </c>
      <c r="BF34">
        <v>25</v>
      </c>
      <c r="BG34">
        <v>3</v>
      </c>
      <c r="BH34">
        <v>8</v>
      </c>
      <c r="BI34">
        <v>3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0</v>
      </c>
      <c r="BQ34">
        <v>60</v>
      </c>
      <c r="BR34">
        <v>0</v>
      </c>
      <c r="BS34">
        <v>3</v>
      </c>
      <c r="BT34" t="s">
        <v>243</v>
      </c>
      <c r="BU34" t="s">
        <v>261</v>
      </c>
      <c r="BV34" t="b">
        <v>0</v>
      </c>
      <c r="BW34" t="s">
        <v>262</v>
      </c>
    </row>
    <row r="35" spans="1:75">
      <c r="A35" t="s">
        <v>243</v>
      </c>
      <c r="B35" t="s">
        <v>252</v>
      </c>
      <c r="C35">
        <v>947</v>
      </c>
      <c r="D35" t="s">
        <v>253</v>
      </c>
      <c r="E35" t="s">
        <v>254</v>
      </c>
      <c r="F35">
        <v>5</v>
      </c>
      <c r="G35" s="13">
        <v>46262.733113425929</v>
      </c>
      <c r="H35" s="13">
        <v>46262.733171296299</v>
      </c>
      <c r="I35">
        <v>5</v>
      </c>
      <c r="J35" t="s">
        <v>255</v>
      </c>
      <c r="K35">
        <v>1</v>
      </c>
      <c r="L35">
        <v>0.04</v>
      </c>
      <c r="M35">
        <v>0.04</v>
      </c>
      <c r="N35">
        <v>1</v>
      </c>
      <c r="O35">
        <v>0.04</v>
      </c>
      <c r="P35">
        <v>0.64</v>
      </c>
      <c r="Q35">
        <v>4.04</v>
      </c>
      <c r="R35">
        <v>2.76</v>
      </c>
      <c r="S35" t="s">
        <v>256</v>
      </c>
      <c r="T35" t="s">
        <v>257</v>
      </c>
      <c r="U35">
        <v>10</v>
      </c>
      <c r="V35">
        <v>6735.76</v>
      </c>
      <c r="W35">
        <v>4999.3599999999997</v>
      </c>
      <c r="X35">
        <v>4999.3599999999997</v>
      </c>
      <c r="Y35">
        <v>0</v>
      </c>
      <c r="Z35">
        <v>0</v>
      </c>
      <c r="AA35">
        <v>35</v>
      </c>
      <c r="AB35">
        <v>50</v>
      </c>
      <c r="AC35">
        <v>5000</v>
      </c>
      <c r="AD35">
        <v>0</v>
      </c>
      <c r="AE35">
        <v>0</v>
      </c>
      <c r="AF35">
        <v>6739.04</v>
      </c>
      <c r="AG35">
        <v>6739.04</v>
      </c>
      <c r="AH35" s="14">
        <v>46262</v>
      </c>
      <c r="AI35" t="s">
        <v>258</v>
      </c>
      <c r="AJ35" s="13">
        <v>46262.213402777779</v>
      </c>
      <c r="AK35">
        <v>6066.68</v>
      </c>
      <c r="AL35" t="s">
        <v>259</v>
      </c>
      <c r="AM35" t="s">
        <v>260</v>
      </c>
      <c r="AN35">
        <v>1400</v>
      </c>
      <c r="AO35">
        <v>0</v>
      </c>
      <c r="AP35">
        <v>35</v>
      </c>
      <c r="AQ35">
        <v>85</v>
      </c>
      <c r="AR35">
        <v>35</v>
      </c>
      <c r="AS35">
        <v>2</v>
      </c>
      <c r="AT35">
        <v>23</v>
      </c>
      <c r="AU35">
        <v>1</v>
      </c>
      <c r="AV35">
        <v>0</v>
      </c>
      <c r="AW35">
        <v>10</v>
      </c>
      <c r="AX35">
        <v>1</v>
      </c>
      <c r="AY35">
        <v>10</v>
      </c>
      <c r="AZ35">
        <v>5</v>
      </c>
      <c r="BA35">
        <v>1</v>
      </c>
      <c r="BB35">
        <v>1440</v>
      </c>
      <c r="BC35">
        <v>0</v>
      </c>
      <c r="BD35">
        <v>0</v>
      </c>
      <c r="BE35">
        <v>14</v>
      </c>
      <c r="BF35">
        <v>25</v>
      </c>
      <c r="BG35">
        <v>3</v>
      </c>
      <c r="BH35">
        <v>8</v>
      </c>
      <c r="BI35">
        <v>3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0</v>
      </c>
      <c r="BQ35">
        <v>60</v>
      </c>
      <c r="BR35">
        <v>0</v>
      </c>
      <c r="BS35">
        <v>3</v>
      </c>
      <c r="BT35" t="s">
        <v>243</v>
      </c>
      <c r="BU35" t="s">
        <v>261</v>
      </c>
      <c r="BV35" t="b">
        <v>0</v>
      </c>
      <c r="BW35" t="s">
        <v>262</v>
      </c>
    </row>
    <row r="36" spans="1:75">
      <c r="A36" t="s">
        <v>243</v>
      </c>
      <c r="B36" t="s">
        <v>252</v>
      </c>
      <c r="C36">
        <v>948</v>
      </c>
      <c r="D36" t="s">
        <v>253</v>
      </c>
      <c r="E36" t="s">
        <v>254</v>
      </c>
      <c r="F36">
        <v>5</v>
      </c>
      <c r="G36" s="13">
        <v>46262.736435185187</v>
      </c>
      <c r="H36" s="13">
        <v>46262.745092592595</v>
      </c>
      <c r="I36">
        <v>748</v>
      </c>
      <c r="J36" t="s">
        <v>255</v>
      </c>
      <c r="K36">
        <v>3</v>
      </c>
      <c r="L36">
        <v>0.12</v>
      </c>
      <c r="M36">
        <v>0.04</v>
      </c>
      <c r="N36">
        <v>3</v>
      </c>
      <c r="O36">
        <v>0.12</v>
      </c>
      <c r="P36">
        <v>69.48</v>
      </c>
      <c r="Q36">
        <v>37.520000000000003</v>
      </c>
      <c r="R36">
        <v>32.479999999999997</v>
      </c>
      <c r="S36" t="s">
        <v>263</v>
      </c>
      <c r="T36" t="s">
        <v>257</v>
      </c>
      <c r="U36">
        <v>15</v>
      </c>
      <c r="V36">
        <v>6738.2</v>
      </c>
      <c r="W36">
        <v>4999.16</v>
      </c>
      <c r="X36">
        <v>4930.5200000000004</v>
      </c>
      <c r="Y36">
        <v>0</v>
      </c>
      <c r="Z36">
        <v>0</v>
      </c>
      <c r="AA36">
        <v>35</v>
      </c>
      <c r="AB36">
        <v>50</v>
      </c>
      <c r="AC36">
        <v>5000</v>
      </c>
      <c r="AD36">
        <v>0</v>
      </c>
      <c r="AE36">
        <v>0</v>
      </c>
      <c r="AF36">
        <v>6771.12</v>
      </c>
      <c r="AG36">
        <v>6771.12</v>
      </c>
      <c r="AH36" s="14">
        <v>46262</v>
      </c>
      <c r="AI36" t="s">
        <v>258</v>
      </c>
      <c r="AJ36" s="13">
        <v>46262.213402777779</v>
      </c>
      <c r="AK36">
        <v>6066.68</v>
      </c>
      <c r="AL36" t="s">
        <v>259</v>
      </c>
      <c r="AM36" t="s">
        <v>260</v>
      </c>
      <c r="AN36">
        <v>1400</v>
      </c>
      <c r="AO36">
        <v>0</v>
      </c>
      <c r="AP36">
        <v>35</v>
      </c>
      <c r="AQ36">
        <v>85</v>
      </c>
      <c r="AR36">
        <v>35</v>
      </c>
      <c r="AS36">
        <v>2</v>
      </c>
      <c r="AT36">
        <v>23</v>
      </c>
      <c r="AU36">
        <v>1</v>
      </c>
      <c r="AV36">
        <v>0</v>
      </c>
      <c r="AW36">
        <v>10</v>
      </c>
      <c r="AX36">
        <v>1</v>
      </c>
      <c r="AY36">
        <v>10</v>
      </c>
      <c r="AZ36">
        <v>5</v>
      </c>
      <c r="BA36">
        <v>1</v>
      </c>
      <c r="BB36">
        <v>1440</v>
      </c>
      <c r="BC36">
        <v>0</v>
      </c>
      <c r="BD36">
        <v>0</v>
      </c>
      <c r="BE36">
        <v>14</v>
      </c>
      <c r="BF36">
        <v>25</v>
      </c>
      <c r="BG36">
        <v>3</v>
      </c>
      <c r="BH36">
        <v>8</v>
      </c>
      <c r="BI36">
        <v>3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0</v>
      </c>
      <c r="BQ36">
        <v>60</v>
      </c>
      <c r="BR36">
        <v>0</v>
      </c>
      <c r="BS36">
        <v>3</v>
      </c>
      <c r="BT36" t="s">
        <v>243</v>
      </c>
      <c r="BU36" t="s">
        <v>261</v>
      </c>
      <c r="BV36" t="b">
        <v>0</v>
      </c>
      <c r="BW36" t="s">
        <v>262</v>
      </c>
    </row>
    <row r="37" spans="1:75">
      <c r="A37" t="s">
        <v>243</v>
      </c>
      <c r="B37" t="s">
        <v>252</v>
      </c>
      <c r="C37">
        <v>949</v>
      </c>
      <c r="D37" t="s">
        <v>253</v>
      </c>
      <c r="E37" t="s">
        <v>254</v>
      </c>
      <c r="F37">
        <v>5</v>
      </c>
      <c r="G37" s="13">
        <v>46262.747106481482</v>
      </c>
      <c r="H37" s="13">
        <v>46262.74732638889</v>
      </c>
      <c r="I37">
        <v>19</v>
      </c>
      <c r="J37" t="s">
        <v>255</v>
      </c>
      <c r="K37">
        <v>1</v>
      </c>
      <c r="L37">
        <v>0.04</v>
      </c>
      <c r="M37">
        <v>0.04</v>
      </c>
      <c r="N37">
        <v>1</v>
      </c>
      <c r="O37">
        <v>0.04</v>
      </c>
      <c r="P37">
        <v>0.68</v>
      </c>
      <c r="Q37">
        <v>14.76</v>
      </c>
      <c r="R37">
        <v>12.92</v>
      </c>
      <c r="S37" t="s">
        <v>256</v>
      </c>
      <c r="T37" t="s">
        <v>257</v>
      </c>
      <c r="U37">
        <v>10</v>
      </c>
      <c r="V37">
        <v>6770.44</v>
      </c>
      <c r="W37">
        <v>4999.32</v>
      </c>
      <c r="X37">
        <v>4999.32</v>
      </c>
      <c r="Y37">
        <v>0</v>
      </c>
      <c r="Z37">
        <v>0</v>
      </c>
      <c r="AA37">
        <v>35</v>
      </c>
      <c r="AB37">
        <v>50</v>
      </c>
      <c r="AC37">
        <v>5000</v>
      </c>
      <c r="AD37">
        <v>0</v>
      </c>
      <c r="AE37">
        <v>0</v>
      </c>
      <c r="AF37">
        <v>6782.96</v>
      </c>
      <c r="AG37">
        <v>6782.96</v>
      </c>
      <c r="AH37" s="14">
        <v>46262</v>
      </c>
      <c r="AI37" t="s">
        <v>258</v>
      </c>
      <c r="AJ37" s="13">
        <v>46262.213402777779</v>
      </c>
      <c r="AK37">
        <v>6066.68</v>
      </c>
      <c r="AL37" t="s">
        <v>259</v>
      </c>
      <c r="AM37" t="s">
        <v>260</v>
      </c>
      <c r="AN37">
        <v>1400</v>
      </c>
      <c r="AO37">
        <v>0</v>
      </c>
      <c r="AP37">
        <v>35</v>
      </c>
      <c r="AQ37">
        <v>85</v>
      </c>
      <c r="AR37">
        <v>35</v>
      </c>
      <c r="AS37">
        <v>2</v>
      </c>
      <c r="AT37">
        <v>23</v>
      </c>
      <c r="AU37">
        <v>1</v>
      </c>
      <c r="AV37">
        <v>0</v>
      </c>
      <c r="AW37">
        <v>10</v>
      </c>
      <c r="AX37">
        <v>1</v>
      </c>
      <c r="AY37">
        <v>10</v>
      </c>
      <c r="AZ37">
        <v>5</v>
      </c>
      <c r="BA37">
        <v>1</v>
      </c>
      <c r="BB37">
        <v>1440</v>
      </c>
      <c r="BC37">
        <v>0</v>
      </c>
      <c r="BD37">
        <v>0</v>
      </c>
      <c r="BE37">
        <v>14</v>
      </c>
      <c r="BF37">
        <v>25</v>
      </c>
      <c r="BG37">
        <v>3</v>
      </c>
      <c r="BH37">
        <v>8</v>
      </c>
      <c r="BI37">
        <v>3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0</v>
      </c>
      <c r="BQ37">
        <v>60</v>
      </c>
      <c r="BR37">
        <v>0</v>
      </c>
      <c r="BS37">
        <v>3</v>
      </c>
      <c r="BT37" t="s">
        <v>243</v>
      </c>
      <c r="BU37" t="s">
        <v>261</v>
      </c>
      <c r="BV37" t="b">
        <v>0</v>
      </c>
      <c r="BW37" t="s">
        <v>262</v>
      </c>
    </row>
    <row r="38" spans="1:75">
      <c r="A38" t="s">
        <v>243</v>
      </c>
      <c r="B38" t="s">
        <v>252</v>
      </c>
      <c r="C38">
        <v>950</v>
      </c>
      <c r="D38" t="s">
        <v>253</v>
      </c>
      <c r="E38" t="s">
        <v>254</v>
      </c>
      <c r="F38">
        <v>5</v>
      </c>
      <c r="G38" s="13">
        <v>46262.750405092593</v>
      </c>
      <c r="H38" s="13">
        <v>46262.750439814816</v>
      </c>
      <c r="I38">
        <v>3</v>
      </c>
      <c r="J38" t="s">
        <v>255</v>
      </c>
      <c r="K38">
        <v>1</v>
      </c>
      <c r="L38">
        <v>0.04</v>
      </c>
      <c r="M38">
        <v>0.04</v>
      </c>
      <c r="N38">
        <v>1</v>
      </c>
      <c r="O38">
        <v>0.04</v>
      </c>
      <c r="P38">
        <v>0.68</v>
      </c>
      <c r="Q38">
        <v>3.48</v>
      </c>
      <c r="R38">
        <v>2.84</v>
      </c>
      <c r="S38" t="s">
        <v>256</v>
      </c>
      <c r="T38" t="s">
        <v>257</v>
      </c>
      <c r="U38">
        <v>11</v>
      </c>
      <c r="V38">
        <v>6782.28</v>
      </c>
      <c r="W38">
        <v>4999.32</v>
      </c>
      <c r="X38">
        <v>4999.32</v>
      </c>
      <c r="Y38">
        <v>0</v>
      </c>
      <c r="Z38">
        <v>0</v>
      </c>
      <c r="AA38">
        <v>35</v>
      </c>
      <c r="AB38">
        <v>50</v>
      </c>
      <c r="AC38">
        <v>5000</v>
      </c>
      <c r="AD38">
        <v>0</v>
      </c>
      <c r="AE38">
        <v>0</v>
      </c>
      <c r="AF38">
        <v>6785.04</v>
      </c>
      <c r="AG38">
        <v>6785.04</v>
      </c>
      <c r="AH38" s="14">
        <v>46262</v>
      </c>
      <c r="AI38" t="s">
        <v>258</v>
      </c>
      <c r="AJ38" s="13">
        <v>46262.213402777779</v>
      </c>
      <c r="AK38">
        <v>6066.68</v>
      </c>
      <c r="AL38" t="s">
        <v>259</v>
      </c>
      <c r="AM38" t="s">
        <v>260</v>
      </c>
      <c r="AN38">
        <v>1400</v>
      </c>
      <c r="AO38">
        <v>0</v>
      </c>
      <c r="AP38">
        <v>35</v>
      </c>
      <c r="AQ38">
        <v>85</v>
      </c>
      <c r="AR38">
        <v>35</v>
      </c>
      <c r="AS38">
        <v>2</v>
      </c>
      <c r="AT38">
        <v>23</v>
      </c>
      <c r="AU38">
        <v>1</v>
      </c>
      <c r="AV38">
        <v>0</v>
      </c>
      <c r="AW38">
        <v>10</v>
      </c>
      <c r="AX38">
        <v>1</v>
      </c>
      <c r="AY38">
        <v>10</v>
      </c>
      <c r="AZ38">
        <v>5</v>
      </c>
      <c r="BA38">
        <v>1</v>
      </c>
      <c r="BB38">
        <v>1440</v>
      </c>
      <c r="BC38">
        <v>0</v>
      </c>
      <c r="BD38">
        <v>0</v>
      </c>
      <c r="BE38">
        <v>14</v>
      </c>
      <c r="BF38">
        <v>25</v>
      </c>
      <c r="BG38">
        <v>3</v>
      </c>
      <c r="BH38">
        <v>8</v>
      </c>
      <c r="BI38">
        <v>3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0</v>
      </c>
      <c r="BQ38">
        <v>60</v>
      </c>
      <c r="BR38">
        <v>0</v>
      </c>
      <c r="BS38">
        <v>3</v>
      </c>
      <c r="BT38" t="s">
        <v>243</v>
      </c>
      <c r="BU38" t="s">
        <v>261</v>
      </c>
      <c r="BV38" t="b">
        <v>0</v>
      </c>
      <c r="BW38" t="s">
        <v>262</v>
      </c>
    </row>
    <row r="39" spans="1:75">
      <c r="A39" t="s">
        <v>243</v>
      </c>
      <c r="B39" t="s">
        <v>252</v>
      </c>
      <c r="C39">
        <v>951</v>
      </c>
      <c r="D39" t="s">
        <v>253</v>
      </c>
      <c r="E39" t="s">
        <v>254</v>
      </c>
      <c r="F39">
        <v>5</v>
      </c>
      <c r="G39" s="13">
        <v>46262.753993055558</v>
      </c>
      <c r="H39" s="13">
        <v>46262.768148148149</v>
      </c>
      <c r="I39">
        <v>1223</v>
      </c>
      <c r="J39" t="s">
        <v>255</v>
      </c>
      <c r="K39">
        <v>5</v>
      </c>
      <c r="L39">
        <v>0.2</v>
      </c>
      <c r="M39">
        <v>0.04</v>
      </c>
      <c r="N39">
        <v>5</v>
      </c>
      <c r="O39">
        <v>0.2</v>
      </c>
      <c r="P39">
        <v>208.36</v>
      </c>
      <c r="Q39">
        <v>50.52</v>
      </c>
      <c r="R39">
        <v>50.52</v>
      </c>
      <c r="S39" t="s">
        <v>263</v>
      </c>
      <c r="T39" t="s">
        <v>257</v>
      </c>
      <c r="U39">
        <v>10</v>
      </c>
      <c r="V39">
        <v>6784.36</v>
      </c>
      <c r="W39">
        <v>4999.32</v>
      </c>
      <c r="X39">
        <v>4791.6400000000003</v>
      </c>
      <c r="Y39">
        <v>0</v>
      </c>
      <c r="Z39">
        <v>0</v>
      </c>
      <c r="AA39">
        <v>35</v>
      </c>
      <c r="AB39">
        <v>50</v>
      </c>
      <c r="AC39">
        <v>5000</v>
      </c>
      <c r="AD39">
        <v>0</v>
      </c>
      <c r="AE39">
        <v>0</v>
      </c>
      <c r="AF39">
        <v>6831.8</v>
      </c>
      <c r="AG39">
        <v>6831.8</v>
      </c>
      <c r="AH39" s="14">
        <v>46262</v>
      </c>
      <c r="AI39" t="s">
        <v>258</v>
      </c>
      <c r="AJ39" s="13">
        <v>46262.213402777779</v>
      </c>
      <c r="AK39">
        <v>6066.68</v>
      </c>
      <c r="AL39" t="s">
        <v>259</v>
      </c>
      <c r="AM39" t="s">
        <v>260</v>
      </c>
      <c r="AN39">
        <v>1400</v>
      </c>
      <c r="AO39">
        <v>0</v>
      </c>
      <c r="AP39">
        <v>35</v>
      </c>
      <c r="AQ39">
        <v>85</v>
      </c>
      <c r="AR39">
        <v>35</v>
      </c>
      <c r="AS39">
        <v>2</v>
      </c>
      <c r="AT39">
        <v>23</v>
      </c>
      <c r="AU39">
        <v>1</v>
      </c>
      <c r="AV39">
        <v>0</v>
      </c>
      <c r="AW39">
        <v>10</v>
      </c>
      <c r="AX39">
        <v>1</v>
      </c>
      <c r="AY39">
        <v>10</v>
      </c>
      <c r="AZ39">
        <v>5</v>
      </c>
      <c r="BA39">
        <v>1</v>
      </c>
      <c r="BB39">
        <v>1440</v>
      </c>
      <c r="BC39">
        <v>0</v>
      </c>
      <c r="BD39">
        <v>0</v>
      </c>
      <c r="BE39">
        <v>14</v>
      </c>
      <c r="BF39">
        <v>25</v>
      </c>
      <c r="BG39">
        <v>3</v>
      </c>
      <c r="BH39">
        <v>8</v>
      </c>
      <c r="BI39">
        <v>3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0</v>
      </c>
      <c r="BQ39">
        <v>60</v>
      </c>
      <c r="BR39">
        <v>0</v>
      </c>
      <c r="BS39">
        <v>3</v>
      </c>
      <c r="BT39" t="s">
        <v>243</v>
      </c>
      <c r="BU39" t="s">
        <v>261</v>
      </c>
      <c r="BV39" t="b">
        <v>0</v>
      </c>
      <c r="BW39" t="s">
        <v>262</v>
      </c>
    </row>
    <row r="40" spans="1:75">
      <c r="A40" t="s">
        <v>243</v>
      </c>
      <c r="B40" t="s">
        <v>252</v>
      </c>
      <c r="C40">
        <v>952</v>
      </c>
      <c r="D40" t="s">
        <v>253</v>
      </c>
      <c r="E40" t="s">
        <v>254</v>
      </c>
      <c r="F40">
        <v>5</v>
      </c>
      <c r="G40" s="13">
        <v>46262.772013888891</v>
      </c>
      <c r="H40" s="13">
        <v>46262.772141203706</v>
      </c>
      <c r="I40">
        <v>11</v>
      </c>
      <c r="J40" t="s">
        <v>264</v>
      </c>
      <c r="K40">
        <v>1</v>
      </c>
      <c r="L40">
        <v>0.04</v>
      </c>
      <c r="M40">
        <v>0.04</v>
      </c>
      <c r="N40">
        <v>1</v>
      </c>
      <c r="O40">
        <v>0.04</v>
      </c>
      <c r="P40">
        <v>0.64</v>
      </c>
      <c r="Q40">
        <v>7.6</v>
      </c>
      <c r="R40">
        <v>6.6</v>
      </c>
      <c r="S40" t="s">
        <v>256</v>
      </c>
      <c r="T40" t="s">
        <v>257</v>
      </c>
      <c r="U40">
        <v>11</v>
      </c>
      <c r="V40">
        <v>6831.16</v>
      </c>
      <c r="W40">
        <v>4999.3599999999997</v>
      </c>
      <c r="X40">
        <v>4999.3599999999997</v>
      </c>
      <c r="Y40">
        <v>0</v>
      </c>
      <c r="Z40">
        <v>0</v>
      </c>
      <c r="AA40">
        <v>35</v>
      </c>
      <c r="AB40">
        <v>50</v>
      </c>
      <c r="AC40">
        <v>5000</v>
      </c>
      <c r="AD40">
        <v>0</v>
      </c>
      <c r="AE40">
        <v>0</v>
      </c>
      <c r="AF40">
        <v>6838</v>
      </c>
      <c r="AG40">
        <v>6838</v>
      </c>
      <c r="AH40" s="14">
        <v>46262</v>
      </c>
      <c r="AI40" t="s">
        <v>258</v>
      </c>
      <c r="AJ40" s="13">
        <v>46262.213402777779</v>
      </c>
      <c r="AK40">
        <v>6066.68</v>
      </c>
      <c r="AL40" t="s">
        <v>259</v>
      </c>
      <c r="AM40" t="s">
        <v>260</v>
      </c>
      <c r="AN40">
        <v>1400</v>
      </c>
      <c r="AO40">
        <v>0</v>
      </c>
      <c r="AP40">
        <v>35</v>
      </c>
      <c r="AQ40">
        <v>85</v>
      </c>
      <c r="AR40">
        <v>35</v>
      </c>
      <c r="AS40">
        <v>2</v>
      </c>
      <c r="AT40">
        <v>23</v>
      </c>
      <c r="AU40">
        <v>1</v>
      </c>
      <c r="AV40">
        <v>0</v>
      </c>
      <c r="AW40">
        <v>10</v>
      </c>
      <c r="AX40">
        <v>1</v>
      </c>
      <c r="AY40">
        <v>10</v>
      </c>
      <c r="AZ40">
        <v>5</v>
      </c>
      <c r="BA40">
        <v>1</v>
      </c>
      <c r="BB40">
        <v>1440</v>
      </c>
      <c r="BC40">
        <v>0</v>
      </c>
      <c r="BD40">
        <v>0</v>
      </c>
      <c r="BE40">
        <v>14</v>
      </c>
      <c r="BF40">
        <v>25</v>
      </c>
      <c r="BG40">
        <v>3</v>
      </c>
      <c r="BH40">
        <v>8</v>
      </c>
      <c r="BI40">
        <v>3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0</v>
      </c>
      <c r="BQ40">
        <v>60</v>
      </c>
      <c r="BR40">
        <v>0</v>
      </c>
      <c r="BS40">
        <v>3</v>
      </c>
      <c r="BT40" t="s">
        <v>243</v>
      </c>
      <c r="BU40" t="s">
        <v>261</v>
      </c>
      <c r="BV40" t="b">
        <v>0</v>
      </c>
      <c r="BW40" t="s">
        <v>262</v>
      </c>
    </row>
    <row r="41" spans="1:75">
      <c r="A41" t="s">
        <v>243</v>
      </c>
      <c r="B41" t="s">
        <v>252</v>
      </c>
      <c r="C41">
        <v>953</v>
      </c>
      <c r="D41" t="s">
        <v>253</v>
      </c>
      <c r="E41" t="s">
        <v>254</v>
      </c>
      <c r="F41">
        <v>5</v>
      </c>
      <c r="G41" s="13">
        <v>46262.775196759256</v>
      </c>
      <c r="H41" s="13">
        <v>46262.775335648148</v>
      </c>
      <c r="I41">
        <v>12</v>
      </c>
      <c r="J41" t="s">
        <v>255</v>
      </c>
      <c r="K41">
        <v>1</v>
      </c>
      <c r="L41">
        <v>0.04</v>
      </c>
      <c r="M41">
        <v>0.04</v>
      </c>
      <c r="N41">
        <v>1</v>
      </c>
      <c r="O41">
        <v>0.04</v>
      </c>
      <c r="P41">
        <v>2</v>
      </c>
      <c r="Q41">
        <v>6.6</v>
      </c>
      <c r="R41">
        <v>5.04</v>
      </c>
      <c r="S41" t="s">
        <v>256</v>
      </c>
      <c r="T41" t="s">
        <v>257</v>
      </c>
      <c r="U41">
        <v>10</v>
      </c>
      <c r="V41">
        <v>6837.32</v>
      </c>
      <c r="W41">
        <v>4999.32</v>
      </c>
      <c r="X41">
        <v>4998</v>
      </c>
      <c r="Y41">
        <v>0</v>
      </c>
      <c r="Z41">
        <v>0</v>
      </c>
      <c r="AA41">
        <v>35</v>
      </c>
      <c r="AB41">
        <v>50</v>
      </c>
      <c r="AC41">
        <v>5000</v>
      </c>
      <c r="AD41">
        <v>0</v>
      </c>
      <c r="AE41">
        <v>0</v>
      </c>
      <c r="AF41">
        <v>6843.2</v>
      </c>
      <c r="AG41">
        <v>6843.2</v>
      </c>
      <c r="AH41" s="14">
        <v>46262</v>
      </c>
      <c r="AI41" t="s">
        <v>258</v>
      </c>
      <c r="AJ41" s="13">
        <v>46262.213402777779</v>
      </c>
      <c r="AK41">
        <v>6066.68</v>
      </c>
      <c r="AL41" t="s">
        <v>259</v>
      </c>
      <c r="AM41" t="s">
        <v>260</v>
      </c>
      <c r="AN41">
        <v>1400</v>
      </c>
      <c r="AO41">
        <v>0</v>
      </c>
      <c r="AP41">
        <v>35</v>
      </c>
      <c r="AQ41">
        <v>85</v>
      </c>
      <c r="AR41">
        <v>35</v>
      </c>
      <c r="AS41">
        <v>2</v>
      </c>
      <c r="AT41">
        <v>23</v>
      </c>
      <c r="AU41">
        <v>1</v>
      </c>
      <c r="AV41">
        <v>0</v>
      </c>
      <c r="AW41">
        <v>10</v>
      </c>
      <c r="AX41">
        <v>1</v>
      </c>
      <c r="AY41">
        <v>10</v>
      </c>
      <c r="AZ41">
        <v>5</v>
      </c>
      <c r="BA41">
        <v>1</v>
      </c>
      <c r="BB41">
        <v>1440</v>
      </c>
      <c r="BC41">
        <v>0</v>
      </c>
      <c r="BD41">
        <v>0</v>
      </c>
      <c r="BE41">
        <v>14</v>
      </c>
      <c r="BF41">
        <v>25</v>
      </c>
      <c r="BG41">
        <v>3</v>
      </c>
      <c r="BH41">
        <v>8</v>
      </c>
      <c r="BI41">
        <v>3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0</v>
      </c>
      <c r="BQ41">
        <v>60</v>
      </c>
      <c r="BR41">
        <v>0</v>
      </c>
      <c r="BS41">
        <v>3</v>
      </c>
      <c r="BT41" t="s">
        <v>243</v>
      </c>
      <c r="BU41" t="s">
        <v>261</v>
      </c>
      <c r="BV41" t="b">
        <v>0</v>
      </c>
      <c r="BW41" t="s">
        <v>262</v>
      </c>
    </row>
    <row r="42" spans="1:75">
      <c r="A42" t="s">
        <v>243</v>
      </c>
      <c r="B42" t="s">
        <v>252</v>
      </c>
      <c r="C42">
        <v>954</v>
      </c>
      <c r="D42" t="s">
        <v>253</v>
      </c>
      <c r="E42" t="s">
        <v>254</v>
      </c>
      <c r="F42">
        <v>5</v>
      </c>
      <c r="G42" s="13">
        <v>46262.777997685182</v>
      </c>
      <c r="H42" s="13">
        <v>46262.778171296297</v>
      </c>
      <c r="I42">
        <v>15</v>
      </c>
      <c r="J42" t="s">
        <v>264</v>
      </c>
      <c r="K42">
        <v>1</v>
      </c>
      <c r="L42">
        <v>0.04</v>
      </c>
      <c r="M42">
        <v>0.04</v>
      </c>
      <c r="N42">
        <v>1</v>
      </c>
      <c r="O42">
        <v>0.04</v>
      </c>
      <c r="P42">
        <v>3.32</v>
      </c>
      <c r="Q42">
        <v>11.96</v>
      </c>
      <c r="R42">
        <v>11.96</v>
      </c>
      <c r="S42" t="s">
        <v>256</v>
      </c>
      <c r="T42" t="s">
        <v>257</v>
      </c>
      <c r="U42">
        <v>10</v>
      </c>
      <c r="V42">
        <v>6842.56</v>
      </c>
      <c r="W42">
        <v>4999.3599999999997</v>
      </c>
      <c r="X42">
        <v>4996.68</v>
      </c>
      <c r="Y42">
        <v>0</v>
      </c>
      <c r="Z42">
        <v>0</v>
      </c>
      <c r="AA42">
        <v>35</v>
      </c>
      <c r="AB42">
        <v>50</v>
      </c>
      <c r="AC42">
        <v>5000</v>
      </c>
      <c r="AD42">
        <v>0</v>
      </c>
      <c r="AE42">
        <v>0</v>
      </c>
      <c r="AF42">
        <v>6853.76</v>
      </c>
      <c r="AG42">
        <v>6853.76</v>
      </c>
      <c r="AH42" s="14">
        <v>46262</v>
      </c>
      <c r="AI42" t="s">
        <v>258</v>
      </c>
      <c r="AJ42" s="13">
        <v>46262.213402777779</v>
      </c>
      <c r="AK42">
        <v>6066.68</v>
      </c>
      <c r="AL42" t="s">
        <v>259</v>
      </c>
      <c r="AM42" t="s">
        <v>260</v>
      </c>
      <c r="AN42">
        <v>1400</v>
      </c>
      <c r="AO42">
        <v>0</v>
      </c>
      <c r="AP42">
        <v>35</v>
      </c>
      <c r="AQ42">
        <v>85</v>
      </c>
      <c r="AR42">
        <v>35</v>
      </c>
      <c r="AS42">
        <v>2</v>
      </c>
      <c r="AT42">
        <v>23</v>
      </c>
      <c r="AU42">
        <v>1</v>
      </c>
      <c r="AV42">
        <v>0</v>
      </c>
      <c r="AW42">
        <v>10</v>
      </c>
      <c r="AX42">
        <v>1</v>
      </c>
      <c r="AY42">
        <v>10</v>
      </c>
      <c r="AZ42">
        <v>5</v>
      </c>
      <c r="BA42">
        <v>1</v>
      </c>
      <c r="BB42">
        <v>1440</v>
      </c>
      <c r="BC42">
        <v>0</v>
      </c>
      <c r="BD42">
        <v>0</v>
      </c>
      <c r="BE42">
        <v>14</v>
      </c>
      <c r="BF42">
        <v>25</v>
      </c>
      <c r="BG42">
        <v>3</v>
      </c>
      <c r="BH42">
        <v>8</v>
      </c>
      <c r="BI42">
        <v>3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0</v>
      </c>
      <c r="BQ42">
        <v>60</v>
      </c>
      <c r="BR42">
        <v>0</v>
      </c>
      <c r="BS42">
        <v>3</v>
      </c>
      <c r="BT42" t="s">
        <v>243</v>
      </c>
      <c r="BU42" t="s">
        <v>261</v>
      </c>
      <c r="BV42" t="b">
        <v>0</v>
      </c>
      <c r="BW42" t="s">
        <v>262</v>
      </c>
    </row>
    <row r="43" spans="1:75">
      <c r="A43" t="s">
        <v>243</v>
      </c>
      <c r="B43" t="s">
        <v>252</v>
      </c>
      <c r="C43">
        <v>955</v>
      </c>
      <c r="D43" t="s">
        <v>253</v>
      </c>
      <c r="E43" t="s">
        <v>254</v>
      </c>
      <c r="F43">
        <v>5</v>
      </c>
      <c r="G43" s="13">
        <v>46262.781840277778</v>
      </c>
      <c r="H43" s="13">
        <v>46262.78197916667</v>
      </c>
      <c r="I43">
        <v>12</v>
      </c>
      <c r="J43" t="s">
        <v>255</v>
      </c>
      <c r="K43">
        <v>1</v>
      </c>
      <c r="L43">
        <v>0.04</v>
      </c>
      <c r="M43">
        <v>0.04</v>
      </c>
      <c r="N43">
        <v>1</v>
      </c>
      <c r="O43">
        <v>0.04</v>
      </c>
      <c r="P43">
        <v>3.48</v>
      </c>
      <c r="Q43">
        <v>3.64</v>
      </c>
      <c r="R43">
        <v>2.76</v>
      </c>
      <c r="S43" t="s">
        <v>256</v>
      </c>
      <c r="T43" t="s">
        <v>257</v>
      </c>
      <c r="U43">
        <v>10</v>
      </c>
      <c r="V43">
        <v>6853.08</v>
      </c>
      <c r="W43">
        <v>4999.32</v>
      </c>
      <c r="X43">
        <v>4996.5200000000004</v>
      </c>
      <c r="Y43">
        <v>0</v>
      </c>
      <c r="Z43">
        <v>0</v>
      </c>
      <c r="AA43">
        <v>35</v>
      </c>
      <c r="AB43">
        <v>50</v>
      </c>
      <c r="AC43">
        <v>5000</v>
      </c>
      <c r="AD43">
        <v>0</v>
      </c>
      <c r="AE43">
        <v>0</v>
      </c>
      <c r="AF43">
        <v>6856</v>
      </c>
      <c r="AG43">
        <v>6856</v>
      </c>
      <c r="AH43" s="14">
        <v>46262</v>
      </c>
      <c r="AI43" t="s">
        <v>258</v>
      </c>
      <c r="AJ43" s="13">
        <v>46262.213402777779</v>
      </c>
      <c r="AK43">
        <v>6066.68</v>
      </c>
      <c r="AL43" t="s">
        <v>259</v>
      </c>
      <c r="AM43" t="s">
        <v>260</v>
      </c>
      <c r="AN43">
        <v>1400</v>
      </c>
      <c r="AO43">
        <v>0</v>
      </c>
      <c r="AP43">
        <v>35</v>
      </c>
      <c r="AQ43">
        <v>85</v>
      </c>
      <c r="AR43">
        <v>35</v>
      </c>
      <c r="AS43">
        <v>2</v>
      </c>
      <c r="AT43">
        <v>23</v>
      </c>
      <c r="AU43">
        <v>1</v>
      </c>
      <c r="AV43">
        <v>0</v>
      </c>
      <c r="AW43">
        <v>10</v>
      </c>
      <c r="AX43">
        <v>1</v>
      </c>
      <c r="AY43">
        <v>10</v>
      </c>
      <c r="AZ43">
        <v>5</v>
      </c>
      <c r="BA43">
        <v>1</v>
      </c>
      <c r="BB43">
        <v>1440</v>
      </c>
      <c r="BC43">
        <v>0</v>
      </c>
      <c r="BD43">
        <v>0</v>
      </c>
      <c r="BE43">
        <v>14</v>
      </c>
      <c r="BF43">
        <v>25</v>
      </c>
      <c r="BG43">
        <v>3</v>
      </c>
      <c r="BH43">
        <v>8</v>
      </c>
      <c r="BI43">
        <v>3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0</v>
      </c>
      <c r="BQ43">
        <v>60</v>
      </c>
      <c r="BR43">
        <v>0</v>
      </c>
      <c r="BS43">
        <v>3</v>
      </c>
      <c r="BT43" t="s">
        <v>243</v>
      </c>
      <c r="BU43" t="s">
        <v>261</v>
      </c>
      <c r="BV43" t="b">
        <v>0</v>
      </c>
      <c r="BW43" t="s">
        <v>262</v>
      </c>
    </row>
    <row r="44" spans="1:75">
      <c r="A44" t="s">
        <v>243</v>
      </c>
      <c r="B44" t="s">
        <v>252</v>
      </c>
      <c r="C44">
        <v>956</v>
      </c>
      <c r="D44" t="s">
        <v>253</v>
      </c>
      <c r="E44" t="s">
        <v>254</v>
      </c>
      <c r="F44">
        <v>5</v>
      </c>
      <c r="G44" s="13">
        <v>46262.785393518519</v>
      </c>
      <c r="H44" s="13">
        <v>46262.785451388889</v>
      </c>
      <c r="I44">
        <v>5</v>
      </c>
      <c r="J44" t="s">
        <v>255</v>
      </c>
      <c r="K44">
        <v>1</v>
      </c>
      <c r="L44">
        <v>0.04</v>
      </c>
      <c r="M44">
        <v>0.04</v>
      </c>
      <c r="N44">
        <v>1</v>
      </c>
      <c r="O44">
        <v>0.04</v>
      </c>
      <c r="P44">
        <v>1.1599999999999999</v>
      </c>
      <c r="Q44">
        <v>4.5199999999999996</v>
      </c>
      <c r="R44">
        <v>3.92</v>
      </c>
      <c r="S44" t="s">
        <v>256</v>
      </c>
      <c r="T44" t="s">
        <v>257</v>
      </c>
      <c r="U44">
        <v>11</v>
      </c>
      <c r="V44">
        <v>6855.2</v>
      </c>
      <c r="W44">
        <v>4999.2</v>
      </c>
      <c r="X44">
        <v>4998.84</v>
      </c>
      <c r="Y44">
        <v>0</v>
      </c>
      <c r="Z44">
        <v>0</v>
      </c>
      <c r="AA44">
        <v>35</v>
      </c>
      <c r="AB44">
        <v>50</v>
      </c>
      <c r="AC44">
        <v>5000</v>
      </c>
      <c r="AD44">
        <v>0</v>
      </c>
      <c r="AE44">
        <v>0</v>
      </c>
      <c r="AF44">
        <v>6859.12</v>
      </c>
      <c r="AG44">
        <v>6859.12</v>
      </c>
      <c r="AH44" s="14">
        <v>46262</v>
      </c>
      <c r="AI44" t="s">
        <v>258</v>
      </c>
      <c r="AJ44" s="13">
        <v>46262.213402777779</v>
      </c>
      <c r="AK44">
        <v>6066.68</v>
      </c>
      <c r="AL44" t="s">
        <v>259</v>
      </c>
      <c r="AM44" t="s">
        <v>260</v>
      </c>
      <c r="AN44">
        <v>1400</v>
      </c>
      <c r="AO44">
        <v>0</v>
      </c>
      <c r="AP44">
        <v>35</v>
      </c>
      <c r="AQ44">
        <v>85</v>
      </c>
      <c r="AR44">
        <v>35</v>
      </c>
      <c r="AS44">
        <v>2</v>
      </c>
      <c r="AT44">
        <v>23</v>
      </c>
      <c r="AU44">
        <v>1</v>
      </c>
      <c r="AV44">
        <v>0</v>
      </c>
      <c r="AW44">
        <v>10</v>
      </c>
      <c r="AX44">
        <v>1</v>
      </c>
      <c r="AY44">
        <v>10</v>
      </c>
      <c r="AZ44">
        <v>5</v>
      </c>
      <c r="BA44">
        <v>1</v>
      </c>
      <c r="BB44">
        <v>1440</v>
      </c>
      <c r="BC44">
        <v>0</v>
      </c>
      <c r="BD44">
        <v>0</v>
      </c>
      <c r="BE44">
        <v>14</v>
      </c>
      <c r="BF44">
        <v>25</v>
      </c>
      <c r="BG44">
        <v>3</v>
      </c>
      <c r="BH44">
        <v>8</v>
      </c>
      <c r="BI44">
        <v>3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0</v>
      </c>
      <c r="BQ44">
        <v>60</v>
      </c>
      <c r="BR44">
        <v>0</v>
      </c>
      <c r="BS44">
        <v>3</v>
      </c>
      <c r="BT44" t="s">
        <v>243</v>
      </c>
      <c r="BU44" t="s">
        <v>261</v>
      </c>
      <c r="BV44" t="b">
        <v>0</v>
      </c>
      <c r="BW44" t="s">
        <v>262</v>
      </c>
    </row>
    <row r="45" spans="1:75">
      <c r="A45" t="s">
        <v>243</v>
      </c>
      <c r="B45" t="s">
        <v>252</v>
      </c>
      <c r="C45">
        <v>957</v>
      </c>
      <c r="D45" t="s">
        <v>253</v>
      </c>
      <c r="E45" t="s">
        <v>254</v>
      </c>
      <c r="F45">
        <v>5</v>
      </c>
      <c r="G45" s="13">
        <v>46262.788472222222</v>
      </c>
      <c r="H45" s="13">
        <v>46262.788518518515</v>
      </c>
      <c r="I45">
        <v>4</v>
      </c>
      <c r="J45" t="s">
        <v>264</v>
      </c>
      <c r="K45">
        <v>1</v>
      </c>
      <c r="L45">
        <v>0.04</v>
      </c>
      <c r="M45">
        <v>0.04</v>
      </c>
      <c r="N45">
        <v>1</v>
      </c>
      <c r="O45">
        <v>0.04</v>
      </c>
      <c r="P45">
        <v>1.24</v>
      </c>
      <c r="Q45">
        <v>4.04</v>
      </c>
      <c r="R45">
        <v>4.04</v>
      </c>
      <c r="S45" t="s">
        <v>256</v>
      </c>
      <c r="T45" t="s">
        <v>257</v>
      </c>
      <c r="U45">
        <v>10</v>
      </c>
      <c r="V45">
        <v>6858.48</v>
      </c>
      <c r="W45">
        <v>4999.3599999999997</v>
      </c>
      <c r="X45">
        <v>4998.76</v>
      </c>
      <c r="Y45">
        <v>0</v>
      </c>
      <c r="Z45">
        <v>0</v>
      </c>
      <c r="AA45">
        <v>35</v>
      </c>
      <c r="AB45">
        <v>50</v>
      </c>
      <c r="AC45">
        <v>5000</v>
      </c>
      <c r="AD45">
        <v>0</v>
      </c>
      <c r="AE45">
        <v>0</v>
      </c>
      <c r="AF45">
        <v>6861.84</v>
      </c>
      <c r="AG45">
        <v>6861.84</v>
      </c>
      <c r="AH45" s="14">
        <v>46262</v>
      </c>
      <c r="AI45" t="s">
        <v>258</v>
      </c>
      <c r="AJ45" s="13">
        <v>46262.213402777779</v>
      </c>
      <c r="AK45">
        <v>6066.68</v>
      </c>
      <c r="AL45" t="s">
        <v>259</v>
      </c>
      <c r="AM45" t="s">
        <v>260</v>
      </c>
      <c r="AN45">
        <v>1400</v>
      </c>
      <c r="AO45">
        <v>0</v>
      </c>
      <c r="AP45">
        <v>35</v>
      </c>
      <c r="AQ45">
        <v>85</v>
      </c>
      <c r="AR45">
        <v>35</v>
      </c>
      <c r="AS45">
        <v>2</v>
      </c>
      <c r="AT45">
        <v>23</v>
      </c>
      <c r="AU45">
        <v>1</v>
      </c>
      <c r="AV45">
        <v>0</v>
      </c>
      <c r="AW45">
        <v>10</v>
      </c>
      <c r="AX45">
        <v>1</v>
      </c>
      <c r="AY45">
        <v>10</v>
      </c>
      <c r="AZ45">
        <v>5</v>
      </c>
      <c r="BA45">
        <v>1</v>
      </c>
      <c r="BB45">
        <v>1440</v>
      </c>
      <c r="BC45">
        <v>0</v>
      </c>
      <c r="BD45">
        <v>0</v>
      </c>
      <c r="BE45">
        <v>14</v>
      </c>
      <c r="BF45">
        <v>25</v>
      </c>
      <c r="BG45">
        <v>3</v>
      </c>
      <c r="BH45">
        <v>8</v>
      </c>
      <c r="BI45">
        <v>3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0</v>
      </c>
      <c r="BQ45">
        <v>60</v>
      </c>
      <c r="BR45">
        <v>0</v>
      </c>
      <c r="BS45">
        <v>3</v>
      </c>
      <c r="BT45" t="s">
        <v>243</v>
      </c>
      <c r="BU45" t="s">
        <v>261</v>
      </c>
      <c r="BV45" t="b">
        <v>0</v>
      </c>
      <c r="BW45" t="s">
        <v>262</v>
      </c>
    </row>
    <row r="46" spans="1:75">
      <c r="A46" t="s">
        <v>243</v>
      </c>
      <c r="B46" t="s">
        <v>252</v>
      </c>
      <c r="C46">
        <v>958</v>
      </c>
      <c r="D46" t="s">
        <v>253</v>
      </c>
      <c r="E46" t="s">
        <v>254</v>
      </c>
      <c r="F46">
        <v>5</v>
      </c>
      <c r="G46" s="13">
        <v>46262.792083333334</v>
      </c>
      <c r="H46" s="13">
        <v>46262.794664351852</v>
      </c>
      <c r="I46">
        <v>223</v>
      </c>
      <c r="J46" t="s">
        <v>255</v>
      </c>
      <c r="K46">
        <v>1</v>
      </c>
      <c r="L46">
        <v>0.04</v>
      </c>
      <c r="M46">
        <v>0.04</v>
      </c>
      <c r="N46">
        <v>1</v>
      </c>
      <c r="O46">
        <v>0.04</v>
      </c>
      <c r="P46">
        <v>6.48</v>
      </c>
      <c r="Q46">
        <v>14</v>
      </c>
      <c r="R46">
        <v>13.88</v>
      </c>
      <c r="S46" t="s">
        <v>256</v>
      </c>
      <c r="T46" t="s">
        <v>257</v>
      </c>
      <c r="U46">
        <v>10</v>
      </c>
      <c r="V46">
        <v>6861.16</v>
      </c>
      <c r="W46">
        <v>4999.32</v>
      </c>
      <c r="X46">
        <v>4993.5200000000004</v>
      </c>
      <c r="Y46">
        <v>0</v>
      </c>
      <c r="Z46">
        <v>0</v>
      </c>
      <c r="AA46">
        <v>35</v>
      </c>
      <c r="AB46">
        <v>50</v>
      </c>
      <c r="AC46">
        <v>5000</v>
      </c>
      <c r="AD46">
        <v>0</v>
      </c>
      <c r="AE46">
        <v>0</v>
      </c>
      <c r="AF46">
        <v>6874.44</v>
      </c>
      <c r="AG46">
        <v>6874.44</v>
      </c>
      <c r="AH46" s="14">
        <v>46262</v>
      </c>
      <c r="AI46" t="s">
        <v>258</v>
      </c>
      <c r="AJ46" s="13">
        <v>46262.213402777779</v>
      </c>
      <c r="AK46">
        <v>6066.68</v>
      </c>
      <c r="AL46" t="s">
        <v>259</v>
      </c>
      <c r="AM46" t="s">
        <v>260</v>
      </c>
      <c r="AN46">
        <v>1400</v>
      </c>
      <c r="AO46">
        <v>0</v>
      </c>
      <c r="AP46">
        <v>35</v>
      </c>
      <c r="AQ46">
        <v>85</v>
      </c>
      <c r="AR46">
        <v>35</v>
      </c>
      <c r="AS46">
        <v>2</v>
      </c>
      <c r="AT46">
        <v>23</v>
      </c>
      <c r="AU46">
        <v>1</v>
      </c>
      <c r="AV46">
        <v>0</v>
      </c>
      <c r="AW46">
        <v>10</v>
      </c>
      <c r="AX46">
        <v>1</v>
      </c>
      <c r="AY46">
        <v>10</v>
      </c>
      <c r="AZ46">
        <v>5</v>
      </c>
      <c r="BA46">
        <v>1</v>
      </c>
      <c r="BB46">
        <v>1440</v>
      </c>
      <c r="BC46">
        <v>0</v>
      </c>
      <c r="BD46">
        <v>0</v>
      </c>
      <c r="BE46">
        <v>14</v>
      </c>
      <c r="BF46">
        <v>25</v>
      </c>
      <c r="BG46">
        <v>3</v>
      </c>
      <c r="BH46">
        <v>8</v>
      </c>
      <c r="BI46">
        <v>3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0</v>
      </c>
      <c r="BQ46">
        <v>60</v>
      </c>
      <c r="BR46">
        <v>0</v>
      </c>
      <c r="BS46">
        <v>3</v>
      </c>
      <c r="BT46" t="s">
        <v>243</v>
      </c>
      <c r="BU46" t="s">
        <v>261</v>
      </c>
      <c r="BV46" t="b">
        <v>0</v>
      </c>
      <c r="BW46" t="s">
        <v>262</v>
      </c>
    </row>
    <row r="47" spans="1:75">
      <c r="A47" t="s">
        <v>243</v>
      </c>
      <c r="B47" t="s">
        <v>252</v>
      </c>
      <c r="C47">
        <v>959</v>
      </c>
      <c r="D47" t="s">
        <v>253</v>
      </c>
      <c r="E47" t="s">
        <v>254</v>
      </c>
      <c r="F47">
        <v>5</v>
      </c>
      <c r="G47" s="13">
        <v>46262.796018518522</v>
      </c>
      <c r="H47" s="13">
        <v>46262.7969212963</v>
      </c>
      <c r="I47">
        <v>78</v>
      </c>
      <c r="J47" t="s">
        <v>264</v>
      </c>
      <c r="K47">
        <v>1</v>
      </c>
      <c r="L47">
        <v>0.04</v>
      </c>
      <c r="M47">
        <v>0.04</v>
      </c>
      <c r="N47">
        <v>1</v>
      </c>
      <c r="O47">
        <v>0.04</v>
      </c>
      <c r="P47">
        <v>0.68</v>
      </c>
      <c r="Q47">
        <v>12.08</v>
      </c>
      <c r="R47">
        <v>11</v>
      </c>
      <c r="S47" t="s">
        <v>256</v>
      </c>
      <c r="T47" t="s">
        <v>257</v>
      </c>
      <c r="U47">
        <v>11</v>
      </c>
      <c r="V47">
        <v>6873.76</v>
      </c>
      <c r="W47">
        <v>4999.32</v>
      </c>
      <c r="X47">
        <v>4999.32</v>
      </c>
      <c r="Y47">
        <v>0</v>
      </c>
      <c r="Z47">
        <v>0</v>
      </c>
      <c r="AA47">
        <v>35</v>
      </c>
      <c r="AB47">
        <v>50</v>
      </c>
      <c r="AC47">
        <v>5000</v>
      </c>
      <c r="AD47">
        <v>0</v>
      </c>
      <c r="AE47">
        <v>0</v>
      </c>
      <c r="AF47">
        <v>6885.12</v>
      </c>
      <c r="AG47">
        <v>6885.12</v>
      </c>
      <c r="AH47" s="14">
        <v>46262</v>
      </c>
      <c r="AI47" t="s">
        <v>258</v>
      </c>
      <c r="AJ47" s="13">
        <v>46262.213402777779</v>
      </c>
      <c r="AK47">
        <v>6066.68</v>
      </c>
      <c r="AL47" t="s">
        <v>259</v>
      </c>
      <c r="AM47" t="s">
        <v>260</v>
      </c>
      <c r="AN47">
        <v>1400</v>
      </c>
      <c r="AO47">
        <v>0</v>
      </c>
      <c r="AP47">
        <v>35</v>
      </c>
      <c r="AQ47">
        <v>85</v>
      </c>
      <c r="AR47">
        <v>35</v>
      </c>
      <c r="AS47">
        <v>2</v>
      </c>
      <c r="AT47">
        <v>23</v>
      </c>
      <c r="AU47">
        <v>1</v>
      </c>
      <c r="AV47">
        <v>0</v>
      </c>
      <c r="AW47">
        <v>10</v>
      </c>
      <c r="AX47">
        <v>1</v>
      </c>
      <c r="AY47">
        <v>10</v>
      </c>
      <c r="AZ47">
        <v>5</v>
      </c>
      <c r="BA47">
        <v>1</v>
      </c>
      <c r="BB47">
        <v>1440</v>
      </c>
      <c r="BC47">
        <v>0</v>
      </c>
      <c r="BD47">
        <v>0</v>
      </c>
      <c r="BE47">
        <v>14</v>
      </c>
      <c r="BF47">
        <v>25</v>
      </c>
      <c r="BG47">
        <v>3</v>
      </c>
      <c r="BH47">
        <v>8</v>
      </c>
      <c r="BI47">
        <v>3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0</v>
      </c>
      <c r="BQ47">
        <v>60</v>
      </c>
      <c r="BR47">
        <v>0</v>
      </c>
      <c r="BS47">
        <v>3</v>
      </c>
      <c r="BT47" t="s">
        <v>243</v>
      </c>
      <c r="BU47" t="s">
        <v>261</v>
      </c>
      <c r="BV47" t="b">
        <v>0</v>
      </c>
      <c r="BW47" t="s">
        <v>262</v>
      </c>
    </row>
    <row r="48" spans="1:75">
      <c r="A48" t="s">
        <v>243</v>
      </c>
      <c r="B48" t="s">
        <v>252</v>
      </c>
      <c r="C48">
        <v>960</v>
      </c>
      <c r="D48" t="s">
        <v>253</v>
      </c>
      <c r="E48" t="s">
        <v>254</v>
      </c>
      <c r="F48">
        <v>5</v>
      </c>
      <c r="G48" s="13">
        <v>46262.798935185187</v>
      </c>
      <c r="H48" s="13">
        <v>46262.801550925928</v>
      </c>
      <c r="I48">
        <v>226</v>
      </c>
      <c r="J48" t="s">
        <v>264</v>
      </c>
      <c r="K48">
        <v>1</v>
      </c>
      <c r="L48">
        <v>0.04</v>
      </c>
      <c r="M48">
        <v>0.04</v>
      </c>
      <c r="N48">
        <v>1</v>
      </c>
      <c r="O48">
        <v>0.04</v>
      </c>
      <c r="P48">
        <v>35</v>
      </c>
      <c r="Q48">
        <v>5.24</v>
      </c>
      <c r="R48">
        <v>4.4000000000000004</v>
      </c>
      <c r="S48" t="s">
        <v>256</v>
      </c>
      <c r="T48" t="s">
        <v>257</v>
      </c>
      <c r="U48">
        <v>11</v>
      </c>
      <c r="V48">
        <v>6884.44</v>
      </c>
      <c r="W48">
        <v>4999.32</v>
      </c>
      <c r="X48">
        <v>4965</v>
      </c>
      <c r="Y48">
        <v>0</v>
      </c>
      <c r="Z48">
        <v>0</v>
      </c>
      <c r="AA48">
        <v>35</v>
      </c>
      <c r="AB48">
        <v>50</v>
      </c>
      <c r="AC48">
        <v>5000</v>
      </c>
      <c r="AD48">
        <v>0</v>
      </c>
      <c r="AE48">
        <v>0</v>
      </c>
      <c r="AF48">
        <v>6888.96</v>
      </c>
      <c r="AG48">
        <v>6888.96</v>
      </c>
      <c r="AH48" s="14">
        <v>46262</v>
      </c>
      <c r="AI48" t="s">
        <v>258</v>
      </c>
      <c r="AJ48" s="13">
        <v>46262.213402777779</v>
      </c>
      <c r="AK48">
        <v>6066.68</v>
      </c>
      <c r="AL48" t="s">
        <v>259</v>
      </c>
      <c r="AM48" t="s">
        <v>260</v>
      </c>
      <c r="AN48">
        <v>1400</v>
      </c>
      <c r="AO48">
        <v>0</v>
      </c>
      <c r="AP48">
        <v>35</v>
      </c>
      <c r="AQ48">
        <v>85</v>
      </c>
      <c r="AR48">
        <v>35</v>
      </c>
      <c r="AS48">
        <v>2</v>
      </c>
      <c r="AT48">
        <v>23</v>
      </c>
      <c r="AU48">
        <v>1</v>
      </c>
      <c r="AV48">
        <v>0</v>
      </c>
      <c r="AW48">
        <v>10</v>
      </c>
      <c r="AX48">
        <v>1</v>
      </c>
      <c r="AY48">
        <v>10</v>
      </c>
      <c r="AZ48">
        <v>5</v>
      </c>
      <c r="BA48">
        <v>1</v>
      </c>
      <c r="BB48">
        <v>1440</v>
      </c>
      <c r="BC48">
        <v>0</v>
      </c>
      <c r="BD48">
        <v>0</v>
      </c>
      <c r="BE48">
        <v>14</v>
      </c>
      <c r="BF48">
        <v>25</v>
      </c>
      <c r="BG48">
        <v>3</v>
      </c>
      <c r="BH48">
        <v>8</v>
      </c>
      <c r="BI48">
        <v>3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0</v>
      </c>
      <c r="BQ48">
        <v>60</v>
      </c>
      <c r="BR48">
        <v>0</v>
      </c>
      <c r="BS48">
        <v>3</v>
      </c>
      <c r="BT48" t="s">
        <v>243</v>
      </c>
      <c r="BU48" t="s">
        <v>261</v>
      </c>
      <c r="BV48" t="b">
        <v>0</v>
      </c>
      <c r="BW48" t="s">
        <v>262</v>
      </c>
    </row>
    <row r="49" spans="1:75">
      <c r="A49" t="s">
        <v>243</v>
      </c>
      <c r="B49" t="s">
        <v>252</v>
      </c>
      <c r="C49">
        <v>961</v>
      </c>
      <c r="D49" t="s">
        <v>253</v>
      </c>
      <c r="E49" t="s">
        <v>254</v>
      </c>
      <c r="F49">
        <v>5</v>
      </c>
      <c r="G49" s="13">
        <v>46262.802384259259</v>
      </c>
      <c r="H49" s="13">
        <v>46262.802511574075</v>
      </c>
      <c r="I49">
        <v>11</v>
      </c>
      <c r="J49" t="s">
        <v>255</v>
      </c>
      <c r="K49">
        <v>1</v>
      </c>
      <c r="L49">
        <v>0.04</v>
      </c>
      <c r="M49">
        <v>0.04</v>
      </c>
      <c r="N49">
        <v>1</v>
      </c>
      <c r="O49">
        <v>0.04</v>
      </c>
      <c r="P49">
        <v>2.84</v>
      </c>
      <c r="Q49">
        <v>3.36</v>
      </c>
      <c r="R49">
        <v>3.36</v>
      </c>
      <c r="S49" t="s">
        <v>256</v>
      </c>
      <c r="T49" t="s">
        <v>257</v>
      </c>
      <c r="U49">
        <v>11</v>
      </c>
      <c r="V49">
        <v>6888.16</v>
      </c>
      <c r="W49">
        <v>4999.2</v>
      </c>
      <c r="X49">
        <v>4997.16</v>
      </c>
      <c r="Y49">
        <v>0</v>
      </c>
      <c r="Z49">
        <v>0</v>
      </c>
      <c r="AA49">
        <v>35</v>
      </c>
      <c r="AB49">
        <v>50</v>
      </c>
      <c r="AC49">
        <v>5000</v>
      </c>
      <c r="AD49">
        <v>0</v>
      </c>
      <c r="AE49">
        <v>0</v>
      </c>
      <c r="AF49">
        <v>6891.16</v>
      </c>
      <c r="AG49">
        <v>6891.16</v>
      </c>
      <c r="AH49" s="14">
        <v>46262</v>
      </c>
      <c r="AI49" t="s">
        <v>258</v>
      </c>
      <c r="AJ49" s="13">
        <v>46262.213402777779</v>
      </c>
      <c r="AK49">
        <v>6066.68</v>
      </c>
      <c r="AL49" t="s">
        <v>259</v>
      </c>
      <c r="AM49" t="s">
        <v>260</v>
      </c>
      <c r="AN49">
        <v>1400</v>
      </c>
      <c r="AO49">
        <v>0</v>
      </c>
      <c r="AP49">
        <v>35</v>
      </c>
      <c r="AQ49">
        <v>85</v>
      </c>
      <c r="AR49">
        <v>35</v>
      </c>
      <c r="AS49">
        <v>2</v>
      </c>
      <c r="AT49">
        <v>23</v>
      </c>
      <c r="AU49">
        <v>1</v>
      </c>
      <c r="AV49">
        <v>0</v>
      </c>
      <c r="AW49">
        <v>10</v>
      </c>
      <c r="AX49">
        <v>1</v>
      </c>
      <c r="AY49">
        <v>10</v>
      </c>
      <c r="AZ49">
        <v>5</v>
      </c>
      <c r="BA49">
        <v>1</v>
      </c>
      <c r="BB49">
        <v>1440</v>
      </c>
      <c r="BC49">
        <v>0</v>
      </c>
      <c r="BD49">
        <v>0</v>
      </c>
      <c r="BE49">
        <v>14</v>
      </c>
      <c r="BF49">
        <v>25</v>
      </c>
      <c r="BG49">
        <v>3</v>
      </c>
      <c r="BH49">
        <v>8</v>
      </c>
      <c r="BI49">
        <v>3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0</v>
      </c>
      <c r="BQ49">
        <v>60</v>
      </c>
      <c r="BR49">
        <v>0</v>
      </c>
      <c r="BS49">
        <v>3</v>
      </c>
      <c r="BT49" t="s">
        <v>243</v>
      </c>
      <c r="BU49" t="s">
        <v>261</v>
      </c>
      <c r="BV49" t="b">
        <v>0</v>
      </c>
      <c r="BW49" t="s">
        <v>262</v>
      </c>
    </row>
    <row r="50" spans="1:75">
      <c r="A50" t="s">
        <v>243</v>
      </c>
      <c r="B50" t="s">
        <v>252</v>
      </c>
      <c r="C50">
        <v>962</v>
      </c>
      <c r="D50" t="s">
        <v>253</v>
      </c>
      <c r="E50" t="s">
        <v>254</v>
      </c>
      <c r="F50">
        <v>5</v>
      </c>
      <c r="G50" s="13">
        <v>46262.80609953704</v>
      </c>
      <c r="H50" s="13">
        <v>46262.806620370371</v>
      </c>
      <c r="I50">
        <v>45</v>
      </c>
      <c r="J50" t="s">
        <v>264</v>
      </c>
      <c r="K50">
        <v>1</v>
      </c>
      <c r="L50">
        <v>0.04</v>
      </c>
      <c r="M50">
        <v>0.04</v>
      </c>
      <c r="N50">
        <v>1</v>
      </c>
      <c r="O50">
        <v>0.04</v>
      </c>
      <c r="P50">
        <v>4.5199999999999996</v>
      </c>
      <c r="Q50">
        <v>10.48</v>
      </c>
      <c r="R50">
        <v>10.48</v>
      </c>
      <c r="S50" t="s">
        <v>256</v>
      </c>
      <c r="T50" t="s">
        <v>257</v>
      </c>
      <c r="U50">
        <v>15</v>
      </c>
      <c r="V50">
        <v>6890.32</v>
      </c>
      <c r="W50">
        <v>4999.16</v>
      </c>
      <c r="X50">
        <v>4995.4799999999996</v>
      </c>
      <c r="Y50">
        <v>0</v>
      </c>
      <c r="Z50">
        <v>0</v>
      </c>
      <c r="AA50">
        <v>35</v>
      </c>
      <c r="AB50">
        <v>50</v>
      </c>
      <c r="AC50">
        <v>5000</v>
      </c>
      <c r="AD50">
        <v>0</v>
      </c>
      <c r="AE50">
        <v>0</v>
      </c>
      <c r="AF50">
        <v>6899.92</v>
      </c>
      <c r="AG50">
        <v>6899.92</v>
      </c>
      <c r="AH50" s="14">
        <v>46262</v>
      </c>
      <c r="AI50" t="s">
        <v>258</v>
      </c>
      <c r="AJ50" s="13">
        <v>46262.213402777779</v>
      </c>
      <c r="AK50">
        <v>6066.68</v>
      </c>
      <c r="AL50" t="s">
        <v>259</v>
      </c>
      <c r="AM50" t="s">
        <v>260</v>
      </c>
      <c r="AN50">
        <v>1400</v>
      </c>
      <c r="AO50">
        <v>0</v>
      </c>
      <c r="AP50">
        <v>35</v>
      </c>
      <c r="AQ50">
        <v>85</v>
      </c>
      <c r="AR50">
        <v>35</v>
      </c>
      <c r="AS50">
        <v>2</v>
      </c>
      <c r="AT50">
        <v>23</v>
      </c>
      <c r="AU50">
        <v>1</v>
      </c>
      <c r="AV50">
        <v>0</v>
      </c>
      <c r="AW50">
        <v>10</v>
      </c>
      <c r="AX50">
        <v>1</v>
      </c>
      <c r="AY50">
        <v>10</v>
      </c>
      <c r="AZ50">
        <v>5</v>
      </c>
      <c r="BA50">
        <v>1</v>
      </c>
      <c r="BB50">
        <v>1440</v>
      </c>
      <c r="BC50">
        <v>0</v>
      </c>
      <c r="BD50">
        <v>0</v>
      </c>
      <c r="BE50">
        <v>14</v>
      </c>
      <c r="BF50">
        <v>25</v>
      </c>
      <c r="BG50">
        <v>3</v>
      </c>
      <c r="BH50">
        <v>8</v>
      </c>
      <c r="BI50">
        <v>3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0</v>
      </c>
      <c r="BQ50">
        <v>60</v>
      </c>
      <c r="BR50">
        <v>0</v>
      </c>
      <c r="BS50">
        <v>3</v>
      </c>
      <c r="BT50" t="s">
        <v>243</v>
      </c>
      <c r="BU50" t="s">
        <v>261</v>
      </c>
      <c r="BV50" t="b">
        <v>0</v>
      </c>
      <c r="BW50" t="s">
        <v>262</v>
      </c>
    </row>
    <row r="51" spans="1:75">
      <c r="A51" t="s">
        <v>243</v>
      </c>
      <c r="B51" t="s">
        <v>252</v>
      </c>
      <c r="C51">
        <v>963</v>
      </c>
      <c r="D51" t="s">
        <v>253</v>
      </c>
      <c r="E51" t="s">
        <v>254</v>
      </c>
      <c r="F51">
        <v>5</v>
      </c>
      <c r="G51" s="13">
        <v>46262.809050925927</v>
      </c>
      <c r="H51" s="13">
        <v>46262.815509259257</v>
      </c>
      <c r="I51">
        <v>558</v>
      </c>
      <c r="J51" t="s">
        <v>264</v>
      </c>
      <c r="K51">
        <v>2</v>
      </c>
      <c r="L51">
        <v>0.08</v>
      </c>
      <c r="M51">
        <v>0.04</v>
      </c>
      <c r="N51">
        <v>2</v>
      </c>
      <c r="O51">
        <v>0.08</v>
      </c>
      <c r="P51">
        <v>90.2</v>
      </c>
      <c r="Q51">
        <v>10.72</v>
      </c>
      <c r="R51">
        <v>5.04</v>
      </c>
      <c r="S51" t="s">
        <v>263</v>
      </c>
      <c r="T51" t="s">
        <v>257</v>
      </c>
      <c r="U51">
        <v>10</v>
      </c>
      <c r="V51">
        <v>6899.08</v>
      </c>
      <c r="W51">
        <v>4999.16</v>
      </c>
      <c r="X51">
        <v>4909.8</v>
      </c>
      <c r="Y51">
        <v>0</v>
      </c>
      <c r="Z51">
        <v>0</v>
      </c>
      <c r="AA51">
        <v>35</v>
      </c>
      <c r="AB51">
        <v>50</v>
      </c>
      <c r="AC51">
        <v>5000</v>
      </c>
      <c r="AD51">
        <v>0</v>
      </c>
      <c r="AE51">
        <v>0</v>
      </c>
      <c r="AF51">
        <v>6904.48</v>
      </c>
      <c r="AG51">
        <v>6904.48</v>
      </c>
      <c r="AH51" s="14">
        <v>46262</v>
      </c>
      <c r="AI51" t="s">
        <v>258</v>
      </c>
      <c r="AJ51" s="13">
        <v>46262.213402777779</v>
      </c>
      <c r="AK51">
        <v>6066.68</v>
      </c>
      <c r="AL51" t="s">
        <v>259</v>
      </c>
      <c r="AM51" t="s">
        <v>260</v>
      </c>
      <c r="AN51">
        <v>1400</v>
      </c>
      <c r="AO51">
        <v>0</v>
      </c>
      <c r="AP51">
        <v>35</v>
      </c>
      <c r="AQ51">
        <v>85</v>
      </c>
      <c r="AR51">
        <v>35</v>
      </c>
      <c r="AS51">
        <v>2</v>
      </c>
      <c r="AT51">
        <v>23</v>
      </c>
      <c r="AU51">
        <v>1</v>
      </c>
      <c r="AV51">
        <v>0</v>
      </c>
      <c r="AW51">
        <v>10</v>
      </c>
      <c r="AX51">
        <v>1</v>
      </c>
      <c r="AY51">
        <v>10</v>
      </c>
      <c r="AZ51">
        <v>5</v>
      </c>
      <c r="BA51">
        <v>1</v>
      </c>
      <c r="BB51">
        <v>1440</v>
      </c>
      <c r="BC51">
        <v>0</v>
      </c>
      <c r="BD51">
        <v>0</v>
      </c>
      <c r="BE51">
        <v>14</v>
      </c>
      <c r="BF51">
        <v>25</v>
      </c>
      <c r="BG51">
        <v>3</v>
      </c>
      <c r="BH51">
        <v>8</v>
      </c>
      <c r="BI51">
        <v>3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0</v>
      </c>
      <c r="BQ51">
        <v>60</v>
      </c>
      <c r="BR51">
        <v>0</v>
      </c>
      <c r="BS51">
        <v>3</v>
      </c>
      <c r="BT51" t="s">
        <v>243</v>
      </c>
      <c r="BU51" t="s">
        <v>261</v>
      </c>
      <c r="BV51" t="b">
        <v>0</v>
      </c>
      <c r="BW51" t="s">
        <v>262</v>
      </c>
    </row>
    <row r="52" spans="1:75">
      <c r="A52" t="s">
        <v>243</v>
      </c>
      <c r="B52" t="s">
        <v>252</v>
      </c>
      <c r="C52">
        <v>964</v>
      </c>
      <c r="D52" t="s">
        <v>253</v>
      </c>
      <c r="E52" t="s">
        <v>254</v>
      </c>
      <c r="F52">
        <v>5</v>
      </c>
      <c r="G52" s="13">
        <v>46262.81659722222</v>
      </c>
      <c r="H52" s="13">
        <v>46262.817037037035</v>
      </c>
      <c r="I52">
        <v>38</v>
      </c>
      <c r="J52" t="s">
        <v>255</v>
      </c>
      <c r="K52">
        <v>1</v>
      </c>
      <c r="L52">
        <v>0.04</v>
      </c>
      <c r="M52">
        <v>0.04</v>
      </c>
      <c r="N52">
        <v>1</v>
      </c>
      <c r="O52">
        <v>0.04</v>
      </c>
      <c r="P52">
        <v>8.0399999999999991</v>
      </c>
      <c r="Q52">
        <v>6.32</v>
      </c>
      <c r="R52">
        <v>5.8</v>
      </c>
      <c r="S52" t="s">
        <v>256</v>
      </c>
      <c r="T52" t="s">
        <v>257</v>
      </c>
      <c r="U52">
        <v>10</v>
      </c>
      <c r="V52">
        <v>6903.84</v>
      </c>
      <c r="W52">
        <v>4999.3599999999997</v>
      </c>
      <c r="X52">
        <v>4991.96</v>
      </c>
      <c r="Y52">
        <v>0</v>
      </c>
      <c r="Z52">
        <v>0</v>
      </c>
      <c r="AA52">
        <v>35</v>
      </c>
      <c r="AB52">
        <v>50</v>
      </c>
      <c r="AC52">
        <v>5000</v>
      </c>
      <c r="AD52">
        <v>0</v>
      </c>
      <c r="AE52">
        <v>0</v>
      </c>
      <c r="AF52">
        <v>6909.4</v>
      </c>
      <c r="AG52">
        <v>6909.4</v>
      </c>
      <c r="AH52" s="14">
        <v>46262</v>
      </c>
      <c r="AI52" t="s">
        <v>258</v>
      </c>
      <c r="AJ52" s="13">
        <v>46262.213402777779</v>
      </c>
      <c r="AK52">
        <v>6066.68</v>
      </c>
      <c r="AL52" t="s">
        <v>259</v>
      </c>
      <c r="AM52" t="s">
        <v>260</v>
      </c>
      <c r="AN52">
        <v>1400</v>
      </c>
      <c r="AO52">
        <v>0</v>
      </c>
      <c r="AP52">
        <v>35</v>
      </c>
      <c r="AQ52">
        <v>85</v>
      </c>
      <c r="AR52">
        <v>35</v>
      </c>
      <c r="AS52">
        <v>2</v>
      </c>
      <c r="AT52">
        <v>23</v>
      </c>
      <c r="AU52">
        <v>1</v>
      </c>
      <c r="AV52">
        <v>0</v>
      </c>
      <c r="AW52">
        <v>10</v>
      </c>
      <c r="AX52">
        <v>1</v>
      </c>
      <c r="AY52">
        <v>10</v>
      </c>
      <c r="AZ52">
        <v>5</v>
      </c>
      <c r="BA52">
        <v>1</v>
      </c>
      <c r="BB52">
        <v>1440</v>
      </c>
      <c r="BC52">
        <v>0</v>
      </c>
      <c r="BD52">
        <v>0</v>
      </c>
      <c r="BE52">
        <v>14</v>
      </c>
      <c r="BF52">
        <v>25</v>
      </c>
      <c r="BG52">
        <v>3</v>
      </c>
      <c r="BH52">
        <v>8</v>
      </c>
      <c r="BI52">
        <v>3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0</v>
      </c>
      <c r="BQ52">
        <v>60</v>
      </c>
      <c r="BR52">
        <v>0</v>
      </c>
      <c r="BS52">
        <v>3</v>
      </c>
      <c r="BT52" t="s">
        <v>243</v>
      </c>
      <c r="BU52" t="s">
        <v>261</v>
      </c>
      <c r="BV52" t="b">
        <v>0</v>
      </c>
      <c r="BW52" t="s">
        <v>262</v>
      </c>
    </row>
    <row r="53" spans="1:75">
      <c r="A53" t="s">
        <v>243</v>
      </c>
      <c r="B53" t="s">
        <v>252</v>
      </c>
      <c r="C53">
        <v>965</v>
      </c>
      <c r="D53" t="s">
        <v>253</v>
      </c>
      <c r="E53" t="s">
        <v>254</v>
      </c>
      <c r="F53">
        <v>5</v>
      </c>
      <c r="G53" s="13">
        <v>46262.819664351853</v>
      </c>
      <c r="H53" s="13">
        <v>46262.819803240738</v>
      </c>
      <c r="I53">
        <v>12</v>
      </c>
      <c r="J53" t="s">
        <v>264</v>
      </c>
      <c r="K53">
        <v>1</v>
      </c>
      <c r="L53">
        <v>0.04</v>
      </c>
      <c r="M53">
        <v>0.04</v>
      </c>
      <c r="N53">
        <v>1</v>
      </c>
      <c r="O53">
        <v>0.04</v>
      </c>
      <c r="P53">
        <v>0.68</v>
      </c>
      <c r="Q53">
        <v>21.16</v>
      </c>
      <c r="R53">
        <v>20.68</v>
      </c>
      <c r="S53" t="s">
        <v>256</v>
      </c>
      <c r="T53" t="s">
        <v>257</v>
      </c>
      <c r="U53">
        <v>11</v>
      </c>
      <c r="V53">
        <v>6908.72</v>
      </c>
      <c r="W53">
        <v>4999.32</v>
      </c>
      <c r="X53">
        <v>4999.32</v>
      </c>
      <c r="Y53">
        <v>0</v>
      </c>
      <c r="Z53">
        <v>0</v>
      </c>
      <c r="AA53">
        <v>35</v>
      </c>
      <c r="AB53">
        <v>50</v>
      </c>
      <c r="AC53">
        <v>5000</v>
      </c>
      <c r="AD53">
        <v>0</v>
      </c>
      <c r="AE53">
        <v>0</v>
      </c>
      <c r="AF53">
        <v>6929</v>
      </c>
      <c r="AG53">
        <v>6929</v>
      </c>
      <c r="AH53" s="14">
        <v>46262</v>
      </c>
      <c r="AI53" t="s">
        <v>258</v>
      </c>
      <c r="AJ53" s="13">
        <v>46262.213402777779</v>
      </c>
      <c r="AK53">
        <v>6066.68</v>
      </c>
      <c r="AL53" t="s">
        <v>259</v>
      </c>
      <c r="AM53" t="s">
        <v>260</v>
      </c>
      <c r="AN53">
        <v>1400</v>
      </c>
      <c r="AO53">
        <v>0</v>
      </c>
      <c r="AP53">
        <v>35</v>
      </c>
      <c r="AQ53">
        <v>85</v>
      </c>
      <c r="AR53">
        <v>35</v>
      </c>
      <c r="AS53">
        <v>2</v>
      </c>
      <c r="AT53">
        <v>23</v>
      </c>
      <c r="AU53">
        <v>1</v>
      </c>
      <c r="AV53">
        <v>0</v>
      </c>
      <c r="AW53">
        <v>10</v>
      </c>
      <c r="AX53">
        <v>1</v>
      </c>
      <c r="AY53">
        <v>10</v>
      </c>
      <c r="AZ53">
        <v>5</v>
      </c>
      <c r="BA53">
        <v>1</v>
      </c>
      <c r="BB53">
        <v>1440</v>
      </c>
      <c r="BC53">
        <v>0</v>
      </c>
      <c r="BD53">
        <v>0</v>
      </c>
      <c r="BE53">
        <v>14</v>
      </c>
      <c r="BF53">
        <v>25</v>
      </c>
      <c r="BG53">
        <v>3</v>
      </c>
      <c r="BH53">
        <v>8</v>
      </c>
      <c r="BI53">
        <v>3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0</v>
      </c>
      <c r="BQ53">
        <v>60</v>
      </c>
      <c r="BR53">
        <v>0</v>
      </c>
      <c r="BS53">
        <v>3</v>
      </c>
      <c r="BT53" t="s">
        <v>243</v>
      </c>
      <c r="BU53" t="s">
        <v>261</v>
      </c>
      <c r="BV53" t="b">
        <v>0</v>
      </c>
      <c r="BW53" t="s">
        <v>262</v>
      </c>
    </row>
    <row r="54" spans="1:75">
      <c r="A54" t="s">
        <v>243</v>
      </c>
      <c r="B54" t="s">
        <v>252</v>
      </c>
      <c r="C54">
        <v>966</v>
      </c>
      <c r="D54" t="s">
        <v>253</v>
      </c>
      <c r="E54" t="s">
        <v>254</v>
      </c>
      <c r="F54">
        <v>5</v>
      </c>
      <c r="G54" s="13">
        <v>46262.823125000003</v>
      </c>
      <c r="H54" s="13">
        <v>46262.823344907411</v>
      </c>
      <c r="I54">
        <v>19</v>
      </c>
      <c r="J54" t="s">
        <v>255</v>
      </c>
      <c r="K54">
        <v>1</v>
      </c>
      <c r="L54">
        <v>0.04</v>
      </c>
      <c r="M54">
        <v>0.04</v>
      </c>
      <c r="N54">
        <v>1</v>
      </c>
      <c r="O54">
        <v>0.04</v>
      </c>
      <c r="P54">
        <v>3.32</v>
      </c>
      <c r="Q54">
        <v>9.64</v>
      </c>
      <c r="R54">
        <v>8.48</v>
      </c>
      <c r="S54" t="s">
        <v>256</v>
      </c>
      <c r="T54" t="s">
        <v>257</v>
      </c>
      <c r="U54">
        <v>10</v>
      </c>
      <c r="V54">
        <v>6928.36</v>
      </c>
      <c r="W54">
        <v>4999.3599999999997</v>
      </c>
      <c r="X54">
        <v>4996.68</v>
      </c>
      <c r="Y54">
        <v>0</v>
      </c>
      <c r="Z54">
        <v>0</v>
      </c>
      <c r="AA54">
        <v>35</v>
      </c>
      <c r="AB54">
        <v>50</v>
      </c>
      <c r="AC54">
        <v>5000</v>
      </c>
      <c r="AD54">
        <v>0</v>
      </c>
      <c r="AE54">
        <v>0</v>
      </c>
      <c r="AF54">
        <v>6937.24</v>
      </c>
      <c r="AG54">
        <v>6937.24</v>
      </c>
      <c r="AH54" s="14">
        <v>46262</v>
      </c>
      <c r="AI54" t="s">
        <v>258</v>
      </c>
      <c r="AJ54" s="13">
        <v>46262.213402777779</v>
      </c>
      <c r="AK54">
        <v>6066.68</v>
      </c>
      <c r="AL54" t="s">
        <v>259</v>
      </c>
      <c r="AM54" t="s">
        <v>260</v>
      </c>
      <c r="AN54">
        <v>1400</v>
      </c>
      <c r="AO54">
        <v>0</v>
      </c>
      <c r="AP54">
        <v>35</v>
      </c>
      <c r="AQ54">
        <v>85</v>
      </c>
      <c r="AR54">
        <v>35</v>
      </c>
      <c r="AS54">
        <v>2</v>
      </c>
      <c r="AT54">
        <v>23</v>
      </c>
      <c r="AU54">
        <v>1</v>
      </c>
      <c r="AV54">
        <v>0</v>
      </c>
      <c r="AW54">
        <v>10</v>
      </c>
      <c r="AX54">
        <v>1</v>
      </c>
      <c r="AY54">
        <v>10</v>
      </c>
      <c r="AZ54">
        <v>5</v>
      </c>
      <c r="BA54">
        <v>1</v>
      </c>
      <c r="BB54">
        <v>1440</v>
      </c>
      <c r="BC54">
        <v>0</v>
      </c>
      <c r="BD54">
        <v>0</v>
      </c>
      <c r="BE54">
        <v>14</v>
      </c>
      <c r="BF54">
        <v>25</v>
      </c>
      <c r="BG54">
        <v>3</v>
      </c>
      <c r="BH54">
        <v>8</v>
      </c>
      <c r="BI54">
        <v>3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0</v>
      </c>
      <c r="BQ54">
        <v>60</v>
      </c>
      <c r="BR54">
        <v>0</v>
      </c>
      <c r="BS54">
        <v>3</v>
      </c>
      <c r="BT54" t="s">
        <v>243</v>
      </c>
      <c r="BU54" t="s">
        <v>261</v>
      </c>
      <c r="BV54" t="b">
        <v>0</v>
      </c>
      <c r="BW54" t="s">
        <v>262</v>
      </c>
    </row>
    <row r="55" spans="1:75">
      <c r="A55" t="s">
        <v>243</v>
      </c>
      <c r="B55" t="s">
        <v>252</v>
      </c>
      <c r="C55">
        <v>967</v>
      </c>
      <c r="D55" t="s">
        <v>253</v>
      </c>
      <c r="E55" t="s">
        <v>254</v>
      </c>
      <c r="F55">
        <v>5</v>
      </c>
      <c r="G55" s="13">
        <v>46262.827604166669</v>
      </c>
      <c r="H55" s="13">
        <v>46262.828321759262</v>
      </c>
      <c r="I55">
        <v>62</v>
      </c>
      <c r="J55" t="s">
        <v>255</v>
      </c>
      <c r="K55">
        <v>1</v>
      </c>
      <c r="L55">
        <v>0.04</v>
      </c>
      <c r="M55">
        <v>0.04</v>
      </c>
      <c r="N55">
        <v>1</v>
      </c>
      <c r="O55">
        <v>0.04</v>
      </c>
      <c r="P55">
        <v>6.36</v>
      </c>
      <c r="Q55">
        <v>3.36</v>
      </c>
      <c r="R55">
        <v>2.08</v>
      </c>
      <c r="S55" t="s">
        <v>256</v>
      </c>
      <c r="T55" t="s">
        <v>257</v>
      </c>
      <c r="U55">
        <v>15</v>
      </c>
      <c r="V55">
        <v>6936.56</v>
      </c>
      <c r="W55">
        <v>4999.32</v>
      </c>
      <c r="X55">
        <v>4993.6400000000003</v>
      </c>
      <c r="Y55">
        <v>0</v>
      </c>
      <c r="Z55">
        <v>0</v>
      </c>
      <c r="AA55">
        <v>35</v>
      </c>
      <c r="AB55">
        <v>50</v>
      </c>
      <c r="AC55">
        <v>5000</v>
      </c>
      <c r="AD55">
        <v>0</v>
      </c>
      <c r="AE55">
        <v>0</v>
      </c>
      <c r="AF55">
        <v>6939.2</v>
      </c>
      <c r="AG55">
        <v>6939.2</v>
      </c>
      <c r="AH55" s="14">
        <v>46262</v>
      </c>
      <c r="AI55" t="s">
        <v>258</v>
      </c>
      <c r="AJ55" s="13">
        <v>46262.213402777779</v>
      </c>
      <c r="AK55">
        <v>6066.68</v>
      </c>
      <c r="AL55" t="s">
        <v>259</v>
      </c>
      <c r="AM55" t="s">
        <v>260</v>
      </c>
      <c r="AN55">
        <v>1400</v>
      </c>
      <c r="AO55">
        <v>0</v>
      </c>
      <c r="AP55">
        <v>35</v>
      </c>
      <c r="AQ55">
        <v>85</v>
      </c>
      <c r="AR55">
        <v>35</v>
      </c>
      <c r="AS55">
        <v>2</v>
      </c>
      <c r="AT55">
        <v>23</v>
      </c>
      <c r="AU55">
        <v>1</v>
      </c>
      <c r="AV55">
        <v>0</v>
      </c>
      <c r="AW55">
        <v>10</v>
      </c>
      <c r="AX55">
        <v>1</v>
      </c>
      <c r="AY55">
        <v>10</v>
      </c>
      <c r="AZ55">
        <v>5</v>
      </c>
      <c r="BA55">
        <v>1</v>
      </c>
      <c r="BB55">
        <v>1440</v>
      </c>
      <c r="BC55">
        <v>0</v>
      </c>
      <c r="BD55">
        <v>0</v>
      </c>
      <c r="BE55">
        <v>14</v>
      </c>
      <c r="BF55">
        <v>25</v>
      </c>
      <c r="BG55">
        <v>3</v>
      </c>
      <c r="BH55">
        <v>8</v>
      </c>
      <c r="BI55">
        <v>3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0</v>
      </c>
      <c r="BQ55">
        <v>60</v>
      </c>
      <c r="BR55">
        <v>0</v>
      </c>
      <c r="BS55">
        <v>3</v>
      </c>
      <c r="BT55" t="s">
        <v>243</v>
      </c>
      <c r="BU55" t="s">
        <v>261</v>
      </c>
      <c r="BV55" t="b">
        <v>0</v>
      </c>
      <c r="BW55" t="s">
        <v>262</v>
      </c>
    </row>
    <row r="56" spans="1:75">
      <c r="A56" t="s">
        <v>243</v>
      </c>
      <c r="B56" t="s">
        <v>252</v>
      </c>
      <c r="C56">
        <v>968</v>
      </c>
      <c r="D56" t="s">
        <v>253</v>
      </c>
      <c r="E56" t="s">
        <v>254</v>
      </c>
      <c r="F56">
        <v>5</v>
      </c>
      <c r="G56" s="13">
        <v>46262.830185185187</v>
      </c>
      <c r="H56" s="13">
        <v>46262.830821759257</v>
      </c>
      <c r="I56">
        <v>55</v>
      </c>
      <c r="J56" t="s">
        <v>264</v>
      </c>
      <c r="K56">
        <v>1</v>
      </c>
      <c r="L56">
        <v>0.04</v>
      </c>
      <c r="M56">
        <v>0.04</v>
      </c>
      <c r="N56">
        <v>1</v>
      </c>
      <c r="O56">
        <v>0.04</v>
      </c>
      <c r="P56">
        <v>8.8000000000000007</v>
      </c>
      <c r="Q56">
        <v>3.68</v>
      </c>
      <c r="R56">
        <v>2.96</v>
      </c>
      <c r="S56" t="s">
        <v>256</v>
      </c>
      <c r="T56" t="s">
        <v>257</v>
      </c>
      <c r="U56">
        <v>10</v>
      </c>
      <c r="V56">
        <v>6938.52</v>
      </c>
      <c r="W56">
        <v>4999.32</v>
      </c>
      <c r="X56">
        <v>4991.2</v>
      </c>
      <c r="Y56">
        <v>0</v>
      </c>
      <c r="Z56">
        <v>0</v>
      </c>
      <c r="AA56">
        <v>35</v>
      </c>
      <c r="AB56">
        <v>50</v>
      </c>
      <c r="AC56">
        <v>5000</v>
      </c>
      <c r="AD56">
        <v>0</v>
      </c>
      <c r="AE56">
        <v>0</v>
      </c>
      <c r="AF56">
        <v>6941.48</v>
      </c>
      <c r="AG56">
        <v>6941.48</v>
      </c>
      <c r="AH56" s="14">
        <v>46262</v>
      </c>
      <c r="AI56" t="s">
        <v>258</v>
      </c>
      <c r="AJ56" s="13">
        <v>46262.213402777779</v>
      </c>
      <c r="AK56">
        <v>6066.68</v>
      </c>
      <c r="AL56" t="s">
        <v>259</v>
      </c>
      <c r="AM56" t="s">
        <v>260</v>
      </c>
      <c r="AN56">
        <v>1400</v>
      </c>
      <c r="AO56">
        <v>0</v>
      </c>
      <c r="AP56">
        <v>35</v>
      </c>
      <c r="AQ56">
        <v>85</v>
      </c>
      <c r="AR56">
        <v>35</v>
      </c>
      <c r="AS56">
        <v>2</v>
      </c>
      <c r="AT56">
        <v>23</v>
      </c>
      <c r="AU56">
        <v>1</v>
      </c>
      <c r="AV56">
        <v>0</v>
      </c>
      <c r="AW56">
        <v>10</v>
      </c>
      <c r="AX56">
        <v>1</v>
      </c>
      <c r="AY56">
        <v>10</v>
      </c>
      <c r="AZ56">
        <v>5</v>
      </c>
      <c r="BA56">
        <v>1</v>
      </c>
      <c r="BB56">
        <v>1440</v>
      </c>
      <c r="BC56">
        <v>0</v>
      </c>
      <c r="BD56">
        <v>0</v>
      </c>
      <c r="BE56">
        <v>14</v>
      </c>
      <c r="BF56">
        <v>25</v>
      </c>
      <c r="BG56">
        <v>3</v>
      </c>
      <c r="BH56">
        <v>8</v>
      </c>
      <c r="BI56">
        <v>3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0</v>
      </c>
      <c r="BQ56">
        <v>60</v>
      </c>
      <c r="BR56">
        <v>0</v>
      </c>
      <c r="BS56">
        <v>3</v>
      </c>
      <c r="BT56" t="s">
        <v>243</v>
      </c>
      <c r="BU56" t="s">
        <v>261</v>
      </c>
      <c r="BV56" t="b">
        <v>0</v>
      </c>
      <c r="BW56" t="s">
        <v>262</v>
      </c>
    </row>
    <row r="57" spans="1:75">
      <c r="A57" t="s">
        <v>243</v>
      </c>
      <c r="B57" t="s">
        <v>252</v>
      </c>
      <c r="C57">
        <v>969</v>
      </c>
      <c r="D57" t="s">
        <v>253</v>
      </c>
      <c r="E57" t="s">
        <v>254</v>
      </c>
      <c r="F57">
        <v>5</v>
      </c>
      <c r="G57" s="13">
        <v>46262.83353009259</v>
      </c>
      <c r="H57" s="13">
        <v>46262.833668981482</v>
      </c>
      <c r="I57">
        <v>12</v>
      </c>
      <c r="J57" t="s">
        <v>264</v>
      </c>
      <c r="K57">
        <v>1</v>
      </c>
      <c r="L57">
        <v>0.04</v>
      </c>
      <c r="M57">
        <v>0.04</v>
      </c>
      <c r="N57">
        <v>1</v>
      </c>
      <c r="O57">
        <v>0.04</v>
      </c>
      <c r="P57">
        <v>0.68</v>
      </c>
      <c r="Q57">
        <v>6.76</v>
      </c>
      <c r="R57">
        <v>5.6</v>
      </c>
      <c r="S57" t="s">
        <v>256</v>
      </c>
      <c r="T57" t="s">
        <v>257</v>
      </c>
      <c r="U57">
        <v>11</v>
      </c>
      <c r="V57">
        <v>6940.8</v>
      </c>
      <c r="W57">
        <v>4999.32</v>
      </c>
      <c r="X57">
        <v>4999.32</v>
      </c>
      <c r="Y57">
        <v>0</v>
      </c>
      <c r="Z57">
        <v>0</v>
      </c>
      <c r="AA57">
        <v>35</v>
      </c>
      <c r="AB57">
        <v>50</v>
      </c>
      <c r="AC57">
        <v>5000</v>
      </c>
      <c r="AD57">
        <v>0</v>
      </c>
      <c r="AE57">
        <v>0</v>
      </c>
      <c r="AF57">
        <v>6946.84</v>
      </c>
      <c r="AG57">
        <v>6946.84</v>
      </c>
      <c r="AH57" s="14">
        <v>46262</v>
      </c>
      <c r="AI57" t="s">
        <v>258</v>
      </c>
      <c r="AJ57" s="13">
        <v>46262.213402777779</v>
      </c>
      <c r="AK57">
        <v>6066.68</v>
      </c>
      <c r="AL57" t="s">
        <v>259</v>
      </c>
      <c r="AM57" t="s">
        <v>260</v>
      </c>
      <c r="AN57">
        <v>1400</v>
      </c>
      <c r="AO57">
        <v>0</v>
      </c>
      <c r="AP57">
        <v>35</v>
      </c>
      <c r="AQ57">
        <v>85</v>
      </c>
      <c r="AR57">
        <v>35</v>
      </c>
      <c r="AS57">
        <v>2</v>
      </c>
      <c r="AT57">
        <v>23</v>
      </c>
      <c r="AU57">
        <v>1</v>
      </c>
      <c r="AV57">
        <v>0</v>
      </c>
      <c r="AW57">
        <v>10</v>
      </c>
      <c r="AX57">
        <v>1</v>
      </c>
      <c r="AY57">
        <v>10</v>
      </c>
      <c r="AZ57">
        <v>5</v>
      </c>
      <c r="BA57">
        <v>1</v>
      </c>
      <c r="BB57">
        <v>1440</v>
      </c>
      <c r="BC57">
        <v>0</v>
      </c>
      <c r="BD57">
        <v>0</v>
      </c>
      <c r="BE57">
        <v>14</v>
      </c>
      <c r="BF57">
        <v>25</v>
      </c>
      <c r="BG57">
        <v>3</v>
      </c>
      <c r="BH57">
        <v>8</v>
      </c>
      <c r="BI57">
        <v>3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0</v>
      </c>
      <c r="BQ57">
        <v>60</v>
      </c>
      <c r="BR57">
        <v>0</v>
      </c>
      <c r="BS57">
        <v>3</v>
      </c>
      <c r="BT57" t="s">
        <v>243</v>
      </c>
      <c r="BU57" t="s">
        <v>261</v>
      </c>
      <c r="BV57" t="b">
        <v>0</v>
      </c>
      <c r="BW57" t="s">
        <v>262</v>
      </c>
    </row>
    <row r="58" spans="1:75">
      <c r="A58" t="s">
        <v>243</v>
      </c>
      <c r="B58" t="s">
        <v>252</v>
      </c>
      <c r="C58">
        <v>970</v>
      </c>
      <c r="D58" t="s">
        <v>253</v>
      </c>
      <c r="E58" t="s">
        <v>254</v>
      </c>
      <c r="F58">
        <v>5</v>
      </c>
      <c r="G58" s="13">
        <v>46262.83766203704</v>
      </c>
      <c r="H58" s="13">
        <v>46262.837893518517</v>
      </c>
      <c r="I58">
        <v>20</v>
      </c>
      <c r="J58" t="s">
        <v>255</v>
      </c>
      <c r="K58">
        <v>1</v>
      </c>
      <c r="L58">
        <v>0.04</v>
      </c>
      <c r="M58">
        <v>0.04</v>
      </c>
      <c r="N58">
        <v>1</v>
      </c>
      <c r="O58">
        <v>0.04</v>
      </c>
      <c r="P58">
        <v>8.1999999999999993</v>
      </c>
      <c r="Q58">
        <v>3.24</v>
      </c>
      <c r="R58">
        <v>2.4</v>
      </c>
      <c r="S58" t="s">
        <v>256</v>
      </c>
      <c r="T58" t="s">
        <v>257</v>
      </c>
      <c r="U58">
        <v>10</v>
      </c>
      <c r="V58">
        <v>6946.16</v>
      </c>
      <c r="W58">
        <v>4999.32</v>
      </c>
      <c r="X58">
        <v>4991.8</v>
      </c>
      <c r="Y58">
        <v>0</v>
      </c>
      <c r="Z58">
        <v>0</v>
      </c>
      <c r="AA58">
        <v>35</v>
      </c>
      <c r="AB58">
        <v>50</v>
      </c>
      <c r="AC58">
        <v>5000</v>
      </c>
      <c r="AD58">
        <v>0</v>
      </c>
      <c r="AE58">
        <v>0</v>
      </c>
      <c r="AF58">
        <v>6948.64</v>
      </c>
      <c r="AG58">
        <v>6948.64</v>
      </c>
      <c r="AH58" s="14">
        <v>46262</v>
      </c>
      <c r="AI58" t="s">
        <v>258</v>
      </c>
      <c r="AJ58" s="13">
        <v>46262.213402777779</v>
      </c>
      <c r="AK58">
        <v>6066.68</v>
      </c>
      <c r="AL58" t="s">
        <v>259</v>
      </c>
      <c r="AM58" t="s">
        <v>260</v>
      </c>
      <c r="AN58">
        <v>1400</v>
      </c>
      <c r="AO58">
        <v>0</v>
      </c>
      <c r="AP58">
        <v>35</v>
      </c>
      <c r="AQ58">
        <v>85</v>
      </c>
      <c r="AR58">
        <v>35</v>
      </c>
      <c r="AS58">
        <v>2</v>
      </c>
      <c r="AT58">
        <v>23</v>
      </c>
      <c r="AU58">
        <v>1</v>
      </c>
      <c r="AV58">
        <v>0</v>
      </c>
      <c r="AW58">
        <v>10</v>
      </c>
      <c r="AX58">
        <v>1</v>
      </c>
      <c r="AY58">
        <v>10</v>
      </c>
      <c r="AZ58">
        <v>5</v>
      </c>
      <c r="BA58">
        <v>1</v>
      </c>
      <c r="BB58">
        <v>1440</v>
      </c>
      <c r="BC58">
        <v>0</v>
      </c>
      <c r="BD58">
        <v>0</v>
      </c>
      <c r="BE58">
        <v>14</v>
      </c>
      <c r="BF58">
        <v>25</v>
      </c>
      <c r="BG58">
        <v>3</v>
      </c>
      <c r="BH58">
        <v>8</v>
      </c>
      <c r="BI58">
        <v>3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0</v>
      </c>
      <c r="BQ58">
        <v>60</v>
      </c>
      <c r="BR58">
        <v>0</v>
      </c>
      <c r="BS58">
        <v>3</v>
      </c>
      <c r="BT58" t="s">
        <v>243</v>
      </c>
      <c r="BU58" t="s">
        <v>261</v>
      </c>
      <c r="BV58" t="b">
        <v>0</v>
      </c>
      <c r="BW58" t="s">
        <v>262</v>
      </c>
    </row>
    <row r="59" spans="1:75">
      <c r="A59" t="s">
        <v>243</v>
      </c>
      <c r="B59" t="s">
        <v>252</v>
      </c>
      <c r="C59">
        <v>971</v>
      </c>
      <c r="D59" t="s">
        <v>253</v>
      </c>
      <c r="E59" t="s">
        <v>254</v>
      </c>
      <c r="F59">
        <v>5</v>
      </c>
      <c r="G59" s="13">
        <v>46262.840555555558</v>
      </c>
      <c r="H59" s="13">
        <v>46262.840717592589</v>
      </c>
      <c r="I59">
        <v>14</v>
      </c>
      <c r="J59" t="s">
        <v>264</v>
      </c>
      <c r="K59">
        <v>1</v>
      </c>
      <c r="L59">
        <v>0.04</v>
      </c>
      <c r="M59">
        <v>0.04</v>
      </c>
      <c r="N59">
        <v>1</v>
      </c>
      <c r="O59">
        <v>0.04</v>
      </c>
      <c r="P59">
        <v>2.2799999999999998</v>
      </c>
      <c r="Q59">
        <v>5.2</v>
      </c>
      <c r="R59">
        <v>4.24</v>
      </c>
      <c r="S59" t="s">
        <v>256</v>
      </c>
      <c r="T59" t="s">
        <v>257</v>
      </c>
      <c r="U59">
        <v>11</v>
      </c>
      <c r="V59">
        <v>6948</v>
      </c>
      <c r="W59">
        <v>4999.3599999999997</v>
      </c>
      <c r="X59">
        <v>4997.72</v>
      </c>
      <c r="Y59">
        <v>0</v>
      </c>
      <c r="Z59">
        <v>0</v>
      </c>
      <c r="AA59">
        <v>35</v>
      </c>
      <c r="AB59">
        <v>50</v>
      </c>
      <c r="AC59">
        <v>5000</v>
      </c>
      <c r="AD59">
        <v>0</v>
      </c>
      <c r="AE59">
        <v>0</v>
      </c>
      <c r="AF59">
        <v>6952.44</v>
      </c>
      <c r="AG59">
        <v>6952.44</v>
      </c>
      <c r="AH59" s="14">
        <v>46262</v>
      </c>
      <c r="AI59" t="s">
        <v>258</v>
      </c>
      <c r="AJ59" s="13">
        <v>46262.213402777779</v>
      </c>
      <c r="AK59">
        <v>6066.68</v>
      </c>
      <c r="AL59" t="s">
        <v>259</v>
      </c>
      <c r="AM59" t="s">
        <v>260</v>
      </c>
      <c r="AN59">
        <v>1400</v>
      </c>
      <c r="AO59">
        <v>0</v>
      </c>
      <c r="AP59">
        <v>35</v>
      </c>
      <c r="AQ59">
        <v>85</v>
      </c>
      <c r="AR59">
        <v>35</v>
      </c>
      <c r="AS59">
        <v>2</v>
      </c>
      <c r="AT59">
        <v>23</v>
      </c>
      <c r="AU59">
        <v>1</v>
      </c>
      <c r="AV59">
        <v>0</v>
      </c>
      <c r="AW59">
        <v>10</v>
      </c>
      <c r="AX59">
        <v>1</v>
      </c>
      <c r="AY59">
        <v>10</v>
      </c>
      <c r="AZ59">
        <v>5</v>
      </c>
      <c r="BA59">
        <v>1</v>
      </c>
      <c r="BB59">
        <v>1440</v>
      </c>
      <c r="BC59">
        <v>0</v>
      </c>
      <c r="BD59">
        <v>0</v>
      </c>
      <c r="BE59">
        <v>14</v>
      </c>
      <c r="BF59">
        <v>25</v>
      </c>
      <c r="BG59">
        <v>3</v>
      </c>
      <c r="BH59">
        <v>8</v>
      </c>
      <c r="BI59">
        <v>3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0</v>
      </c>
      <c r="BQ59">
        <v>60</v>
      </c>
      <c r="BR59">
        <v>0</v>
      </c>
      <c r="BS59">
        <v>3</v>
      </c>
      <c r="BT59" t="s">
        <v>243</v>
      </c>
      <c r="BU59" t="s">
        <v>261</v>
      </c>
      <c r="BV59" t="b">
        <v>0</v>
      </c>
      <c r="BW59" t="s">
        <v>262</v>
      </c>
    </row>
    <row r="60" spans="1:75">
      <c r="A60" t="s">
        <v>243</v>
      </c>
      <c r="B60" t="s">
        <v>252</v>
      </c>
      <c r="C60">
        <v>972</v>
      </c>
      <c r="D60" t="s">
        <v>253</v>
      </c>
      <c r="E60" t="s">
        <v>254</v>
      </c>
      <c r="F60">
        <v>5</v>
      </c>
      <c r="G60" s="13">
        <v>46262.844259259262</v>
      </c>
      <c r="H60" s="13">
        <v>46262.844641203701</v>
      </c>
      <c r="I60">
        <v>33</v>
      </c>
      <c r="J60" t="s">
        <v>264</v>
      </c>
      <c r="K60">
        <v>1</v>
      </c>
      <c r="L60">
        <v>0.04</v>
      </c>
      <c r="M60">
        <v>0.04</v>
      </c>
      <c r="N60">
        <v>1</v>
      </c>
      <c r="O60">
        <v>0.04</v>
      </c>
      <c r="P60">
        <v>15</v>
      </c>
      <c r="Q60">
        <v>5.32</v>
      </c>
      <c r="R60">
        <v>5.2</v>
      </c>
      <c r="S60" t="s">
        <v>256</v>
      </c>
      <c r="T60" t="s">
        <v>257</v>
      </c>
      <c r="U60">
        <v>10</v>
      </c>
      <c r="V60">
        <v>6951.76</v>
      </c>
      <c r="W60">
        <v>4999.32</v>
      </c>
      <c r="X60">
        <v>4985</v>
      </c>
      <c r="Y60">
        <v>0</v>
      </c>
      <c r="Z60">
        <v>0</v>
      </c>
      <c r="AA60">
        <v>35</v>
      </c>
      <c r="AB60">
        <v>50</v>
      </c>
      <c r="AC60">
        <v>5000</v>
      </c>
      <c r="AD60">
        <v>0</v>
      </c>
      <c r="AE60">
        <v>0</v>
      </c>
      <c r="AF60">
        <v>6956.36</v>
      </c>
      <c r="AG60">
        <v>6956.36</v>
      </c>
      <c r="AH60" s="14">
        <v>46262</v>
      </c>
      <c r="AI60" t="s">
        <v>258</v>
      </c>
      <c r="AJ60" s="13">
        <v>46262.213402777779</v>
      </c>
      <c r="AK60">
        <v>6066.68</v>
      </c>
      <c r="AL60" t="s">
        <v>259</v>
      </c>
      <c r="AM60" t="s">
        <v>260</v>
      </c>
      <c r="AN60">
        <v>1400</v>
      </c>
      <c r="AO60">
        <v>0</v>
      </c>
      <c r="AP60">
        <v>35</v>
      </c>
      <c r="AQ60">
        <v>85</v>
      </c>
      <c r="AR60">
        <v>35</v>
      </c>
      <c r="AS60">
        <v>2</v>
      </c>
      <c r="AT60">
        <v>23</v>
      </c>
      <c r="AU60">
        <v>1</v>
      </c>
      <c r="AV60">
        <v>0</v>
      </c>
      <c r="AW60">
        <v>10</v>
      </c>
      <c r="AX60">
        <v>1</v>
      </c>
      <c r="AY60">
        <v>10</v>
      </c>
      <c r="AZ60">
        <v>5</v>
      </c>
      <c r="BA60">
        <v>1</v>
      </c>
      <c r="BB60">
        <v>1440</v>
      </c>
      <c r="BC60">
        <v>0</v>
      </c>
      <c r="BD60">
        <v>0</v>
      </c>
      <c r="BE60">
        <v>14</v>
      </c>
      <c r="BF60">
        <v>25</v>
      </c>
      <c r="BG60">
        <v>3</v>
      </c>
      <c r="BH60">
        <v>8</v>
      </c>
      <c r="BI60">
        <v>3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0</v>
      </c>
      <c r="BQ60">
        <v>60</v>
      </c>
      <c r="BR60">
        <v>0</v>
      </c>
      <c r="BS60">
        <v>3</v>
      </c>
      <c r="BT60" t="s">
        <v>243</v>
      </c>
      <c r="BU60" t="s">
        <v>261</v>
      </c>
      <c r="BV60" t="b">
        <v>0</v>
      </c>
      <c r="BW60" t="s">
        <v>262</v>
      </c>
    </row>
    <row r="61" spans="1:75">
      <c r="A61" t="s">
        <v>243</v>
      </c>
      <c r="B61" t="s">
        <v>252</v>
      </c>
      <c r="C61">
        <v>973</v>
      </c>
      <c r="D61" t="s">
        <v>253</v>
      </c>
      <c r="E61" t="s">
        <v>254</v>
      </c>
      <c r="F61">
        <v>5</v>
      </c>
      <c r="G61" s="13">
        <v>46262.847557870373</v>
      </c>
      <c r="H61" s="13">
        <v>46262.848726851851</v>
      </c>
      <c r="I61">
        <v>101</v>
      </c>
      <c r="J61" t="s">
        <v>255</v>
      </c>
      <c r="K61">
        <v>1</v>
      </c>
      <c r="L61">
        <v>0.04</v>
      </c>
      <c r="M61">
        <v>0.04</v>
      </c>
      <c r="N61">
        <v>1</v>
      </c>
      <c r="O61">
        <v>0.04</v>
      </c>
      <c r="P61">
        <v>18.239999999999998</v>
      </c>
      <c r="Q61">
        <v>5.44</v>
      </c>
      <c r="R61">
        <v>4.72</v>
      </c>
      <c r="S61" t="s">
        <v>256</v>
      </c>
      <c r="T61" t="s">
        <v>257</v>
      </c>
      <c r="U61">
        <v>11</v>
      </c>
      <c r="V61">
        <v>6955.72</v>
      </c>
      <c r="W61">
        <v>4999.3599999999997</v>
      </c>
      <c r="X61">
        <v>4981.76</v>
      </c>
      <c r="Y61">
        <v>0</v>
      </c>
      <c r="Z61">
        <v>0</v>
      </c>
      <c r="AA61">
        <v>35</v>
      </c>
      <c r="AB61">
        <v>50</v>
      </c>
      <c r="AC61">
        <v>5000</v>
      </c>
      <c r="AD61">
        <v>0</v>
      </c>
      <c r="AE61">
        <v>0</v>
      </c>
      <c r="AF61">
        <v>6960.4</v>
      </c>
      <c r="AG61">
        <v>6960.4</v>
      </c>
      <c r="AH61" s="14">
        <v>46262</v>
      </c>
      <c r="AI61" t="s">
        <v>258</v>
      </c>
      <c r="AJ61" s="13">
        <v>46262.213402777779</v>
      </c>
      <c r="AK61">
        <v>6066.68</v>
      </c>
      <c r="AL61" t="s">
        <v>259</v>
      </c>
      <c r="AM61" t="s">
        <v>260</v>
      </c>
      <c r="AN61">
        <v>1400</v>
      </c>
      <c r="AO61">
        <v>0</v>
      </c>
      <c r="AP61">
        <v>35</v>
      </c>
      <c r="AQ61">
        <v>85</v>
      </c>
      <c r="AR61">
        <v>35</v>
      </c>
      <c r="AS61">
        <v>2</v>
      </c>
      <c r="AT61">
        <v>23</v>
      </c>
      <c r="AU61">
        <v>1</v>
      </c>
      <c r="AV61">
        <v>0</v>
      </c>
      <c r="AW61">
        <v>10</v>
      </c>
      <c r="AX61">
        <v>1</v>
      </c>
      <c r="AY61">
        <v>10</v>
      </c>
      <c r="AZ61">
        <v>5</v>
      </c>
      <c r="BA61">
        <v>1</v>
      </c>
      <c r="BB61">
        <v>1440</v>
      </c>
      <c r="BC61">
        <v>0</v>
      </c>
      <c r="BD61">
        <v>0</v>
      </c>
      <c r="BE61">
        <v>14</v>
      </c>
      <c r="BF61">
        <v>25</v>
      </c>
      <c r="BG61">
        <v>3</v>
      </c>
      <c r="BH61">
        <v>8</v>
      </c>
      <c r="BI61">
        <v>3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0</v>
      </c>
      <c r="BQ61">
        <v>60</v>
      </c>
      <c r="BR61">
        <v>0</v>
      </c>
      <c r="BS61">
        <v>3</v>
      </c>
      <c r="BT61" t="s">
        <v>243</v>
      </c>
      <c r="BU61" t="s">
        <v>261</v>
      </c>
      <c r="BV61" t="b">
        <v>0</v>
      </c>
      <c r="BW61" t="s">
        <v>262</v>
      </c>
    </row>
    <row r="62" spans="1:75">
      <c r="A62" t="s">
        <v>243</v>
      </c>
      <c r="B62" t="s">
        <v>252</v>
      </c>
      <c r="C62">
        <v>974</v>
      </c>
      <c r="D62" t="s">
        <v>253</v>
      </c>
      <c r="E62" t="s">
        <v>254</v>
      </c>
      <c r="F62">
        <v>5</v>
      </c>
      <c r="G62" s="13">
        <v>46262.851018518515</v>
      </c>
      <c r="H62" s="13">
        <v>46262.851122685184</v>
      </c>
      <c r="I62">
        <v>9</v>
      </c>
      <c r="J62" t="s">
        <v>264</v>
      </c>
      <c r="K62">
        <v>1</v>
      </c>
      <c r="L62">
        <v>0.04</v>
      </c>
      <c r="M62">
        <v>0.04</v>
      </c>
      <c r="N62">
        <v>1</v>
      </c>
      <c r="O62">
        <v>0.04</v>
      </c>
      <c r="P62">
        <v>1.68</v>
      </c>
      <c r="Q62">
        <v>3.36</v>
      </c>
      <c r="R62">
        <v>2.56</v>
      </c>
      <c r="S62" t="s">
        <v>256</v>
      </c>
      <c r="T62" t="s">
        <v>257</v>
      </c>
      <c r="U62">
        <v>15</v>
      </c>
      <c r="V62">
        <v>6959.56</v>
      </c>
      <c r="W62">
        <v>4999.16</v>
      </c>
      <c r="X62">
        <v>4998.32</v>
      </c>
      <c r="Y62">
        <v>0</v>
      </c>
      <c r="Z62">
        <v>0</v>
      </c>
      <c r="AA62">
        <v>35</v>
      </c>
      <c r="AB62">
        <v>50</v>
      </c>
      <c r="AC62">
        <v>5000</v>
      </c>
      <c r="AD62">
        <v>0</v>
      </c>
      <c r="AE62">
        <v>0</v>
      </c>
      <c r="AF62">
        <v>6962.68</v>
      </c>
      <c r="AG62">
        <v>6962.68</v>
      </c>
      <c r="AH62" s="14">
        <v>46262</v>
      </c>
      <c r="AI62" t="s">
        <v>258</v>
      </c>
      <c r="AJ62" s="13">
        <v>46262.213402777779</v>
      </c>
      <c r="AK62">
        <v>6066.68</v>
      </c>
      <c r="AL62" t="s">
        <v>259</v>
      </c>
      <c r="AM62" t="s">
        <v>260</v>
      </c>
      <c r="AN62">
        <v>1400</v>
      </c>
      <c r="AO62">
        <v>0</v>
      </c>
      <c r="AP62">
        <v>35</v>
      </c>
      <c r="AQ62">
        <v>85</v>
      </c>
      <c r="AR62">
        <v>35</v>
      </c>
      <c r="AS62">
        <v>2</v>
      </c>
      <c r="AT62">
        <v>23</v>
      </c>
      <c r="AU62">
        <v>1</v>
      </c>
      <c r="AV62">
        <v>0</v>
      </c>
      <c r="AW62">
        <v>10</v>
      </c>
      <c r="AX62">
        <v>1</v>
      </c>
      <c r="AY62">
        <v>10</v>
      </c>
      <c r="AZ62">
        <v>5</v>
      </c>
      <c r="BA62">
        <v>1</v>
      </c>
      <c r="BB62">
        <v>1440</v>
      </c>
      <c r="BC62">
        <v>0</v>
      </c>
      <c r="BD62">
        <v>0</v>
      </c>
      <c r="BE62">
        <v>14</v>
      </c>
      <c r="BF62">
        <v>25</v>
      </c>
      <c r="BG62">
        <v>3</v>
      </c>
      <c r="BH62">
        <v>8</v>
      </c>
      <c r="BI62">
        <v>3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0</v>
      </c>
      <c r="BQ62">
        <v>60</v>
      </c>
      <c r="BR62">
        <v>0</v>
      </c>
      <c r="BS62">
        <v>3</v>
      </c>
      <c r="BT62" t="s">
        <v>243</v>
      </c>
      <c r="BU62" t="s">
        <v>261</v>
      </c>
      <c r="BV62" t="b">
        <v>0</v>
      </c>
      <c r="BW62" t="s">
        <v>262</v>
      </c>
    </row>
    <row r="63" spans="1:75">
      <c r="A63" t="s">
        <v>243</v>
      </c>
      <c r="B63" t="s">
        <v>252</v>
      </c>
      <c r="C63">
        <v>975</v>
      </c>
      <c r="D63" t="s">
        <v>253</v>
      </c>
      <c r="E63" t="s">
        <v>254</v>
      </c>
      <c r="F63">
        <v>5</v>
      </c>
      <c r="G63" s="13">
        <v>46262.855428240742</v>
      </c>
      <c r="H63" s="13">
        <v>46262.856030092589</v>
      </c>
      <c r="I63">
        <v>52</v>
      </c>
      <c r="J63" t="s">
        <v>264</v>
      </c>
      <c r="K63">
        <v>1</v>
      </c>
      <c r="L63">
        <v>0.04</v>
      </c>
      <c r="M63">
        <v>0.04</v>
      </c>
      <c r="N63">
        <v>1</v>
      </c>
      <c r="O63">
        <v>0.04</v>
      </c>
      <c r="P63">
        <v>2.48</v>
      </c>
      <c r="Q63">
        <v>5.36</v>
      </c>
      <c r="R63">
        <v>5.08</v>
      </c>
      <c r="S63" t="s">
        <v>256</v>
      </c>
      <c r="T63" t="s">
        <v>257</v>
      </c>
      <c r="U63">
        <v>10</v>
      </c>
      <c r="V63">
        <v>6962</v>
      </c>
      <c r="W63">
        <v>4999.32</v>
      </c>
      <c r="X63">
        <v>4997.5200000000004</v>
      </c>
      <c r="Y63">
        <v>0</v>
      </c>
      <c r="Z63">
        <v>0</v>
      </c>
      <c r="AA63">
        <v>35</v>
      </c>
      <c r="AB63">
        <v>50</v>
      </c>
      <c r="AC63">
        <v>5000</v>
      </c>
      <c r="AD63">
        <v>0</v>
      </c>
      <c r="AE63">
        <v>0</v>
      </c>
      <c r="AF63">
        <v>6966.6</v>
      </c>
      <c r="AG63">
        <v>6966.6</v>
      </c>
      <c r="AH63" s="14">
        <v>46262</v>
      </c>
      <c r="AI63" t="s">
        <v>258</v>
      </c>
      <c r="AJ63" s="13">
        <v>46262.213402777779</v>
      </c>
      <c r="AK63">
        <v>6066.68</v>
      </c>
      <c r="AL63" t="s">
        <v>259</v>
      </c>
      <c r="AM63" t="s">
        <v>260</v>
      </c>
      <c r="AN63">
        <v>1400</v>
      </c>
      <c r="AO63">
        <v>0</v>
      </c>
      <c r="AP63">
        <v>35</v>
      </c>
      <c r="AQ63">
        <v>85</v>
      </c>
      <c r="AR63">
        <v>35</v>
      </c>
      <c r="AS63">
        <v>2</v>
      </c>
      <c r="AT63">
        <v>23</v>
      </c>
      <c r="AU63">
        <v>1</v>
      </c>
      <c r="AV63">
        <v>0</v>
      </c>
      <c r="AW63">
        <v>10</v>
      </c>
      <c r="AX63">
        <v>1</v>
      </c>
      <c r="AY63">
        <v>10</v>
      </c>
      <c r="AZ63">
        <v>5</v>
      </c>
      <c r="BA63">
        <v>1</v>
      </c>
      <c r="BB63">
        <v>1440</v>
      </c>
      <c r="BC63">
        <v>0</v>
      </c>
      <c r="BD63">
        <v>0</v>
      </c>
      <c r="BE63">
        <v>14</v>
      </c>
      <c r="BF63">
        <v>25</v>
      </c>
      <c r="BG63">
        <v>3</v>
      </c>
      <c r="BH63">
        <v>8</v>
      </c>
      <c r="BI63">
        <v>3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0</v>
      </c>
      <c r="BQ63">
        <v>60</v>
      </c>
      <c r="BR63">
        <v>0</v>
      </c>
      <c r="BS63">
        <v>3</v>
      </c>
      <c r="BT63" t="s">
        <v>243</v>
      </c>
      <c r="BU63" t="s">
        <v>261</v>
      </c>
      <c r="BV63" t="b">
        <v>0</v>
      </c>
      <c r="BW63" t="s">
        <v>262</v>
      </c>
    </row>
    <row r="64" spans="1:75">
      <c r="A64" t="s">
        <v>243</v>
      </c>
      <c r="B64" t="s">
        <v>252</v>
      </c>
      <c r="C64">
        <v>976</v>
      </c>
      <c r="D64" t="s">
        <v>253</v>
      </c>
      <c r="E64" t="s">
        <v>254</v>
      </c>
      <c r="F64">
        <v>5</v>
      </c>
      <c r="G64" s="13">
        <v>46262.858715277776</v>
      </c>
      <c r="H64" s="13">
        <v>46262.858842592592</v>
      </c>
      <c r="I64">
        <v>11</v>
      </c>
      <c r="J64" t="s">
        <v>264</v>
      </c>
      <c r="K64">
        <v>1</v>
      </c>
      <c r="L64">
        <v>0.04</v>
      </c>
      <c r="M64">
        <v>0.04</v>
      </c>
      <c r="N64">
        <v>1</v>
      </c>
      <c r="O64">
        <v>0.04</v>
      </c>
      <c r="P64">
        <v>1.36</v>
      </c>
      <c r="Q64">
        <v>5.04</v>
      </c>
      <c r="R64">
        <v>3.8</v>
      </c>
      <c r="S64" t="s">
        <v>256</v>
      </c>
      <c r="T64" t="s">
        <v>257</v>
      </c>
      <c r="U64">
        <v>11</v>
      </c>
      <c r="V64">
        <v>6965.96</v>
      </c>
      <c r="W64">
        <v>4999.3599999999997</v>
      </c>
      <c r="X64">
        <v>4998.6400000000003</v>
      </c>
      <c r="Y64">
        <v>0</v>
      </c>
      <c r="Z64">
        <v>0</v>
      </c>
      <c r="AA64">
        <v>35</v>
      </c>
      <c r="AB64">
        <v>50</v>
      </c>
      <c r="AC64">
        <v>5000</v>
      </c>
      <c r="AD64">
        <v>0</v>
      </c>
      <c r="AE64">
        <v>0</v>
      </c>
      <c r="AF64">
        <v>6970.24</v>
      </c>
      <c r="AG64">
        <v>6970.24</v>
      </c>
      <c r="AH64" s="14">
        <v>46262</v>
      </c>
      <c r="AI64" t="s">
        <v>258</v>
      </c>
      <c r="AJ64" s="13">
        <v>46262.213402777779</v>
      </c>
      <c r="AK64">
        <v>6066.68</v>
      </c>
      <c r="AL64" t="s">
        <v>259</v>
      </c>
      <c r="AM64" t="s">
        <v>260</v>
      </c>
      <c r="AN64">
        <v>1400</v>
      </c>
      <c r="AO64">
        <v>0</v>
      </c>
      <c r="AP64">
        <v>35</v>
      </c>
      <c r="AQ64">
        <v>85</v>
      </c>
      <c r="AR64">
        <v>35</v>
      </c>
      <c r="AS64">
        <v>2</v>
      </c>
      <c r="AT64">
        <v>23</v>
      </c>
      <c r="AU64">
        <v>1</v>
      </c>
      <c r="AV64">
        <v>0</v>
      </c>
      <c r="AW64">
        <v>10</v>
      </c>
      <c r="AX64">
        <v>1</v>
      </c>
      <c r="AY64">
        <v>10</v>
      </c>
      <c r="AZ64">
        <v>5</v>
      </c>
      <c r="BA64">
        <v>1</v>
      </c>
      <c r="BB64">
        <v>1440</v>
      </c>
      <c r="BC64">
        <v>0</v>
      </c>
      <c r="BD64">
        <v>0</v>
      </c>
      <c r="BE64">
        <v>14</v>
      </c>
      <c r="BF64">
        <v>25</v>
      </c>
      <c r="BG64">
        <v>3</v>
      </c>
      <c r="BH64">
        <v>8</v>
      </c>
      <c r="BI64">
        <v>3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0</v>
      </c>
      <c r="BQ64">
        <v>60</v>
      </c>
      <c r="BR64">
        <v>0</v>
      </c>
      <c r="BS64">
        <v>3</v>
      </c>
      <c r="BT64" t="s">
        <v>243</v>
      </c>
      <c r="BU64" t="s">
        <v>261</v>
      </c>
      <c r="BV64" t="b">
        <v>0</v>
      </c>
      <c r="BW64" t="s">
        <v>262</v>
      </c>
    </row>
    <row r="65" spans="1:75">
      <c r="A65" t="s">
        <v>243</v>
      </c>
      <c r="B65" t="s">
        <v>252</v>
      </c>
      <c r="C65">
        <v>977</v>
      </c>
      <c r="D65" t="s">
        <v>253</v>
      </c>
      <c r="E65" t="s">
        <v>254</v>
      </c>
      <c r="F65">
        <v>5</v>
      </c>
      <c r="G65" s="13">
        <v>46262.861377314817</v>
      </c>
      <c r="H65" s="13">
        <v>46262.919456018521</v>
      </c>
      <c r="I65">
        <v>5018</v>
      </c>
      <c r="J65" t="s">
        <v>255</v>
      </c>
      <c r="K65">
        <v>14</v>
      </c>
      <c r="L65">
        <v>0.56000000000000005</v>
      </c>
      <c r="M65">
        <v>0.04</v>
      </c>
      <c r="N65">
        <v>14</v>
      </c>
      <c r="O65">
        <v>0.56000000000000005</v>
      </c>
      <c r="P65">
        <v>693.76</v>
      </c>
      <c r="Q65">
        <v>11.72</v>
      </c>
      <c r="R65">
        <v>2.2000000000000002</v>
      </c>
      <c r="S65" t="s">
        <v>263</v>
      </c>
      <c r="T65" t="s">
        <v>257</v>
      </c>
      <c r="U65">
        <v>10</v>
      </c>
      <c r="V65">
        <v>6969.6</v>
      </c>
      <c r="W65">
        <v>4999.3599999999997</v>
      </c>
      <c r="X65">
        <v>4306.24</v>
      </c>
      <c r="Y65">
        <v>0</v>
      </c>
      <c r="Z65">
        <v>0</v>
      </c>
      <c r="AA65">
        <v>35</v>
      </c>
      <c r="AB65">
        <v>50</v>
      </c>
      <c r="AC65">
        <v>5000</v>
      </c>
      <c r="AD65">
        <v>0</v>
      </c>
      <c r="AE65">
        <v>0</v>
      </c>
      <c r="AF65">
        <v>6968.28</v>
      </c>
      <c r="AG65">
        <v>6968.28</v>
      </c>
      <c r="AH65" s="14">
        <v>46262</v>
      </c>
      <c r="AI65" t="s">
        <v>258</v>
      </c>
      <c r="AJ65" s="13">
        <v>46262.213402777779</v>
      </c>
      <c r="AK65">
        <v>6066.68</v>
      </c>
      <c r="AL65" t="s">
        <v>259</v>
      </c>
      <c r="AM65" t="s">
        <v>260</v>
      </c>
      <c r="AN65">
        <v>1400</v>
      </c>
      <c r="AO65">
        <v>0</v>
      </c>
      <c r="AP65">
        <v>35</v>
      </c>
      <c r="AQ65">
        <v>85</v>
      </c>
      <c r="AR65">
        <v>35</v>
      </c>
      <c r="AS65">
        <v>2</v>
      </c>
      <c r="AT65">
        <v>23</v>
      </c>
      <c r="AU65">
        <v>1</v>
      </c>
      <c r="AV65">
        <v>0</v>
      </c>
      <c r="AW65">
        <v>10</v>
      </c>
      <c r="AX65">
        <v>1</v>
      </c>
      <c r="AY65">
        <v>10</v>
      </c>
      <c r="AZ65">
        <v>5</v>
      </c>
      <c r="BA65">
        <v>1</v>
      </c>
      <c r="BB65">
        <v>1440</v>
      </c>
      <c r="BC65">
        <v>0</v>
      </c>
      <c r="BD65">
        <v>0</v>
      </c>
      <c r="BE65">
        <v>14</v>
      </c>
      <c r="BF65">
        <v>25</v>
      </c>
      <c r="BG65">
        <v>3</v>
      </c>
      <c r="BH65">
        <v>8</v>
      </c>
      <c r="BI65">
        <v>3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0</v>
      </c>
      <c r="BQ65">
        <v>60</v>
      </c>
      <c r="BR65">
        <v>0</v>
      </c>
      <c r="BS65">
        <v>3</v>
      </c>
      <c r="BT65" t="s">
        <v>243</v>
      </c>
      <c r="BU65" t="s">
        <v>261</v>
      </c>
      <c r="BV65" t="b">
        <v>0</v>
      </c>
      <c r="BW65" t="s">
        <v>262</v>
      </c>
    </row>
    <row r="66" spans="1:75">
      <c r="A66" t="s">
        <v>243</v>
      </c>
      <c r="B66" t="s">
        <v>252</v>
      </c>
      <c r="C66">
        <v>978</v>
      </c>
      <c r="D66" t="s">
        <v>253</v>
      </c>
      <c r="E66" t="s">
        <v>254</v>
      </c>
      <c r="F66">
        <v>5</v>
      </c>
      <c r="G66" s="13">
        <v>46262.920347222222</v>
      </c>
      <c r="H66" s="13">
        <v>46262.922013888892</v>
      </c>
      <c r="I66">
        <v>144</v>
      </c>
      <c r="J66" t="s">
        <v>255</v>
      </c>
      <c r="K66">
        <v>1</v>
      </c>
      <c r="L66">
        <v>0.04</v>
      </c>
      <c r="M66">
        <v>0.04</v>
      </c>
      <c r="N66">
        <v>1</v>
      </c>
      <c r="O66">
        <v>0.04</v>
      </c>
      <c r="P66">
        <v>9.9600000000000009</v>
      </c>
      <c r="Q66">
        <v>3.52</v>
      </c>
      <c r="R66">
        <v>2.52</v>
      </c>
      <c r="S66" t="s">
        <v>256</v>
      </c>
      <c r="T66" t="s">
        <v>257</v>
      </c>
      <c r="U66">
        <v>11</v>
      </c>
      <c r="V66">
        <v>6967.6</v>
      </c>
      <c r="W66">
        <v>4999.32</v>
      </c>
      <c r="X66">
        <v>4990.04</v>
      </c>
      <c r="Y66">
        <v>0</v>
      </c>
      <c r="Z66">
        <v>0</v>
      </c>
      <c r="AA66">
        <v>35</v>
      </c>
      <c r="AB66">
        <v>50</v>
      </c>
      <c r="AC66">
        <v>5000</v>
      </c>
      <c r="AD66">
        <v>0</v>
      </c>
      <c r="AE66">
        <v>0</v>
      </c>
      <c r="AF66">
        <v>6970.4</v>
      </c>
      <c r="AG66">
        <v>6970.4</v>
      </c>
      <c r="AH66" s="14">
        <v>46262</v>
      </c>
      <c r="AI66" t="s">
        <v>258</v>
      </c>
      <c r="AJ66" s="13">
        <v>46262.213402777779</v>
      </c>
      <c r="AK66">
        <v>6066.68</v>
      </c>
      <c r="AL66" t="s">
        <v>259</v>
      </c>
      <c r="AM66" t="s">
        <v>260</v>
      </c>
      <c r="AN66">
        <v>1400</v>
      </c>
      <c r="AO66">
        <v>0</v>
      </c>
      <c r="AP66">
        <v>35</v>
      </c>
      <c r="AQ66">
        <v>85</v>
      </c>
      <c r="AR66">
        <v>35</v>
      </c>
      <c r="AS66">
        <v>2</v>
      </c>
      <c r="AT66">
        <v>23</v>
      </c>
      <c r="AU66">
        <v>1</v>
      </c>
      <c r="AV66">
        <v>0</v>
      </c>
      <c r="AW66">
        <v>10</v>
      </c>
      <c r="AX66">
        <v>1</v>
      </c>
      <c r="AY66">
        <v>10</v>
      </c>
      <c r="AZ66">
        <v>5</v>
      </c>
      <c r="BA66">
        <v>1</v>
      </c>
      <c r="BB66">
        <v>1440</v>
      </c>
      <c r="BC66">
        <v>0</v>
      </c>
      <c r="BD66">
        <v>0</v>
      </c>
      <c r="BE66">
        <v>14</v>
      </c>
      <c r="BF66">
        <v>25</v>
      </c>
      <c r="BG66">
        <v>3</v>
      </c>
      <c r="BH66">
        <v>8</v>
      </c>
      <c r="BI66">
        <v>3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0</v>
      </c>
      <c r="BQ66">
        <v>60</v>
      </c>
      <c r="BR66">
        <v>0</v>
      </c>
      <c r="BS66">
        <v>3</v>
      </c>
      <c r="BT66" t="s">
        <v>243</v>
      </c>
      <c r="BU66" t="s">
        <v>261</v>
      </c>
      <c r="BV66" t="b">
        <v>0</v>
      </c>
      <c r="BW66" t="s">
        <v>262</v>
      </c>
    </row>
    <row r="67" spans="1:75">
      <c r="A67" t="s">
        <v>243</v>
      </c>
      <c r="B67" t="s">
        <v>252</v>
      </c>
      <c r="C67">
        <v>979</v>
      </c>
      <c r="D67" t="s">
        <v>253</v>
      </c>
      <c r="E67" t="s">
        <v>254</v>
      </c>
      <c r="F67">
        <v>5</v>
      </c>
      <c r="G67" s="13">
        <v>46262.92391203704</v>
      </c>
      <c r="H67" s="13">
        <v>46262.924907407411</v>
      </c>
      <c r="I67">
        <v>86</v>
      </c>
      <c r="J67" t="s">
        <v>264</v>
      </c>
      <c r="K67">
        <v>1</v>
      </c>
      <c r="L67">
        <v>0.04</v>
      </c>
      <c r="M67">
        <v>0.04</v>
      </c>
      <c r="N67">
        <v>1</v>
      </c>
      <c r="O67">
        <v>0.04</v>
      </c>
      <c r="P67">
        <v>7.44</v>
      </c>
      <c r="Q67">
        <v>7.44</v>
      </c>
      <c r="R67">
        <v>6.16</v>
      </c>
      <c r="S67" t="s">
        <v>256</v>
      </c>
      <c r="T67" t="s">
        <v>257</v>
      </c>
      <c r="U67">
        <v>11</v>
      </c>
      <c r="V67">
        <v>6969.72</v>
      </c>
      <c r="W67">
        <v>4999.32</v>
      </c>
      <c r="X67">
        <v>4992.5600000000004</v>
      </c>
      <c r="Y67">
        <v>0</v>
      </c>
      <c r="Z67">
        <v>0</v>
      </c>
      <c r="AA67">
        <v>35</v>
      </c>
      <c r="AB67">
        <v>50</v>
      </c>
      <c r="AC67">
        <v>5000</v>
      </c>
      <c r="AD67">
        <v>0</v>
      </c>
      <c r="AE67">
        <v>0</v>
      </c>
      <c r="AF67">
        <v>6976.44</v>
      </c>
      <c r="AG67">
        <v>6976.44</v>
      </c>
      <c r="AH67" s="14">
        <v>46262</v>
      </c>
      <c r="AI67" t="s">
        <v>258</v>
      </c>
      <c r="AJ67" s="13">
        <v>46262.213402777779</v>
      </c>
      <c r="AK67">
        <v>6066.68</v>
      </c>
      <c r="AL67" t="s">
        <v>259</v>
      </c>
      <c r="AM67" t="s">
        <v>260</v>
      </c>
      <c r="AN67">
        <v>1400</v>
      </c>
      <c r="AO67">
        <v>0</v>
      </c>
      <c r="AP67">
        <v>35</v>
      </c>
      <c r="AQ67">
        <v>85</v>
      </c>
      <c r="AR67">
        <v>35</v>
      </c>
      <c r="AS67">
        <v>2</v>
      </c>
      <c r="AT67">
        <v>23</v>
      </c>
      <c r="AU67">
        <v>1</v>
      </c>
      <c r="AV67">
        <v>0</v>
      </c>
      <c r="AW67">
        <v>10</v>
      </c>
      <c r="AX67">
        <v>1</v>
      </c>
      <c r="AY67">
        <v>10</v>
      </c>
      <c r="AZ67">
        <v>5</v>
      </c>
      <c r="BA67">
        <v>1</v>
      </c>
      <c r="BB67">
        <v>1440</v>
      </c>
      <c r="BC67">
        <v>0</v>
      </c>
      <c r="BD67">
        <v>0</v>
      </c>
      <c r="BE67">
        <v>14</v>
      </c>
      <c r="BF67">
        <v>25</v>
      </c>
      <c r="BG67">
        <v>3</v>
      </c>
      <c r="BH67">
        <v>8</v>
      </c>
      <c r="BI67">
        <v>3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0</v>
      </c>
      <c r="BQ67">
        <v>60</v>
      </c>
      <c r="BR67">
        <v>0</v>
      </c>
      <c r="BS67">
        <v>3</v>
      </c>
      <c r="BT67" t="s">
        <v>243</v>
      </c>
      <c r="BU67" t="s">
        <v>261</v>
      </c>
      <c r="BV67" t="b">
        <v>0</v>
      </c>
      <c r="BW67" t="s">
        <v>262</v>
      </c>
    </row>
    <row r="68" spans="1:75">
      <c r="A68" t="s">
        <v>243</v>
      </c>
      <c r="B68" t="s">
        <v>252</v>
      </c>
      <c r="C68">
        <v>980</v>
      </c>
      <c r="D68" t="s">
        <v>253</v>
      </c>
      <c r="E68" t="s">
        <v>254</v>
      </c>
      <c r="F68">
        <v>5</v>
      </c>
      <c r="G68" s="13">
        <v>46262.930023148147</v>
      </c>
      <c r="H68" s="13">
        <v>46262.930486111109</v>
      </c>
      <c r="I68">
        <v>40</v>
      </c>
      <c r="J68" t="s">
        <v>255</v>
      </c>
      <c r="K68">
        <v>1</v>
      </c>
      <c r="L68">
        <v>0.04</v>
      </c>
      <c r="M68">
        <v>0.04</v>
      </c>
      <c r="N68">
        <v>1</v>
      </c>
      <c r="O68">
        <v>0.04</v>
      </c>
      <c r="P68">
        <v>1.84</v>
      </c>
      <c r="Q68">
        <v>8.32</v>
      </c>
      <c r="R68">
        <v>7.28</v>
      </c>
      <c r="S68" t="s">
        <v>256</v>
      </c>
      <c r="T68" t="s">
        <v>257</v>
      </c>
      <c r="U68">
        <v>11</v>
      </c>
      <c r="V68">
        <v>6975.8</v>
      </c>
      <c r="W68">
        <v>4999.3599999999997</v>
      </c>
      <c r="X68">
        <v>4998.16</v>
      </c>
      <c r="Y68">
        <v>0</v>
      </c>
      <c r="Z68">
        <v>0</v>
      </c>
      <c r="AA68">
        <v>35</v>
      </c>
      <c r="AB68">
        <v>50</v>
      </c>
      <c r="AC68">
        <v>5000</v>
      </c>
      <c r="AD68">
        <v>0</v>
      </c>
      <c r="AE68">
        <v>0</v>
      </c>
      <c r="AF68">
        <v>6983.36</v>
      </c>
      <c r="AG68">
        <v>6983.36</v>
      </c>
      <c r="AH68" s="14">
        <v>46262</v>
      </c>
      <c r="AI68" t="s">
        <v>258</v>
      </c>
      <c r="AJ68" s="13">
        <v>46262.213402777779</v>
      </c>
      <c r="AK68">
        <v>6066.68</v>
      </c>
      <c r="AL68" t="s">
        <v>259</v>
      </c>
      <c r="AM68" t="s">
        <v>260</v>
      </c>
      <c r="AN68">
        <v>1400</v>
      </c>
      <c r="AO68">
        <v>0</v>
      </c>
      <c r="AP68">
        <v>35</v>
      </c>
      <c r="AQ68">
        <v>85</v>
      </c>
      <c r="AR68">
        <v>35</v>
      </c>
      <c r="AS68">
        <v>2</v>
      </c>
      <c r="AT68">
        <v>23</v>
      </c>
      <c r="AU68">
        <v>1</v>
      </c>
      <c r="AV68">
        <v>0</v>
      </c>
      <c r="AW68">
        <v>10</v>
      </c>
      <c r="AX68">
        <v>1</v>
      </c>
      <c r="AY68">
        <v>10</v>
      </c>
      <c r="AZ68">
        <v>5</v>
      </c>
      <c r="BA68">
        <v>1</v>
      </c>
      <c r="BB68">
        <v>1440</v>
      </c>
      <c r="BC68">
        <v>0</v>
      </c>
      <c r="BD68">
        <v>0</v>
      </c>
      <c r="BE68">
        <v>14</v>
      </c>
      <c r="BF68">
        <v>25</v>
      </c>
      <c r="BG68">
        <v>3</v>
      </c>
      <c r="BH68">
        <v>8</v>
      </c>
      <c r="BI68">
        <v>3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0</v>
      </c>
      <c r="BQ68">
        <v>60</v>
      </c>
      <c r="BR68">
        <v>0</v>
      </c>
      <c r="BS68">
        <v>3</v>
      </c>
      <c r="BT68" t="s">
        <v>243</v>
      </c>
      <c r="BU68" t="s">
        <v>261</v>
      </c>
      <c r="BV68" t="b">
        <v>0</v>
      </c>
      <c r="BW68" t="s">
        <v>262</v>
      </c>
    </row>
    <row r="69" spans="1:75">
      <c r="A69" t="s">
        <v>243</v>
      </c>
      <c r="B69" t="s">
        <v>252</v>
      </c>
      <c r="C69">
        <v>981</v>
      </c>
      <c r="D69" t="s">
        <v>253</v>
      </c>
      <c r="E69" t="s">
        <v>254</v>
      </c>
      <c r="F69">
        <v>5</v>
      </c>
      <c r="G69" s="13">
        <v>46262.933136574073</v>
      </c>
      <c r="H69" s="13">
        <v>46262.949664351851</v>
      </c>
      <c r="I69">
        <v>1428</v>
      </c>
      <c r="J69" t="s">
        <v>264</v>
      </c>
      <c r="K69">
        <v>2</v>
      </c>
      <c r="L69">
        <v>0.08</v>
      </c>
      <c r="M69">
        <v>0.04</v>
      </c>
      <c r="N69">
        <v>2</v>
      </c>
      <c r="O69">
        <v>0.08</v>
      </c>
      <c r="P69">
        <v>34.68</v>
      </c>
      <c r="Q69">
        <v>16.2</v>
      </c>
      <c r="R69">
        <v>5.8</v>
      </c>
      <c r="S69" t="s">
        <v>263</v>
      </c>
      <c r="T69" t="s">
        <v>257</v>
      </c>
      <c r="U69">
        <v>10</v>
      </c>
      <c r="V69">
        <v>6982.68</v>
      </c>
      <c r="W69">
        <v>4999.32</v>
      </c>
      <c r="X69">
        <v>4965.32</v>
      </c>
      <c r="Y69">
        <v>0</v>
      </c>
      <c r="Z69">
        <v>0</v>
      </c>
      <c r="AA69">
        <v>35</v>
      </c>
      <c r="AB69">
        <v>50</v>
      </c>
      <c r="AC69">
        <v>5000</v>
      </c>
      <c r="AD69">
        <v>0</v>
      </c>
      <c r="AE69">
        <v>0</v>
      </c>
      <c r="AF69">
        <v>6990</v>
      </c>
      <c r="AG69">
        <v>6990</v>
      </c>
      <c r="AH69" s="14">
        <v>46262</v>
      </c>
      <c r="AI69" t="s">
        <v>258</v>
      </c>
      <c r="AJ69" s="13">
        <v>46262.213402777779</v>
      </c>
      <c r="AK69">
        <v>6066.68</v>
      </c>
      <c r="AL69" t="s">
        <v>259</v>
      </c>
      <c r="AM69" t="s">
        <v>260</v>
      </c>
      <c r="AN69">
        <v>1400</v>
      </c>
      <c r="AO69">
        <v>0</v>
      </c>
      <c r="AP69">
        <v>35</v>
      </c>
      <c r="AQ69">
        <v>85</v>
      </c>
      <c r="AR69">
        <v>35</v>
      </c>
      <c r="AS69">
        <v>2</v>
      </c>
      <c r="AT69">
        <v>23</v>
      </c>
      <c r="AU69">
        <v>1</v>
      </c>
      <c r="AV69">
        <v>0</v>
      </c>
      <c r="AW69">
        <v>10</v>
      </c>
      <c r="AX69">
        <v>1</v>
      </c>
      <c r="AY69">
        <v>10</v>
      </c>
      <c r="AZ69">
        <v>5</v>
      </c>
      <c r="BA69">
        <v>1</v>
      </c>
      <c r="BB69">
        <v>1440</v>
      </c>
      <c r="BC69">
        <v>0</v>
      </c>
      <c r="BD69">
        <v>0</v>
      </c>
      <c r="BE69">
        <v>14</v>
      </c>
      <c r="BF69">
        <v>25</v>
      </c>
      <c r="BG69">
        <v>3</v>
      </c>
      <c r="BH69">
        <v>8</v>
      </c>
      <c r="BI69">
        <v>3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0</v>
      </c>
      <c r="BQ69">
        <v>60</v>
      </c>
      <c r="BR69">
        <v>0</v>
      </c>
      <c r="BS69">
        <v>3</v>
      </c>
      <c r="BT69" t="s">
        <v>243</v>
      </c>
      <c r="BU69" t="s">
        <v>261</v>
      </c>
      <c r="BV69" t="b">
        <v>0</v>
      </c>
      <c r="BW69" t="s">
        <v>262</v>
      </c>
    </row>
    <row r="70" spans="1:75">
      <c r="A70" t="s">
        <v>243</v>
      </c>
      <c r="B70" t="s">
        <v>252</v>
      </c>
      <c r="C70">
        <v>982</v>
      </c>
      <c r="D70" t="s">
        <v>253</v>
      </c>
      <c r="E70" t="s">
        <v>254</v>
      </c>
      <c r="F70">
        <v>5</v>
      </c>
      <c r="G70" s="13">
        <v>46262.952372685184</v>
      </c>
      <c r="H70" s="13">
        <v>46262.952662037038</v>
      </c>
      <c r="I70">
        <v>25</v>
      </c>
      <c r="J70" t="s">
        <v>264</v>
      </c>
      <c r="K70">
        <v>1</v>
      </c>
      <c r="L70">
        <v>0.04</v>
      </c>
      <c r="M70">
        <v>0.04</v>
      </c>
      <c r="N70">
        <v>1</v>
      </c>
      <c r="O70">
        <v>0.04</v>
      </c>
      <c r="P70">
        <v>0.68</v>
      </c>
      <c r="Q70">
        <v>7.64</v>
      </c>
      <c r="R70">
        <v>6</v>
      </c>
      <c r="S70" t="s">
        <v>256</v>
      </c>
      <c r="T70" t="s">
        <v>257</v>
      </c>
      <c r="U70">
        <v>10</v>
      </c>
      <c r="V70">
        <v>6989.32</v>
      </c>
      <c r="W70">
        <v>4999.32</v>
      </c>
      <c r="X70">
        <v>4999.32</v>
      </c>
      <c r="Y70">
        <v>0</v>
      </c>
      <c r="Z70">
        <v>0</v>
      </c>
      <c r="AA70">
        <v>35</v>
      </c>
      <c r="AB70">
        <v>50</v>
      </c>
      <c r="AC70">
        <v>5000</v>
      </c>
      <c r="AD70">
        <v>0</v>
      </c>
      <c r="AE70">
        <v>0</v>
      </c>
      <c r="AF70">
        <v>6996.24</v>
      </c>
      <c r="AG70">
        <v>6996.24</v>
      </c>
      <c r="AH70" s="14">
        <v>46262</v>
      </c>
      <c r="AI70" t="s">
        <v>258</v>
      </c>
      <c r="AJ70" s="13">
        <v>46262.213402777779</v>
      </c>
      <c r="AK70">
        <v>6066.68</v>
      </c>
      <c r="AL70" t="s">
        <v>259</v>
      </c>
      <c r="AM70" t="s">
        <v>260</v>
      </c>
      <c r="AN70">
        <v>1400</v>
      </c>
      <c r="AO70">
        <v>0</v>
      </c>
      <c r="AP70">
        <v>35</v>
      </c>
      <c r="AQ70">
        <v>85</v>
      </c>
      <c r="AR70">
        <v>35</v>
      </c>
      <c r="AS70">
        <v>2</v>
      </c>
      <c r="AT70">
        <v>23</v>
      </c>
      <c r="AU70">
        <v>1</v>
      </c>
      <c r="AV70">
        <v>0</v>
      </c>
      <c r="AW70">
        <v>10</v>
      </c>
      <c r="AX70">
        <v>1</v>
      </c>
      <c r="AY70">
        <v>10</v>
      </c>
      <c r="AZ70">
        <v>5</v>
      </c>
      <c r="BA70">
        <v>1</v>
      </c>
      <c r="BB70">
        <v>1440</v>
      </c>
      <c r="BC70">
        <v>0</v>
      </c>
      <c r="BD70">
        <v>0</v>
      </c>
      <c r="BE70">
        <v>14</v>
      </c>
      <c r="BF70">
        <v>25</v>
      </c>
      <c r="BG70">
        <v>3</v>
      </c>
      <c r="BH70">
        <v>8</v>
      </c>
      <c r="BI70">
        <v>3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0</v>
      </c>
      <c r="BQ70">
        <v>60</v>
      </c>
      <c r="BR70">
        <v>0</v>
      </c>
      <c r="BS70">
        <v>3</v>
      </c>
      <c r="BT70" t="s">
        <v>243</v>
      </c>
      <c r="BU70" t="s">
        <v>261</v>
      </c>
      <c r="BV70" t="b">
        <v>0</v>
      </c>
      <c r="BW70" t="s">
        <v>262</v>
      </c>
    </row>
    <row r="71" spans="1:75">
      <c r="A71" t="s">
        <v>243</v>
      </c>
      <c r="B71" t="s">
        <v>252</v>
      </c>
      <c r="C71">
        <v>983</v>
      </c>
      <c r="D71" t="s">
        <v>253</v>
      </c>
      <c r="E71" t="s">
        <v>254</v>
      </c>
      <c r="F71">
        <v>5</v>
      </c>
      <c r="G71" s="13">
        <v>46262.955891203703</v>
      </c>
      <c r="H71" s="13">
        <v>46262.956307870372</v>
      </c>
      <c r="I71">
        <v>36</v>
      </c>
      <c r="J71" t="s">
        <v>255</v>
      </c>
      <c r="K71">
        <v>1</v>
      </c>
      <c r="L71">
        <v>0.04</v>
      </c>
      <c r="M71">
        <v>0.04</v>
      </c>
      <c r="N71">
        <v>1</v>
      </c>
      <c r="O71">
        <v>0.04</v>
      </c>
      <c r="P71">
        <v>1.52</v>
      </c>
      <c r="Q71">
        <v>4.24</v>
      </c>
      <c r="R71">
        <v>3.12</v>
      </c>
      <c r="S71" t="s">
        <v>256</v>
      </c>
      <c r="T71" t="s">
        <v>257</v>
      </c>
      <c r="U71">
        <v>10</v>
      </c>
      <c r="V71">
        <v>6995.56</v>
      </c>
      <c r="W71">
        <v>4999.32</v>
      </c>
      <c r="X71">
        <v>4998.4799999999996</v>
      </c>
      <c r="Y71">
        <v>0</v>
      </c>
      <c r="Z71">
        <v>0</v>
      </c>
      <c r="AA71">
        <v>35</v>
      </c>
      <c r="AB71">
        <v>50</v>
      </c>
      <c r="AC71">
        <v>5000</v>
      </c>
      <c r="AD71">
        <v>0</v>
      </c>
      <c r="AE71">
        <v>0</v>
      </c>
      <c r="AF71">
        <v>6999.08</v>
      </c>
      <c r="AG71">
        <v>6999.08</v>
      </c>
      <c r="AH71" s="14">
        <v>46262</v>
      </c>
      <c r="AI71" t="s">
        <v>258</v>
      </c>
      <c r="AJ71" s="13">
        <v>46262.213402777779</v>
      </c>
      <c r="AK71">
        <v>6066.68</v>
      </c>
      <c r="AL71" t="s">
        <v>259</v>
      </c>
      <c r="AM71" t="s">
        <v>260</v>
      </c>
      <c r="AN71">
        <v>1400</v>
      </c>
      <c r="AO71">
        <v>0</v>
      </c>
      <c r="AP71">
        <v>35</v>
      </c>
      <c r="AQ71">
        <v>85</v>
      </c>
      <c r="AR71">
        <v>35</v>
      </c>
      <c r="AS71">
        <v>2</v>
      </c>
      <c r="AT71">
        <v>23</v>
      </c>
      <c r="AU71">
        <v>1</v>
      </c>
      <c r="AV71">
        <v>0</v>
      </c>
      <c r="AW71">
        <v>10</v>
      </c>
      <c r="AX71">
        <v>1</v>
      </c>
      <c r="AY71">
        <v>10</v>
      </c>
      <c r="AZ71">
        <v>5</v>
      </c>
      <c r="BA71">
        <v>1</v>
      </c>
      <c r="BB71">
        <v>1440</v>
      </c>
      <c r="BC71">
        <v>0</v>
      </c>
      <c r="BD71">
        <v>0</v>
      </c>
      <c r="BE71">
        <v>14</v>
      </c>
      <c r="BF71">
        <v>25</v>
      </c>
      <c r="BG71">
        <v>3</v>
      </c>
      <c r="BH71">
        <v>8</v>
      </c>
      <c r="BI71">
        <v>3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0</v>
      </c>
      <c r="BQ71">
        <v>60</v>
      </c>
      <c r="BR71">
        <v>0</v>
      </c>
      <c r="BS71">
        <v>3</v>
      </c>
      <c r="BT71" t="s">
        <v>243</v>
      </c>
      <c r="BU71" t="s">
        <v>261</v>
      </c>
      <c r="BV71" t="b">
        <v>0</v>
      </c>
      <c r="BW71" t="s">
        <v>262</v>
      </c>
    </row>
    <row r="72" spans="1:75">
      <c r="A72" t="s">
        <v>243</v>
      </c>
      <c r="B72" t="s">
        <v>252</v>
      </c>
      <c r="C72">
        <v>984</v>
      </c>
      <c r="D72" t="s">
        <v>253</v>
      </c>
      <c r="E72" t="s">
        <v>254</v>
      </c>
      <c r="F72">
        <v>5</v>
      </c>
      <c r="G72" s="13">
        <v>46262.959849537037</v>
      </c>
      <c r="H72" s="13">
        <v>46262.960173611114</v>
      </c>
      <c r="I72">
        <v>28</v>
      </c>
      <c r="J72" t="s">
        <v>255</v>
      </c>
      <c r="K72">
        <v>1</v>
      </c>
      <c r="L72">
        <v>0.04</v>
      </c>
      <c r="M72">
        <v>0.04</v>
      </c>
      <c r="N72">
        <v>1</v>
      </c>
      <c r="O72">
        <v>0.04</v>
      </c>
      <c r="P72">
        <v>3.04</v>
      </c>
      <c r="Q72">
        <v>8.08</v>
      </c>
      <c r="R72">
        <v>7.56</v>
      </c>
      <c r="S72" t="s">
        <v>256</v>
      </c>
      <c r="T72" t="s">
        <v>257</v>
      </c>
      <c r="U72">
        <v>11</v>
      </c>
      <c r="V72">
        <v>6998.4</v>
      </c>
      <c r="W72">
        <v>4999.32</v>
      </c>
      <c r="X72">
        <v>4996.96</v>
      </c>
      <c r="Y72">
        <v>0</v>
      </c>
      <c r="Z72">
        <v>0</v>
      </c>
      <c r="AA72">
        <v>35</v>
      </c>
      <c r="AB72">
        <v>50</v>
      </c>
      <c r="AC72">
        <v>5000</v>
      </c>
      <c r="AD72">
        <v>0</v>
      </c>
      <c r="AE72">
        <v>0</v>
      </c>
      <c r="AF72">
        <v>7005.76</v>
      </c>
      <c r="AG72">
        <v>7005.76</v>
      </c>
      <c r="AH72" s="14">
        <v>46262</v>
      </c>
      <c r="AI72" t="s">
        <v>258</v>
      </c>
      <c r="AJ72" s="13">
        <v>46262.213402777779</v>
      </c>
      <c r="AK72">
        <v>6066.68</v>
      </c>
      <c r="AL72" t="s">
        <v>259</v>
      </c>
      <c r="AM72" t="s">
        <v>260</v>
      </c>
      <c r="AN72">
        <v>1400</v>
      </c>
      <c r="AO72">
        <v>0</v>
      </c>
      <c r="AP72">
        <v>35</v>
      </c>
      <c r="AQ72">
        <v>85</v>
      </c>
      <c r="AR72">
        <v>35</v>
      </c>
      <c r="AS72">
        <v>2</v>
      </c>
      <c r="AT72">
        <v>23</v>
      </c>
      <c r="AU72">
        <v>1</v>
      </c>
      <c r="AV72">
        <v>0</v>
      </c>
      <c r="AW72">
        <v>10</v>
      </c>
      <c r="AX72">
        <v>1</v>
      </c>
      <c r="AY72">
        <v>10</v>
      </c>
      <c r="AZ72">
        <v>5</v>
      </c>
      <c r="BA72">
        <v>1</v>
      </c>
      <c r="BB72">
        <v>1440</v>
      </c>
      <c r="BC72">
        <v>0</v>
      </c>
      <c r="BD72">
        <v>0</v>
      </c>
      <c r="BE72">
        <v>14</v>
      </c>
      <c r="BF72">
        <v>25</v>
      </c>
      <c r="BG72">
        <v>3</v>
      </c>
      <c r="BH72">
        <v>8</v>
      </c>
      <c r="BI72">
        <v>3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0</v>
      </c>
      <c r="BQ72">
        <v>60</v>
      </c>
      <c r="BR72">
        <v>0</v>
      </c>
      <c r="BS72">
        <v>3</v>
      </c>
      <c r="BT72" t="s">
        <v>243</v>
      </c>
      <c r="BU72" t="s">
        <v>261</v>
      </c>
      <c r="BV72" t="b">
        <v>0</v>
      </c>
      <c r="BW72" t="s">
        <v>262</v>
      </c>
    </row>
    <row r="73" spans="1:75">
      <c r="A73" t="s">
        <v>243</v>
      </c>
      <c r="B73" t="s">
        <v>252</v>
      </c>
      <c r="C73">
        <v>985</v>
      </c>
      <c r="D73" t="s">
        <v>253</v>
      </c>
      <c r="E73" t="s">
        <v>254</v>
      </c>
      <c r="F73">
        <v>5</v>
      </c>
      <c r="G73" s="13">
        <v>46262.966782407406</v>
      </c>
      <c r="H73" s="13">
        <v>46262.97246527778</v>
      </c>
      <c r="I73">
        <v>491</v>
      </c>
      <c r="J73" t="s">
        <v>264</v>
      </c>
      <c r="K73">
        <v>1</v>
      </c>
      <c r="L73">
        <v>0.04</v>
      </c>
      <c r="M73">
        <v>0.04</v>
      </c>
      <c r="N73">
        <v>1</v>
      </c>
      <c r="O73">
        <v>0.04</v>
      </c>
      <c r="P73">
        <v>11.08</v>
      </c>
      <c r="Q73">
        <v>6.52</v>
      </c>
      <c r="R73">
        <v>5.36</v>
      </c>
      <c r="S73" t="s">
        <v>256</v>
      </c>
      <c r="T73" t="s">
        <v>257</v>
      </c>
      <c r="U73">
        <v>10</v>
      </c>
      <c r="V73">
        <v>7005.12</v>
      </c>
      <c r="W73">
        <v>4999.3599999999997</v>
      </c>
      <c r="X73">
        <v>4988.92</v>
      </c>
      <c r="Y73">
        <v>0</v>
      </c>
      <c r="Z73">
        <v>0</v>
      </c>
      <c r="AA73">
        <v>35</v>
      </c>
      <c r="AB73">
        <v>50</v>
      </c>
      <c r="AC73">
        <v>5000</v>
      </c>
      <c r="AD73">
        <v>0</v>
      </c>
      <c r="AE73">
        <v>0</v>
      </c>
      <c r="AF73">
        <v>7010.84</v>
      </c>
      <c r="AG73">
        <v>7010.84</v>
      </c>
      <c r="AH73" s="14">
        <v>46262</v>
      </c>
      <c r="AI73" t="s">
        <v>258</v>
      </c>
      <c r="AJ73" s="13">
        <v>46262.213402777779</v>
      </c>
      <c r="AK73">
        <v>6066.68</v>
      </c>
      <c r="AL73" t="s">
        <v>259</v>
      </c>
      <c r="AM73" t="s">
        <v>260</v>
      </c>
      <c r="AN73">
        <v>1400</v>
      </c>
      <c r="AO73">
        <v>0</v>
      </c>
      <c r="AP73">
        <v>35</v>
      </c>
      <c r="AQ73">
        <v>85</v>
      </c>
      <c r="AR73">
        <v>35</v>
      </c>
      <c r="AS73">
        <v>2</v>
      </c>
      <c r="AT73">
        <v>23</v>
      </c>
      <c r="AU73">
        <v>1</v>
      </c>
      <c r="AV73">
        <v>0</v>
      </c>
      <c r="AW73">
        <v>10</v>
      </c>
      <c r="AX73">
        <v>1</v>
      </c>
      <c r="AY73">
        <v>10</v>
      </c>
      <c r="AZ73">
        <v>5</v>
      </c>
      <c r="BA73">
        <v>1</v>
      </c>
      <c r="BB73">
        <v>1440</v>
      </c>
      <c r="BC73">
        <v>0</v>
      </c>
      <c r="BD73">
        <v>0</v>
      </c>
      <c r="BE73">
        <v>14</v>
      </c>
      <c r="BF73">
        <v>25</v>
      </c>
      <c r="BG73">
        <v>3</v>
      </c>
      <c r="BH73">
        <v>8</v>
      </c>
      <c r="BI73">
        <v>3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0</v>
      </c>
      <c r="BQ73">
        <v>60</v>
      </c>
      <c r="BR73">
        <v>0</v>
      </c>
      <c r="BS73">
        <v>3</v>
      </c>
      <c r="BT73" t="s">
        <v>243</v>
      </c>
      <c r="BU73" t="s">
        <v>261</v>
      </c>
      <c r="BV73" t="b">
        <v>0</v>
      </c>
      <c r="BW73" t="s">
        <v>262</v>
      </c>
    </row>
    <row r="74" spans="1:75">
      <c r="A74" t="s">
        <v>243</v>
      </c>
      <c r="B74" t="s">
        <v>252</v>
      </c>
      <c r="C74">
        <v>986</v>
      </c>
      <c r="D74" t="s">
        <v>253</v>
      </c>
      <c r="E74" t="s">
        <v>254</v>
      </c>
      <c r="F74">
        <v>5</v>
      </c>
      <c r="G74" s="13">
        <v>46262.97383101852</v>
      </c>
      <c r="H74" s="13">
        <v>46262.974606481483</v>
      </c>
      <c r="I74">
        <v>67</v>
      </c>
      <c r="J74" t="s">
        <v>264</v>
      </c>
      <c r="K74">
        <v>1</v>
      </c>
      <c r="L74">
        <v>0.04</v>
      </c>
      <c r="M74">
        <v>0.04</v>
      </c>
      <c r="N74">
        <v>1</v>
      </c>
      <c r="O74">
        <v>0.04</v>
      </c>
      <c r="P74">
        <v>3.8</v>
      </c>
      <c r="Q74">
        <v>3.92</v>
      </c>
      <c r="R74">
        <v>2.64</v>
      </c>
      <c r="S74" t="s">
        <v>256</v>
      </c>
      <c r="T74" t="s">
        <v>257</v>
      </c>
      <c r="U74">
        <v>10</v>
      </c>
      <c r="V74">
        <v>7010.2</v>
      </c>
      <c r="W74">
        <v>4999.3599999999997</v>
      </c>
      <c r="X74">
        <v>4996.2</v>
      </c>
      <c r="Y74">
        <v>0</v>
      </c>
      <c r="Z74">
        <v>0</v>
      </c>
      <c r="AA74">
        <v>35</v>
      </c>
      <c r="AB74">
        <v>50</v>
      </c>
      <c r="AC74">
        <v>5000</v>
      </c>
      <c r="AD74">
        <v>0</v>
      </c>
      <c r="AE74">
        <v>0</v>
      </c>
      <c r="AF74">
        <v>7013.32</v>
      </c>
      <c r="AG74">
        <v>7013.32</v>
      </c>
      <c r="AH74" s="14">
        <v>46262</v>
      </c>
      <c r="AI74" t="s">
        <v>258</v>
      </c>
      <c r="AJ74" s="13">
        <v>46262.213402777779</v>
      </c>
      <c r="AK74">
        <v>6066.68</v>
      </c>
      <c r="AL74" t="s">
        <v>259</v>
      </c>
      <c r="AM74" t="s">
        <v>260</v>
      </c>
      <c r="AN74">
        <v>1400</v>
      </c>
      <c r="AO74">
        <v>0</v>
      </c>
      <c r="AP74">
        <v>35</v>
      </c>
      <c r="AQ74">
        <v>85</v>
      </c>
      <c r="AR74">
        <v>35</v>
      </c>
      <c r="AS74">
        <v>2</v>
      </c>
      <c r="AT74">
        <v>23</v>
      </c>
      <c r="AU74">
        <v>1</v>
      </c>
      <c r="AV74">
        <v>0</v>
      </c>
      <c r="AW74">
        <v>10</v>
      </c>
      <c r="AX74">
        <v>1</v>
      </c>
      <c r="AY74">
        <v>10</v>
      </c>
      <c r="AZ74">
        <v>5</v>
      </c>
      <c r="BA74">
        <v>1</v>
      </c>
      <c r="BB74">
        <v>1440</v>
      </c>
      <c r="BC74">
        <v>0</v>
      </c>
      <c r="BD74">
        <v>0</v>
      </c>
      <c r="BE74">
        <v>14</v>
      </c>
      <c r="BF74">
        <v>25</v>
      </c>
      <c r="BG74">
        <v>3</v>
      </c>
      <c r="BH74">
        <v>8</v>
      </c>
      <c r="BI74">
        <v>3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0</v>
      </c>
      <c r="BQ74">
        <v>60</v>
      </c>
      <c r="BR74">
        <v>0</v>
      </c>
      <c r="BS74">
        <v>3</v>
      </c>
      <c r="BT74" t="s">
        <v>243</v>
      </c>
      <c r="BU74" t="s">
        <v>261</v>
      </c>
      <c r="BV74" t="b">
        <v>0</v>
      </c>
      <c r="BW74" t="s">
        <v>262</v>
      </c>
    </row>
    <row r="75" spans="1:75">
      <c r="A75" t="s">
        <v>243</v>
      </c>
      <c r="B75" t="s">
        <v>252</v>
      </c>
      <c r="C75">
        <v>987</v>
      </c>
      <c r="D75" t="s">
        <v>253</v>
      </c>
      <c r="E75" t="s">
        <v>254</v>
      </c>
      <c r="F75">
        <v>5</v>
      </c>
      <c r="G75" s="13">
        <v>46262.978715277779</v>
      </c>
      <c r="H75" s="13">
        <v>46262.979062500002</v>
      </c>
      <c r="I75">
        <v>30</v>
      </c>
      <c r="J75" t="s">
        <v>255</v>
      </c>
      <c r="K75">
        <v>1</v>
      </c>
      <c r="L75">
        <v>0.04</v>
      </c>
      <c r="M75">
        <v>0.04</v>
      </c>
      <c r="N75">
        <v>1</v>
      </c>
      <c r="O75">
        <v>0.04</v>
      </c>
      <c r="P75">
        <v>0.68</v>
      </c>
      <c r="Q75">
        <v>3.84</v>
      </c>
      <c r="R75">
        <v>2.52</v>
      </c>
      <c r="S75" t="s">
        <v>256</v>
      </c>
      <c r="T75" t="s">
        <v>257</v>
      </c>
      <c r="U75">
        <v>10</v>
      </c>
      <c r="V75">
        <v>7012.72</v>
      </c>
      <c r="W75">
        <v>4999.3999999999996</v>
      </c>
      <c r="X75">
        <v>4999.32</v>
      </c>
      <c r="Y75">
        <v>0</v>
      </c>
      <c r="Z75">
        <v>0</v>
      </c>
      <c r="AA75">
        <v>35</v>
      </c>
      <c r="AB75">
        <v>50</v>
      </c>
      <c r="AC75">
        <v>5000</v>
      </c>
      <c r="AD75">
        <v>0</v>
      </c>
      <c r="AE75">
        <v>0</v>
      </c>
      <c r="AF75">
        <v>7015.76</v>
      </c>
      <c r="AG75">
        <v>7015.76</v>
      </c>
      <c r="AH75" s="14">
        <v>46262</v>
      </c>
      <c r="AI75" t="s">
        <v>258</v>
      </c>
      <c r="AJ75" s="13">
        <v>46262.213402777779</v>
      </c>
      <c r="AK75">
        <v>6066.68</v>
      </c>
      <c r="AL75" t="s">
        <v>259</v>
      </c>
      <c r="AM75" t="s">
        <v>260</v>
      </c>
      <c r="AN75">
        <v>1400</v>
      </c>
      <c r="AO75">
        <v>0</v>
      </c>
      <c r="AP75">
        <v>35</v>
      </c>
      <c r="AQ75">
        <v>85</v>
      </c>
      <c r="AR75">
        <v>35</v>
      </c>
      <c r="AS75">
        <v>2</v>
      </c>
      <c r="AT75">
        <v>23</v>
      </c>
      <c r="AU75">
        <v>1</v>
      </c>
      <c r="AV75">
        <v>0</v>
      </c>
      <c r="AW75">
        <v>10</v>
      </c>
      <c r="AX75">
        <v>1</v>
      </c>
      <c r="AY75">
        <v>10</v>
      </c>
      <c r="AZ75">
        <v>5</v>
      </c>
      <c r="BA75">
        <v>1</v>
      </c>
      <c r="BB75">
        <v>1440</v>
      </c>
      <c r="BC75">
        <v>0</v>
      </c>
      <c r="BD75">
        <v>0</v>
      </c>
      <c r="BE75">
        <v>14</v>
      </c>
      <c r="BF75">
        <v>25</v>
      </c>
      <c r="BG75">
        <v>3</v>
      </c>
      <c r="BH75">
        <v>8</v>
      </c>
      <c r="BI75">
        <v>3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60</v>
      </c>
      <c r="BR75">
        <v>0</v>
      </c>
      <c r="BS75">
        <v>3</v>
      </c>
      <c r="BT75" t="s">
        <v>243</v>
      </c>
      <c r="BU75" t="s">
        <v>261</v>
      </c>
      <c r="BV75" t="b">
        <v>0</v>
      </c>
      <c r="BW75" t="s">
        <v>262</v>
      </c>
    </row>
    <row r="76" spans="1:75">
      <c r="A76" t="s">
        <v>243</v>
      </c>
      <c r="B76" t="s">
        <v>252</v>
      </c>
      <c r="C76">
        <v>988</v>
      </c>
      <c r="D76" t="s">
        <v>253</v>
      </c>
      <c r="E76" t="s">
        <v>254</v>
      </c>
      <c r="F76">
        <v>5</v>
      </c>
      <c r="G76" s="13">
        <v>46262.989479166667</v>
      </c>
      <c r="H76" s="13">
        <v>46262.991990740738</v>
      </c>
      <c r="I76">
        <v>217</v>
      </c>
      <c r="J76" t="s">
        <v>255</v>
      </c>
      <c r="K76">
        <v>1</v>
      </c>
      <c r="L76">
        <v>0.04</v>
      </c>
      <c r="M76">
        <v>0.04</v>
      </c>
      <c r="N76">
        <v>1</v>
      </c>
      <c r="O76">
        <v>0.04</v>
      </c>
      <c r="P76">
        <v>5.64</v>
      </c>
      <c r="Q76">
        <v>5.92</v>
      </c>
      <c r="R76">
        <v>4.6399999999999997</v>
      </c>
      <c r="S76" t="s">
        <v>256</v>
      </c>
      <c r="T76" t="s">
        <v>257</v>
      </c>
      <c r="U76">
        <v>15</v>
      </c>
      <c r="V76">
        <v>7014.88</v>
      </c>
      <c r="W76">
        <v>4999.12</v>
      </c>
      <c r="X76">
        <v>4994.3599999999997</v>
      </c>
      <c r="Y76">
        <v>0</v>
      </c>
      <c r="Z76">
        <v>0</v>
      </c>
      <c r="AA76">
        <v>35</v>
      </c>
      <c r="AB76">
        <v>50</v>
      </c>
      <c r="AC76">
        <v>5000</v>
      </c>
      <c r="AD76">
        <v>0</v>
      </c>
      <c r="AE76">
        <v>0</v>
      </c>
      <c r="AF76">
        <v>7020.28</v>
      </c>
      <c r="AG76">
        <v>7020.28</v>
      </c>
      <c r="AH76" s="14">
        <v>46262</v>
      </c>
      <c r="AI76" t="s">
        <v>258</v>
      </c>
      <c r="AJ76" s="13">
        <v>46262.213402777779</v>
      </c>
      <c r="AK76">
        <v>6066.68</v>
      </c>
      <c r="AL76" t="s">
        <v>259</v>
      </c>
      <c r="AM76" t="s">
        <v>260</v>
      </c>
      <c r="AN76">
        <v>1400</v>
      </c>
      <c r="AO76">
        <v>0</v>
      </c>
      <c r="AP76">
        <v>35</v>
      </c>
      <c r="AQ76">
        <v>85</v>
      </c>
      <c r="AR76">
        <v>35</v>
      </c>
      <c r="AS76">
        <v>2</v>
      </c>
      <c r="AT76">
        <v>23</v>
      </c>
      <c r="AU76">
        <v>1</v>
      </c>
      <c r="AV76">
        <v>0</v>
      </c>
      <c r="AW76">
        <v>10</v>
      </c>
      <c r="AX76">
        <v>1</v>
      </c>
      <c r="AY76">
        <v>10</v>
      </c>
      <c r="AZ76">
        <v>5</v>
      </c>
      <c r="BA76">
        <v>1</v>
      </c>
      <c r="BB76">
        <v>1440</v>
      </c>
      <c r="BC76">
        <v>0</v>
      </c>
      <c r="BD76">
        <v>0</v>
      </c>
      <c r="BE76">
        <v>14</v>
      </c>
      <c r="BF76">
        <v>25</v>
      </c>
      <c r="BG76">
        <v>3</v>
      </c>
      <c r="BH76">
        <v>8</v>
      </c>
      <c r="BI76">
        <v>3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60</v>
      </c>
      <c r="BR76">
        <v>0</v>
      </c>
      <c r="BS76">
        <v>3</v>
      </c>
      <c r="BT76" t="s">
        <v>243</v>
      </c>
      <c r="BU76" t="s">
        <v>261</v>
      </c>
      <c r="BV76" t="b">
        <v>0</v>
      </c>
      <c r="BW76" t="s">
        <v>262</v>
      </c>
    </row>
    <row r="77" spans="1:75">
      <c r="A77" t="s">
        <v>243</v>
      </c>
      <c r="B77" t="s">
        <v>252</v>
      </c>
      <c r="C77">
        <v>989</v>
      </c>
      <c r="D77" t="s">
        <v>253</v>
      </c>
      <c r="E77" t="s">
        <v>254</v>
      </c>
      <c r="F77">
        <v>5</v>
      </c>
      <c r="G77" s="13">
        <v>46262.992442129631</v>
      </c>
      <c r="H77" s="13">
        <v>46265.054768518516</v>
      </c>
      <c r="I77">
        <v>178185</v>
      </c>
      <c r="J77" t="s">
        <v>255</v>
      </c>
      <c r="K77">
        <v>1</v>
      </c>
      <c r="L77">
        <v>0.04</v>
      </c>
      <c r="M77">
        <v>0.04</v>
      </c>
      <c r="N77">
        <v>1</v>
      </c>
      <c r="O77">
        <v>0.04</v>
      </c>
      <c r="P77">
        <v>127.98</v>
      </c>
      <c r="Q77">
        <v>0.3</v>
      </c>
      <c r="R77">
        <v>-0.22</v>
      </c>
      <c r="S77" t="s">
        <v>256</v>
      </c>
      <c r="T77" t="s">
        <v>256</v>
      </c>
      <c r="U77">
        <v>15</v>
      </c>
      <c r="V77">
        <v>6996.02</v>
      </c>
      <c r="W77">
        <v>4975.74</v>
      </c>
      <c r="X77">
        <v>4872.0200000000004</v>
      </c>
      <c r="Y77">
        <v>0</v>
      </c>
      <c r="Z77">
        <v>0</v>
      </c>
      <c r="AA77">
        <v>35</v>
      </c>
      <c r="AB77">
        <v>50</v>
      </c>
      <c r="AC77">
        <v>5000</v>
      </c>
      <c r="AD77">
        <v>0</v>
      </c>
      <c r="AE77">
        <v>0</v>
      </c>
      <c r="AF77">
        <v>7019.18</v>
      </c>
      <c r="AG77">
        <v>7019.18</v>
      </c>
      <c r="AH77" s="14">
        <v>46262</v>
      </c>
      <c r="AI77" t="s">
        <v>258</v>
      </c>
      <c r="AJ77" s="13">
        <v>46262.213402777779</v>
      </c>
      <c r="AK77">
        <v>6066.68</v>
      </c>
      <c r="AL77" t="s">
        <v>259</v>
      </c>
      <c r="AM77" t="s">
        <v>260</v>
      </c>
      <c r="AN77">
        <v>1400</v>
      </c>
      <c r="AO77">
        <v>0</v>
      </c>
      <c r="AP77">
        <v>35</v>
      </c>
      <c r="AQ77">
        <v>85</v>
      </c>
      <c r="AR77">
        <v>35</v>
      </c>
      <c r="AS77">
        <v>2</v>
      </c>
      <c r="AT77">
        <v>23</v>
      </c>
      <c r="AU77">
        <v>1</v>
      </c>
      <c r="AV77">
        <v>0</v>
      </c>
      <c r="AW77">
        <v>10</v>
      </c>
      <c r="AX77">
        <v>1</v>
      </c>
      <c r="AY77">
        <v>10</v>
      </c>
      <c r="AZ77">
        <v>5</v>
      </c>
      <c r="BA77">
        <v>1</v>
      </c>
      <c r="BB77">
        <v>1440</v>
      </c>
      <c r="BC77">
        <v>0</v>
      </c>
      <c r="BD77">
        <v>0</v>
      </c>
      <c r="BE77">
        <v>14</v>
      </c>
      <c r="BF77">
        <v>25</v>
      </c>
      <c r="BG77">
        <v>3</v>
      </c>
      <c r="BH77">
        <v>8</v>
      </c>
      <c r="BI77">
        <v>3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60</v>
      </c>
      <c r="BR77">
        <v>0</v>
      </c>
      <c r="BS77">
        <v>3</v>
      </c>
      <c r="BT77" t="s">
        <v>243</v>
      </c>
      <c r="BU77" t="s">
        <v>261</v>
      </c>
      <c r="BV77" t="b">
        <v>0</v>
      </c>
      <c r="BW77" t="s">
        <v>262</v>
      </c>
    </row>
    <row r="78" spans="1:75">
      <c r="A78" t="s">
        <v>243</v>
      </c>
      <c r="B78" t="s">
        <v>252</v>
      </c>
      <c r="C78">
        <v>990</v>
      </c>
      <c r="D78" t="s">
        <v>253</v>
      </c>
      <c r="E78" t="s">
        <v>254</v>
      </c>
      <c r="F78">
        <v>5</v>
      </c>
      <c r="G78" s="13">
        <v>46265.087824074071</v>
      </c>
      <c r="H78" s="13">
        <v>46265.089791666665</v>
      </c>
      <c r="I78">
        <v>170</v>
      </c>
      <c r="J78" t="s">
        <v>255</v>
      </c>
      <c r="K78">
        <v>1</v>
      </c>
      <c r="L78">
        <v>0.04</v>
      </c>
      <c r="M78">
        <v>0.04</v>
      </c>
      <c r="N78">
        <v>1</v>
      </c>
      <c r="O78">
        <v>0.04</v>
      </c>
      <c r="P78">
        <v>7.24</v>
      </c>
      <c r="Q78">
        <v>4</v>
      </c>
      <c r="R78">
        <v>2.88</v>
      </c>
      <c r="S78" t="s">
        <v>256</v>
      </c>
      <c r="T78" t="s">
        <v>257</v>
      </c>
      <c r="U78">
        <v>11</v>
      </c>
      <c r="V78">
        <v>7018.54</v>
      </c>
      <c r="W78">
        <v>4999.3599999999997</v>
      </c>
      <c r="X78">
        <v>4992.76</v>
      </c>
      <c r="Y78">
        <v>0</v>
      </c>
      <c r="Z78">
        <v>0</v>
      </c>
      <c r="AA78">
        <v>35</v>
      </c>
      <c r="AB78">
        <v>50</v>
      </c>
      <c r="AC78">
        <v>5000</v>
      </c>
      <c r="AD78">
        <v>0</v>
      </c>
      <c r="AE78">
        <v>0</v>
      </c>
      <c r="AF78">
        <v>7021.74</v>
      </c>
      <c r="AG78">
        <v>7021.74</v>
      </c>
      <c r="AH78" s="14">
        <v>46265</v>
      </c>
      <c r="AI78" t="s">
        <v>258</v>
      </c>
      <c r="AJ78" s="13">
        <v>46262.213402777779</v>
      </c>
      <c r="AK78">
        <v>6066.68</v>
      </c>
      <c r="AL78" t="s">
        <v>259</v>
      </c>
      <c r="AM78" t="s">
        <v>260</v>
      </c>
      <c r="AN78">
        <v>1400</v>
      </c>
      <c r="AO78">
        <v>0</v>
      </c>
      <c r="AP78">
        <v>35</v>
      </c>
      <c r="AQ78">
        <v>85</v>
      </c>
      <c r="AR78">
        <v>35</v>
      </c>
      <c r="AS78">
        <v>2</v>
      </c>
      <c r="AT78">
        <v>23</v>
      </c>
      <c r="AU78">
        <v>1</v>
      </c>
      <c r="AV78">
        <v>0</v>
      </c>
      <c r="AW78">
        <v>10</v>
      </c>
      <c r="AX78">
        <v>1</v>
      </c>
      <c r="AY78">
        <v>10</v>
      </c>
      <c r="AZ78">
        <v>5</v>
      </c>
      <c r="BA78">
        <v>1</v>
      </c>
      <c r="BB78">
        <v>1440</v>
      </c>
      <c r="BC78">
        <v>0</v>
      </c>
      <c r="BD78">
        <v>0</v>
      </c>
      <c r="BE78">
        <v>14</v>
      </c>
      <c r="BF78">
        <v>25</v>
      </c>
      <c r="BG78">
        <v>3</v>
      </c>
      <c r="BH78">
        <v>8</v>
      </c>
      <c r="BI78">
        <v>3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60</v>
      </c>
      <c r="BR78">
        <v>0</v>
      </c>
      <c r="BS78">
        <v>3</v>
      </c>
      <c r="BT78" t="s">
        <v>243</v>
      </c>
      <c r="BU78" t="s">
        <v>261</v>
      </c>
      <c r="BV78" t="b">
        <v>0</v>
      </c>
      <c r="BW78" t="s">
        <v>262</v>
      </c>
    </row>
    <row r="79" spans="1:75">
      <c r="A79" t="s">
        <v>243</v>
      </c>
      <c r="B79" t="s">
        <v>252</v>
      </c>
      <c r="C79">
        <v>991</v>
      </c>
      <c r="D79" t="s">
        <v>253</v>
      </c>
      <c r="E79" t="s">
        <v>254</v>
      </c>
      <c r="F79">
        <v>5</v>
      </c>
      <c r="G79" s="13">
        <v>46265.092928240738</v>
      </c>
      <c r="H79" s="13">
        <v>46265.093055555553</v>
      </c>
      <c r="I79">
        <v>11</v>
      </c>
      <c r="J79" t="s">
        <v>264</v>
      </c>
      <c r="K79">
        <v>1</v>
      </c>
      <c r="L79">
        <v>0.04</v>
      </c>
      <c r="M79">
        <v>0.04</v>
      </c>
      <c r="N79">
        <v>1</v>
      </c>
      <c r="O79">
        <v>0.04</v>
      </c>
      <c r="P79">
        <v>0.84</v>
      </c>
      <c r="Q79">
        <v>7.04</v>
      </c>
      <c r="R79">
        <v>7</v>
      </c>
      <c r="S79" t="s">
        <v>256</v>
      </c>
      <c r="T79" t="s">
        <v>257</v>
      </c>
      <c r="U79">
        <v>10</v>
      </c>
      <c r="V79">
        <v>7020.9</v>
      </c>
      <c r="W79">
        <v>4999.16</v>
      </c>
      <c r="X79">
        <v>4999.16</v>
      </c>
      <c r="Y79">
        <v>0</v>
      </c>
      <c r="Z79">
        <v>0</v>
      </c>
      <c r="AA79">
        <v>35</v>
      </c>
      <c r="AB79">
        <v>50</v>
      </c>
      <c r="AC79">
        <v>5000</v>
      </c>
      <c r="AD79">
        <v>0</v>
      </c>
      <c r="AE79">
        <v>0</v>
      </c>
      <c r="AF79">
        <v>7027.38</v>
      </c>
      <c r="AG79">
        <v>7027.38</v>
      </c>
      <c r="AH79" s="14">
        <v>46265</v>
      </c>
      <c r="AI79" t="s">
        <v>258</v>
      </c>
      <c r="AJ79" s="13">
        <v>46262.213402777779</v>
      </c>
      <c r="AK79">
        <v>6066.68</v>
      </c>
      <c r="AL79" t="s">
        <v>259</v>
      </c>
      <c r="AM79" t="s">
        <v>260</v>
      </c>
      <c r="AN79">
        <v>1400</v>
      </c>
      <c r="AO79">
        <v>0</v>
      </c>
      <c r="AP79">
        <v>35</v>
      </c>
      <c r="AQ79">
        <v>85</v>
      </c>
      <c r="AR79">
        <v>35</v>
      </c>
      <c r="AS79">
        <v>2</v>
      </c>
      <c r="AT79">
        <v>23</v>
      </c>
      <c r="AU79">
        <v>1</v>
      </c>
      <c r="AV79">
        <v>0</v>
      </c>
      <c r="AW79">
        <v>10</v>
      </c>
      <c r="AX79">
        <v>1</v>
      </c>
      <c r="AY79">
        <v>10</v>
      </c>
      <c r="AZ79">
        <v>5</v>
      </c>
      <c r="BA79">
        <v>1</v>
      </c>
      <c r="BB79">
        <v>1440</v>
      </c>
      <c r="BC79">
        <v>0</v>
      </c>
      <c r="BD79">
        <v>0</v>
      </c>
      <c r="BE79">
        <v>14</v>
      </c>
      <c r="BF79">
        <v>25</v>
      </c>
      <c r="BG79">
        <v>3</v>
      </c>
      <c r="BH79">
        <v>8</v>
      </c>
      <c r="BI79">
        <v>3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0</v>
      </c>
      <c r="BQ79">
        <v>60</v>
      </c>
      <c r="BR79">
        <v>0</v>
      </c>
      <c r="BS79">
        <v>3</v>
      </c>
      <c r="BT79" t="s">
        <v>243</v>
      </c>
      <c r="BU79" t="s">
        <v>261</v>
      </c>
      <c r="BV79" t="b">
        <v>0</v>
      </c>
      <c r="BW79" t="s">
        <v>262</v>
      </c>
    </row>
    <row r="80" spans="1:75">
      <c r="A80" t="s">
        <v>243</v>
      </c>
      <c r="B80" t="s">
        <v>252</v>
      </c>
      <c r="C80">
        <v>992</v>
      </c>
      <c r="D80" t="s">
        <v>253</v>
      </c>
      <c r="E80" t="s">
        <v>254</v>
      </c>
      <c r="F80">
        <v>5</v>
      </c>
      <c r="G80" s="13">
        <v>46265.095856481479</v>
      </c>
      <c r="H80" s="13">
        <v>46265.098194444443</v>
      </c>
      <c r="I80">
        <v>202</v>
      </c>
      <c r="J80" t="s">
        <v>255</v>
      </c>
      <c r="K80">
        <v>1</v>
      </c>
      <c r="L80">
        <v>0.04</v>
      </c>
      <c r="M80">
        <v>0.04</v>
      </c>
      <c r="N80">
        <v>1</v>
      </c>
      <c r="O80">
        <v>0.04</v>
      </c>
      <c r="P80">
        <v>5.76</v>
      </c>
      <c r="Q80">
        <v>4.24</v>
      </c>
      <c r="R80">
        <v>2.88</v>
      </c>
      <c r="S80" t="s">
        <v>256</v>
      </c>
      <c r="T80" t="s">
        <v>257</v>
      </c>
      <c r="U80">
        <v>10</v>
      </c>
      <c r="V80">
        <v>7026.7</v>
      </c>
      <c r="W80">
        <v>4999.32</v>
      </c>
      <c r="X80">
        <v>4994.24</v>
      </c>
      <c r="Y80">
        <v>0</v>
      </c>
      <c r="Z80">
        <v>0</v>
      </c>
      <c r="AA80">
        <v>35</v>
      </c>
      <c r="AB80">
        <v>50</v>
      </c>
      <c r="AC80">
        <v>5000</v>
      </c>
      <c r="AD80">
        <v>0</v>
      </c>
      <c r="AE80">
        <v>0</v>
      </c>
      <c r="AF80">
        <v>7030.18</v>
      </c>
      <c r="AG80">
        <v>7030.18</v>
      </c>
      <c r="AH80" s="14">
        <v>46265</v>
      </c>
      <c r="AI80" t="s">
        <v>258</v>
      </c>
      <c r="AJ80" s="13">
        <v>46262.213402777779</v>
      </c>
      <c r="AK80">
        <v>6066.68</v>
      </c>
      <c r="AL80" t="s">
        <v>259</v>
      </c>
      <c r="AM80" t="s">
        <v>260</v>
      </c>
      <c r="AN80">
        <v>1400</v>
      </c>
      <c r="AO80">
        <v>0</v>
      </c>
      <c r="AP80">
        <v>35</v>
      </c>
      <c r="AQ80">
        <v>85</v>
      </c>
      <c r="AR80">
        <v>35</v>
      </c>
      <c r="AS80">
        <v>2</v>
      </c>
      <c r="AT80">
        <v>23</v>
      </c>
      <c r="AU80">
        <v>1</v>
      </c>
      <c r="AV80">
        <v>0</v>
      </c>
      <c r="AW80">
        <v>10</v>
      </c>
      <c r="AX80">
        <v>1</v>
      </c>
      <c r="AY80">
        <v>10</v>
      </c>
      <c r="AZ80">
        <v>5</v>
      </c>
      <c r="BA80">
        <v>1</v>
      </c>
      <c r="BB80">
        <v>1440</v>
      </c>
      <c r="BC80">
        <v>0</v>
      </c>
      <c r="BD80">
        <v>0</v>
      </c>
      <c r="BE80">
        <v>14</v>
      </c>
      <c r="BF80">
        <v>25</v>
      </c>
      <c r="BG80">
        <v>3</v>
      </c>
      <c r="BH80">
        <v>8</v>
      </c>
      <c r="BI80">
        <v>3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60</v>
      </c>
      <c r="BR80">
        <v>0</v>
      </c>
      <c r="BS80">
        <v>3</v>
      </c>
      <c r="BT80" t="s">
        <v>243</v>
      </c>
      <c r="BU80" t="s">
        <v>261</v>
      </c>
      <c r="BV80" t="b">
        <v>0</v>
      </c>
      <c r="BW80" t="s">
        <v>262</v>
      </c>
    </row>
    <row r="81" spans="1:75">
      <c r="A81" t="s">
        <v>243</v>
      </c>
      <c r="B81" t="s">
        <v>252</v>
      </c>
      <c r="C81">
        <v>993</v>
      </c>
      <c r="D81" t="s">
        <v>253</v>
      </c>
      <c r="E81" t="s">
        <v>254</v>
      </c>
      <c r="F81">
        <v>5</v>
      </c>
      <c r="G81" s="13">
        <v>46265.099351851852</v>
      </c>
      <c r="H81" s="13">
        <v>46265.100659722222</v>
      </c>
      <c r="I81">
        <v>113</v>
      </c>
      <c r="J81" t="s">
        <v>264</v>
      </c>
      <c r="K81">
        <v>1</v>
      </c>
      <c r="L81">
        <v>0.04</v>
      </c>
      <c r="M81">
        <v>0.04</v>
      </c>
      <c r="N81">
        <v>1</v>
      </c>
      <c r="O81">
        <v>0.04</v>
      </c>
      <c r="P81">
        <v>4.5599999999999996</v>
      </c>
      <c r="Q81">
        <v>9.56</v>
      </c>
      <c r="R81">
        <v>8.2799999999999994</v>
      </c>
      <c r="S81" t="s">
        <v>256</v>
      </c>
      <c r="T81" t="s">
        <v>257</v>
      </c>
      <c r="U81">
        <v>15</v>
      </c>
      <c r="V81">
        <v>7029.34</v>
      </c>
      <c r="W81">
        <v>4999.16</v>
      </c>
      <c r="X81">
        <v>4995.4399999999996</v>
      </c>
      <c r="Y81">
        <v>0</v>
      </c>
      <c r="Z81">
        <v>0</v>
      </c>
      <c r="AA81">
        <v>35</v>
      </c>
      <c r="AB81">
        <v>50</v>
      </c>
      <c r="AC81">
        <v>5000</v>
      </c>
      <c r="AD81">
        <v>0</v>
      </c>
      <c r="AE81">
        <v>0</v>
      </c>
      <c r="AF81">
        <v>7038.34</v>
      </c>
      <c r="AG81">
        <v>7038.34</v>
      </c>
      <c r="AH81" s="14">
        <v>46265</v>
      </c>
      <c r="AI81" t="s">
        <v>258</v>
      </c>
      <c r="AJ81" s="13">
        <v>46262.213402777779</v>
      </c>
      <c r="AK81">
        <v>6066.68</v>
      </c>
      <c r="AL81" t="s">
        <v>259</v>
      </c>
      <c r="AM81" t="s">
        <v>260</v>
      </c>
      <c r="AN81">
        <v>1400</v>
      </c>
      <c r="AO81">
        <v>0</v>
      </c>
      <c r="AP81">
        <v>35</v>
      </c>
      <c r="AQ81">
        <v>85</v>
      </c>
      <c r="AR81">
        <v>35</v>
      </c>
      <c r="AS81">
        <v>2</v>
      </c>
      <c r="AT81">
        <v>23</v>
      </c>
      <c r="AU81">
        <v>1</v>
      </c>
      <c r="AV81">
        <v>0</v>
      </c>
      <c r="AW81">
        <v>10</v>
      </c>
      <c r="AX81">
        <v>1</v>
      </c>
      <c r="AY81">
        <v>10</v>
      </c>
      <c r="AZ81">
        <v>5</v>
      </c>
      <c r="BA81">
        <v>1</v>
      </c>
      <c r="BB81">
        <v>1440</v>
      </c>
      <c r="BC81">
        <v>0</v>
      </c>
      <c r="BD81">
        <v>0</v>
      </c>
      <c r="BE81">
        <v>14</v>
      </c>
      <c r="BF81">
        <v>25</v>
      </c>
      <c r="BG81">
        <v>3</v>
      </c>
      <c r="BH81">
        <v>8</v>
      </c>
      <c r="BI81">
        <v>3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0</v>
      </c>
      <c r="BQ81">
        <v>60</v>
      </c>
      <c r="BR81">
        <v>0</v>
      </c>
      <c r="BS81">
        <v>3</v>
      </c>
      <c r="BT81" t="s">
        <v>243</v>
      </c>
      <c r="BU81" t="s">
        <v>261</v>
      </c>
      <c r="BV81" t="b">
        <v>0</v>
      </c>
      <c r="BW81" t="s">
        <v>262</v>
      </c>
    </row>
    <row r="82" spans="1:75">
      <c r="A82" t="s">
        <v>243</v>
      </c>
      <c r="B82" t="s">
        <v>252</v>
      </c>
      <c r="C82">
        <v>994</v>
      </c>
      <c r="D82" t="s">
        <v>253</v>
      </c>
      <c r="E82" t="s">
        <v>254</v>
      </c>
      <c r="F82">
        <v>5</v>
      </c>
      <c r="G82" s="13">
        <v>46265.102326388886</v>
      </c>
      <c r="H82" s="13">
        <v>46265.104687500003</v>
      </c>
      <c r="I82">
        <v>204</v>
      </c>
      <c r="J82" t="s">
        <v>264</v>
      </c>
      <c r="K82">
        <v>1</v>
      </c>
      <c r="L82">
        <v>0.04</v>
      </c>
      <c r="M82">
        <v>0.04</v>
      </c>
      <c r="N82">
        <v>2</v>
      </c>
      <c r="O82">
        <v>0.08</v>
      </c>
      <c r="P82">
        <v>8.8800000000000008</v>
      </c>
      <c r="Q82">
        <v>7.84</v>
      </c>
      <c r="R82">
        <v>2.6</v>
      </c>
      <c r="S82" t="s">
        <v>256</v>
      </c>
      <c r="T82" t="s">
        <v>257</v>
      </c>
      <c r="U82">
        <v>10</v>
      </c>
      <c r="V82">
        <v>7037.46</v>
      </c>
      <c r="W82">
        <v>4999.12</v>
      </c>
      <c r="X82">
        <v>4991.12</v>
      </c>
      <c r="Y82">
        <v>0</v>
      </c>
      <c r="Z82">
        <v>0</v>
      </c>
      <c r="AA82">
        <v>35</v>
      </c>
      <c r="AB82">
        <v>50</v>
      </c>
      <c r="AC82">
        <v>5000</v>
      </c>
      <c r="AD82">
        <v>0</v>
      </c>
      <c r="AE82">
        <v>0</v>
      </c>
      <c r="AF82">
        <v>7047.34</v>
      </c>
      <c r="AG82">
        <v>7047.34</v>
      </c>
      <c r="AH82" s="14">
        <v>46265</v>
      </c>
      <c r="AI82" t="s">
        <v>258</v>
      </c>
      <c r="AJ82" s="13">
        <v>46262.213402777779</v>
      </c>
      <c r="AK82">
        <v>6066.68</v>
      </c>
      <c r="AL82" t="s">
        <v>259</v>
      </c>
      <c r="AM82" t="s">
        <v>260</v>
      </c>
      <c r="AN82">
        <v>1400</v>
      </c>
      <c r="AO82">
        <v>0</v>
      </c>
      <c r="AP82">
        <v>35</v>
      </c>
      <c r="AQ82">
        <v>85</v>
      </c>
      <c r="AR82">
        <v>35</v>
      </c>
      <c r="AS82">
        <v>2</v>
      </c>
      <c r="AT82">
        <v>23</v>
      </c>
      <c r="AU82">
        <v>1</v>
      </c>
      <c r="AV82">
        <v>0</v>
      </c>
      <c r="AW82">
        <v>10</v>
      </c>
      <c r="AX82">
        <v>1</v>
      </c>
      <c r="AY82">
        <v>10</v>
      </c>
      <c r="AZ82">
        <v>5</v>
      </c>
      <c r="BA82">
        <v>1</v>
      </c>
      <c r="BB82">
        <v>1440</v>
      </c>
      <c r="BC82">
        <v>0</v>
      </c>
      <c r="BD82">
        <v>0</v>
      </c>
      <c r="BE82">
        <v>14</v>
      </c>
      <c r="BF82">
        <v>25</v>
      </c>
      <c r="BG82">
        <v>3</v>
      </c>
      <c r="BH82">
        <v>8</v>
      </c>
      <c r="BI82">
        <v>3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60</v>
      </c>
      <c r="BR82">
        <v>0</v>
      </c>
      <c r="BS82">
        <v>3</v>
      </c>
      <c r="BT82" t="s">
        <v>243</v>
      </c>
      <c r="BU82" t="s">
        <v>261</v>
      </c>
      <c r="BV82" t="b">
        <v>0</v>
      </c>
      <c r="BW82" t="s">
        <v>262</v>
      </c>
    </row>
    <row r="83" spans="1:75">
      <c r="A83" t="s">
        <v>243</v>
      </c>
      <c r="B83" t="s">
        <v>252</v>
      </c>
      <c r="C83">
        <v>995</v>
      </c>
      <c r="D83" t="s">
        <v>253</v>
      </c>
      <c r="E83" t="s">
        <v>254</v>
      </c>
      <c r="F83">
        <v>5</v>
      </c>
      <c r="G83" s="13">
        <v>46265.109675925924</v>
      </c>
      <c r="H83" s="13">
        <v>46265.112141203703</v>
      </c>
      <c r="I83">
        <v>213</v>
      </c>
      <c r="J83" t="s">
        <v>264</v>
      </c>
      <c r="K83">
        <v>1</v>
      </c>
      <c r="L83">
        <v>0.04</v>
      </c>
      <c r="M83">
        <v>0.04</v>
      </c>
      <c r="N83">
        <v>1</v>
      </c>
      <c r="O83">
        <v>0.04</v>
      </c>
      <c r="P83">
        <v>7.84</v>
      </c>
      <c r="Q83">
        <v>8.6</v>
      </c>
      <c r="R83">
        <v>7.4</v>
      </c>
      <c r="S83" t="s">
        <v>256</v>
      </c>
      <c r="T83" t="s">
        <v>257</v>
      </c>
      <c r="U83">
        <v>11</v>
      </c>
      <c r="V83">
        <v>7046.66</v>
      </c>
      <c r="W83">
        <v>4999.32</v>
      </c>
      <c r="X83">
        <v>4992.16</v>
      </c>
      <c r="Y83">
        <v>0</v>
      </c>
      <c r="Z83">
        <v>0</v>
      </c>
      <c r="AA83">
        <v>35</v>
      </c>
      <c r="AB83">
        <v>50</v>
      </c>
      <c r="AC83">
        <v>5000</v>
      </c>
      <c r="AD83">
        <v>0</v>
      </c>
      <c r="AE83">
        <v>0</v>
      </c>
      <c r="AF83">
        <v>7054.06</v>
      </c>
      <c r="AG83">
        <v>7054.06</v>
      </c>
      <c r="AH83" s="14">
        <v>46265</v>
      </c>
      <c r="AI83" t="s">
        <v>258</v>
      </c>
      <c r="AJ83" s="13">
        <v>46262.213402777779</v>
      </c>
      <c r="AK83">
        <v>6066.68</v>
      </c>
      <c r="AL83" t="s">
        <v>259</v>
      </c>
      <c r="AM83" t="s">
        <v>260</v>
      </c>
      <c r="AN83">
        <v>1400</v>
      </c>
      <c r="AO83">
        <v>0</v>
      </c>
      <c r="AP83">
        <v>35</v>
      </c>
      <c r="AQ83">
        <v>85</v>
      </c>
      <c r="AR83">
        <v>35</v>
      </c>
      <c r="AS83">
        <v>2</v>
      </c>
      <c r="AT83">
        <v>23</v>
      </c>
      <c r="AU83">
        <v>1</v>
      </c>
      <c r="AV83">
        <v>0</v>
      </c>
      <c r="AW83">
        <v>10</v>
      </c>
      <c r="AX83">
        <v>1</v>
      </c>
      <c r="AY83">
        <v>10</v>
      </c>
      <c r="AZ83">
        <v>5</v>
      </c>
      <c r="BA83">
        <v>1</v>
      </c>
      <c r="BB83">
        <v>1440</v>
      </c>
      <c r="BC83">
        <v>0</v>
      </c>
      <c r="BD83">
        <v>0</v>
      </c>
      <c r="BE83">
        <v>14</v>
      </c>
      <c r="BF83">
        <v>25</v>
      </c>
      <c r="BG83">
        <v>3</v>
      </c>
      <c r="BH83">
        <v>8</v>
      </c>
      <c r="BI83">
        <v>3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60</v>
      </c>
      <c r="BR83">
        <v>0</v>
      </c>
      <c r="BS83">
        <v>3</v>
      </c>
      <c r="BT83" t="s">
        <v>243</v>
      </c>
      <c r="BU83" t="s">
        <v>261</v>
      </c>
      <c r="BV83" t="b">
        <v>0</v>
      </c>
      <c r="BW83" t="s">
        <v>262</v>
      </c>
    </row>
    <row r="84" spans="1:75">
      <c r="A84" t="s">
        <v>243</v>
      </c>
      <c r="B84" t="s">
        <v>252</v>
      </c>
      <c r="C84">
        <v>996</v>
      </c>
      <c r="D84" t="s">
        <v>253</v>
      </c>
      <c r="E84" t="s">
        <v>254</v>
      </c>
      <c r="F84">
        <v>5</v>
      </c>
      <c r="G84" s="13">
        <v>46265.112222222226</v>
      </c>
      <c r="H84" s="13">
        <v>46265.113333333335</v>
      </c>
      <c r="I84">
        <v>96</v>
      </c>
      <c r="J84" t="s">
        <v>264</v>
      </c>
      <c r="K84">
        <v>1</v>
      </c>
      <c r="L84">
        <v>0.04</v>
      </c>
      <c r="M84">
        <v>0.04</v>
      </c>
      <c r="N84">
        <v>1</v>
      </c>
      <c r="O84">
        <v>0.04</v>
      </c>
      <c r="P84">
        <v>5.8</v>
      </c>
      <c r="Q84">
        <v>3.72</v>
      </c>
      <c r="R84">
        <v>3.28</v>
      </c>
      <c r="S84" t="s">
        <v>256</v>
      </c>
      <c r="T84" t="s">
        <v>257</v>
      </c>
      <c r="U84">
        <v>11</v>
      </c>
      <c r="V84">
        <v>7053.22</v>
      </c>
      <c r="W84">
        <v>4999.16</v>
      </c>
      <c r="X84">
        <v>4994.2</v>
      </c>
      <c r="Y84">
        <v>0</v>
      </c>
      <c r="Z84">
        <v>0</v>
      </c>
      <c r="AA84">
        <v>35</v>
      </c>
      <c r="AB84">
        <v>50</v>
      </c>
      <c r="AC84">
        <v>5000</v>
      </c>
      <c r="AD84">
        <v>0</v>
      </c>
      <c r="AE84">
        <v>0</v>
      </c>
      <c r="AF84">
        <v>7056.34</v>
      </c>
      <c r="AG84">
        <v>7056.34</v>
      </c>
      <c r="AH84" s="14">
        <v>46265</v>
      </c>
      <c r="AI84" t="s">
        <v>258</v>
      </c>
      <c r="AJ84" s="13">
        <v>46262.213402777779</v>
      </c>
      <c r="AK84">
        <v>6066.68</v>
      </c>
      <c r="AL84" t="s">
        <v>259</v>
      </c>
      <c r="AM84" t="s">
        <v>260</v>
      </c>
      <c r="AN84">
        <v>1400</v>
      </c>
      <c r="AO84">
        <v>0</v>
      </c>
      <c r="AP84">
        <v>35</v>
      </c>
      <c r="AQ84">
        <v>85</v>
      </c>
      <c r="AR84">
        <v>35</v>
      </c>
      <c r="AS84">
        <v>2</v>
      </c>
      <c r="AT84">
        <v>23</v>
      </c>
      <c r="AU84">
        <v>1</v>
      </c>
      <c r="AV84">
        <v>0</v>
      </c>
      <c r="AW84">
        <v>10</v>
      </c>
      <c r="AX84">
        <v>1</v>
      </c>
      <c r="AY84">
        <v>10</v>
      </c>
      <c r="AZ84">
        <v>5</v>
      </c>
      <c r="BA84">
        <v>1</v>
      </c>
      <c r="BB84">
        <v>1440</v>
      </c>
      <c r="BC84">
        <v>0</v>
      </c>
      <c r="BD84">
        <v>0</v>
      </c>
      <c r="BE84">
        <v>14</v>
      </c>
      <c r="BF84">
        <v>25</v>
      </c>
      <c r="BG84">
        <v>3</v>
      </c>
      <c r="BH84">
        <v>8</v>
      </c>
      <c r="BI84">
        <v>3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60</v>
      </c>
      <c r="BR84">
        <v>0</v>
      </c>
      <c r="BS84">
        <v>3</v>
      </c>
      <c r="BT84" t="s">
        <v>243</v>
      </c>
      <c r="BU84" t="s">
        <v>261</v>
      </c>
      <c r="BV84" t="b">
        <v>0</v>
      </c>
      <c r="BW84" t="s">
        <v>262</v>
      </c>
    </row>
    <row r="85" spans="1:75">
      <c r="A85" t="s">
        <v>243</v>
      </c>
      <c r="B85" t="s">
        <v>252</v>
      </c>
      <c r="C85">
        <v>997</v>
      </c>
      <c r="D85" t="s">
        <v>253</v>
      </c>
      <c r="E85" t="s">
        <v>254</v>
      </c>
      <c r="F85">
        <v>5</v>
      </c>
      <c r="G85" s="13">
        <v>46265.114756944444</v>
      </c>
      <c r="H85" s="13">
        <v>46265.114884259259</v>
      </c>
      <c r="I85">
        <v>11</v>
      </c>
      <c r="J85" t="s">
        <v>264</v>
      </c>
      <c r="K85">
        <v>1</v>
      </c>
      <c r="L85">
        <v>0.04</v>
      </c>
      <c r="M85">
        <v>0.04</v>
      </c>
      <c r="N85">
        <v>1</v>
      </c>
      <c r="O85">
        <v>0.04</v>
      </c>
      <c r="P85">
        <v>1.4</v>
      </c>
      <c r="Q85">
        <v>4</v>
      </c>
      <c r="R85">
        <v>4</v>
      </c>
      <c r="S85" t="s">
        <v>256</v>
      </c>
      <c r="T85" t="s">
        <v>257</v>
      </c>
      <c r="U85">
        <v>10</v>
      </c>
      <c r="V85">
        <v>7055.7</v>
      </c>
      <c r="W85">
        <v>4999.3599999999997</v>
      </c>
      <c r="X85">
        <v>4998.6000000000004</v>
      </c>
      <c r="Y85">
        <v>0</v>
      </c>
      <c r="Z85">
        <v>0</v>
      </c>
      <c r="AA85">
        <v>35</v>
      </c>
      <c r="AB85">
        <v>50</v>
      </c>
      <c r="AC85">
        <v>5000</v>
      </c>
      <c r="AD85">
        <v>0</v>
      </c>
      <c r="AE85">
        <v>0</v>
      </c>
      <c r="AF85">
        <v>7058.94</v>
      </c>
      <c r="AG85">
        <v>7058.94</v>
      </c>
      <c r="AH85" s="14">
        <v>46265</v>
      </c>
      <c r="AI85" t="s">
        <v>258</v>
      </c>
      <c r="AJ85" s="13">
        <v>46262.213402777779</v>
      </c>
      <c r="AK85">
        <v>6066.68</v>
      </c>
      <c r="AL85" t="s">
        <v>259</v>
      </c>
      <c r="AM85" t="s">
        <v>260</v>
      </c>
      <c r="AN85">
        <v>1400</v>
      </c>
      <c r="AO85">
        <v>0</v>
      </c>
      <c r="AP85">
        <v>35</v>
      </c>
      <c r="AQ85">
        <v>85</v>
      </c>
      <c r="AR85">
        <v>35</v>
      </c>
      <c r="AS85">
        <v>2</v>
      </c>
      <c r="AT85">
        <v>23</v>
      </c>
      <c r="AU85">
        <v>1</v>
      </c>
      <c r="AV85">
        <v>0</v>
      </c>
      <c r="AW85">
        <v>10</v>
      </c>
      <c r="AX85">
        <v>1</v>
      </c>
      <c r="AY85">
        <v>10</v>
      </c>
      <c r="AZ85">
        <v>5</v>
      </c>
      <c r="BA85">
        <v>1</v>
      </c>
      <c r="BB85">
        <v>1440</v>
      </c>
      <c r="BC85">
        <v>0</v>
      </c>
      <c r="BD85">
        <v>0</v>
      </c>
      <c r="BE85">
        <v>14</v>
      </c>
      <c r="BF85">
        <v>25</v>
      </c>
      <c r="BG85">
        <v>3</v>
      </c>
      <c r="BH85">
        <v>8</v>
      </c>
      <c r="BI85">
        <v>3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0</v>
      </c>
      <c r="BQ85">
        <v>60</v>
      </c>
      <c r="BR85">
        <v>0</v>
      </c>
      <c r="BS85">
        <v>3</v>
      </c>
      <c r="BT85" t="s">
        <v>243</v>
      </c>
      <c r="BU85" t="s">
        <v>261</v>
      </c>
      <c r="BV85" t="b">
        <v>0</v>
      </c>
      <c r="BW85" t="s">
        <v>262</v>
      </c>
    </row>
    <row r="86" spans="1:75">
      <c r="A86" t="s">
        <v>243</v>
      </c>
      <c r="B86" t="s">
        <v>252</v>
      </c>
      <c r="C86">
        <v>998</v>
      </c>
      <c r="D86" t="s">
        <v>253</v>
      </c>
      <c r="E86" t="s">
        <v>254</v>
      </c>
      <c r="F86">
        <v>5</v>
      </c>
      <c r="G86" s="13">
        <v>46265.11818287037</v>
      </c>
      <c r="H86" s="13">
        <v>46265.118252314816</v>
      </c>
      <c r="I86">
        <v>6</v>
      </c>
      <c r="J86" t="s">
        <v>255</v>
      </c>
      <c r="K86">
        <v>1</v>
      </c>
      <c r="L86">
        <v>0.04</v>
      </c>
      <c r="M86">
        <v>0.04</v>
      </c>
      <c r="N86">
        <v>1</v>
      </c>
      <c r="O86">
        <v>0.04</v>
      </c>
      <c r="P86">
        <v>1.44</v>
      </c>
      <c r="Q86">
        <v>4.5599999999999996</v>
      </c>
      <c r="R86">
        <v>3.32</v>
      </c>
      <c r="S86" t="s">
        <v>256</v>
      </c>
      <c r="T86" t="s">
        <v>257</v>
      </c>
      <c r="U86">
        <v>15</v>
      </c>
      <c r="V86">
        <v>7058.1</v>
      </c>
      <c r="W86">
        <v>4999.16</v>
      </c>
      <c r="X86">
        <v>4998.5600000000004</v>
      </c>
      <c r="Y86">
        <v>0</v>
      </c>
      <c r="Z86">
        <v>0</v>
      </c>
      <c r="AA86">
        <v>35</v>
      </c>
      <c r="AB86">
        <v>50</v>
      </c>
      <c r="AC86">
        <v>5000</v>
      </c>
      <c r="AD86">
        <v>0</v>
      </c>
      <c r="AE86">
        <v>0</v>
      </c>
      <c r="AF86">
        <v>7062.1</v>
      </c>
      <c r="AG86">
        <v>7062.1</v>
      </c>
      <c r="AH86" s="14">
        <v>46265</v>
      </c>
      <c r="AI86" t="s">
        <v>258</v>
      </c>
      <c r="AJ86" s="13">
        <v>46262.213402777779</v>
      </c>
      <c r="AK86">
        <v>6066.68</v>
      </c>
      <c r="AL86" t="s">
        <v>259</v>
      </c>
      <c r="AM86" t="s">
        <v>260</v>
      </c>
      <c r="AN86">
        <v>1400</v>
      </c>
      <c r="AO86">
        <v>0</v>
      </c>
      <c r="AP86">
        <v>35</v>
      </c>
      <c r="AQ86">
        <v>85</v>
      </c>
      <c r="AR86">
        <v>35</v>
      </c>
      <c r="AS86">
        <v>2</v>
      </c>
      <c r="AT86">
        <v>23</v>
      </c>
      <c r="AU86">
        <v>1</v>
      </c>
      <c r="AV86">
        <v>0</v>
      </c>
      <c r="AW86">
        <v>10</v>
      </c>
      <c r="AX86">
        <v>1</v>
      </c>
      <c r="AY86">
        <v>10</v>
      </c>
      <c r="AZ86">
        <v>5</v>
      </c>
      <c r="BA86">
        <v>1</v>
      </c>
      <c r="BB86">
        <v>1440</v>
      </c>
      <c r="BC86">
        <v>0</v>
      </c>
      <c r="BD86">
        <v>0</v>
      </c>
      <c r="BE86">
        <v>14</v>
      </c>
      <c r="BF86">
        <v>25</v>
      </c>
      <c r="BG86">
        <v>3</v>
      </c>
      <c r="BH86">
        <v>8</v>
      </c>
      <c r="BI86">
        <v>3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0</v>
      </c>
      <c r="BQ86">
        <v>60</v>
      </c>
      <c r="BR86">
        <v>0</v>
      </c>
      <c r="BS86">
        <v>3</v>
      </c>
      <c r="BT86" t="s">
        <v>243</v>
      </c>
      <c r="BU86" t="s">
        <v>261</v>
      </c>
      <c r="BV86" t="b">
        <v>0</v>
      </c>
      <c r="BW86" t="s">
        <v>262</v>
      </c>
    </row>
    <row r="87" spans="1:75">
      <c r="A87" t="s">
        <v>243</v>
      </c>
      <c r="B87" t="s">
        <v>252</v>
      </c>
      <c r="C87">
        <v>999</v>
      </c>
      <c r="D87" t="s">
        <v>253</v>
      </c>
      <c r="E87" t="s">
        <v>254</v>
      </c>
      <c r="F87">
        <v>5</v>
      </c>
      <c r="G87" s="13">
        <v>46265.121666666666</v>
      </c>
      <c r="H87" s="13">
        <v>46265.122395833336</v>
      </c>
      <c r="I87">
        <v>63</v>
      </c>
      <c r="J87" t="s">
        <v>255</v>
      </c>
      <c r="K87">
        <v>1</v>
      </c>
      <c r="L87">
        <v>0.04</v>
      </c>
      <c r="M87">
        <v>0.04</v>
      </c>
      <c r="N87">
        <v>1</v>
      </c>
      <c r="O87">
        <v>0.04</v>
      </c>
      <c r="P87">
        <v>6.68</v>
      </c>
      <c r="Q87">
        <v>3.36</v>
      </c>
      <c r="R87">
        <v>3.2</v>
      </c>
      <c r="S87" t="s">
        <v>256</v>
      </c>
      <c r="T87" t="s">
        <v>257</v>
      </c>
      <c r="U87">
        <v>10</v>
      </c>
      <c r="V87">
        <v>7061.46</v>
      </c>
      <c r="W87">
        <v>4999.3599999999997</v>
      </c>
      <c r="X87">
        <v>4993.32</v>
      </c>
      <c r="Y87">
        <v>0</v>
      </c>
      <c r="Z87">
        <v>0</v>
      </c>
      <c r="AA87">
        <v>35</v>
      </c>
      <c r="AB87">
        <v>50</v>
      </c>
      <c r="AC87">
        <v>5000</v>
      </c>
      <c r="AD87">
        <v>0</v>
      </c>
      <c r="AE87">
        <v>0</v>
      </c>
      <c r="AF87">
        <v>7064.06</v>
      </c>
      <c r="AG87">
        <v>7064.06</v>
      </c>
      <c r="AH87" s="14">
        <v>46265</v>
      </c>
      <c r="AI87" t="s">
        <v>258</v>
      </c>
      <c r="AJ87" s="13">
        <v>46262.213402777779</v>
      </c>
      <c r="AK87">
        <v>6066.68</v>
      </c>
      <c r="AL87" t="s">
        <v>259</v>
      </c>
      <c r="AM87" t="s">
        <v>260</v>
      </c>
      <c r="AN87">
        <v>1400</v>
      </c>
      <c r="AO87">
        <v>0</v>
      </c>
      <c r="AP87">
        <v>35</v>
      </c>
      <c r="AQ87">
        <v>85</v>
      </c>
      <c r="AR87">
        <v>35</v>
      </c>
      <c r="AS87">
        <v>2</v>
      </c>
      <c r="AT87">
        <v>23</v>
      </c>
      <c r="AU87">
        <v>1</v>
      </c>
      <c r="AV87">
        <v>0</v>
      </c>
      <c r="AW87">
        <v>10</v>
      </c>
      <c r="AX87">
        <v>1</v>
      </c>
      <c r="AY87">
        <v>10</v>
      </c>
      <c r="AZ87">
        <v>5</v>
      </c>
      <c r="BA87">
        <v>1</v>
      </c>
      <c r="BB87">
        <v>1440</v>
      </c>
      <c r="BC87">
        <v>0</v>
      </c>
      <c r="BD87">
        <v>0</v>
      </c>
      <c r="BE87">
        <v>14</v>
      </c>
      <c r="BF87">
        <v>25</v>
      </c>
      <c r="BG87">
        <v>3</v>
      </c>
      <c r="BH87">
        <v>8</v>
      </c>
      <c r="BI87">
        <v>3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0</v>
      </c>
      <c r="BQ87">
        <v>60</v>
      </c>
      <c r="BR87">
        <v>0</v>
      </c>
      <c r="BS87">
        <v>3</v>
      </c>
      <c r="BT87" t="s">
        <v>243</v>
      </c>
      <c r="BU87" t="s">
        <v>261</v>
      </c>
      <c r="BV87" t="b">
        <v>0</v>
      </c>
      <c r="BW87" t="s">
        <v>262</v>
      </c>
    </row>
    <row r="88" spans="1:75">
      <c r="A88" t="s">
        <v>243</v>
      </c>
      <c r="B88" t="s">
        <v>252</v>
      </c>
      <c r="C88">
        <v>1000</v>
      </c>
      <c r="D88" t="s">
        <v>253</v>
      </c>
      <c r="E88" t="s">
        <v>254</v>
      </c>
      <c r="F88">
        <v>5</v>
      </c>
      <c r="G88" s="13">
        <v>46265.125474537039</v>
      </c>
      <c r="H88" s="13">
        <v>46265.125543981485</v>
      </c>
      <c r="I88">
        <v>6</v>
      </c>
      <c r="J88" t="s">
        <v>255</v>
      </c>
      <c r="K88">
        <v>1</v>
      </c>
      <c r="L88">
        <v>0.04</v>
      </c>
      <c r="M88">
        <v>0.04</v>
      </c>
      <c r="N88">
        <v>1</v>
      </c>
      <c r="O88">
        <v>0.04</v>
      </c>
      <c r="P88">
        <v>1.52</v>
      </c>
      <c r="Q88">
        <v>4.4800000000000004</v>
      </c>
      <c r="R88">
        <v>4.4800000000000004</v>
      </c>
      <c r="S88" t="s">
        <v>256</v>
      </c>
      <c r="T88" t="s">
        <v>257</v>
      </c>
      <c r="U88">
        <v>10</v>
      </c>
      <c r="V88">
        <v>7063.42</v>
      </c>
      <c r="W88">
        <v>4999.3599999999997</v>
      </c>
      <c r="X88">
        <v>4998.4799999999996</v>
      </c>
      <c r="Y88">
        <v>0</v>
      </c>
      <c r="Z88">
        <v>0</v>
      </c>
      <c r="AA88">
        <v>35</v>
      </c>
      <c r="AB88">
        <v>50</v>
      </c>
      <c r="AC88">
        <v>5000</v>
      </c>
      <c r="AD88">
        <v>0</v>
      </c>
      <c r="AE88">
        <v>0</v>
      </c>
      <c r="AF88">
        <v>7067.06</v>
      </c>
      <c r="AG88">
        <v>7067.06</v>
      </c>
      <c r="AH88" s="14">
        <v>46265</v>
      </c>
      <c r="AI88" t="s">
        <v>258</v>
      </c>
      <c r="AJ88" s="13">
        <v>46262.213402777779</v>
      </c>
      <c r="AK88">
        <v>6066.68</v>
      </c>
      <c r="AL88" t="s">
        <v>259</v>
      </c>
      <c r="AM88" t="s">
        <v>260</v>
      </c>
      <c r="AN88">
        <v>1400</v>
      </c>
      <c r="AO88">
        <v>0</v>
      </c>
      <c r="AP88">
        <v>35</v>
      </c>
      <c r="AQ88">
        <v>85</v>
      </c>
      <c r="AR88">
        <v>35</v>
      </c>
      <c r="AS88">
        <v>2</v>
      </c>
      <c r="AT88">
        <v>23</v>
      </c>
      <c r="AU88">
        <v>1</v>
      </c>
      <c r="AV88">
        <v>0</v>
      </c>
      <c r="AW88">
        <v>10</v>
      </c>
      <c r="AX88">
        <v>1</v>
      </c>
      <c r="AY88">
        <v>10</v>
      </c>
      <c r="AZ88">
        <v>5</v>
      </c>
      <c r="BA88">
        <v>1</v>
      </c>
      <c r="BB88">
        <v>1440</v>
      </c>
      <c r="BC88">
        <v>0</v>
      </c>
      <c r="BD88">
        <v>0</v>
      </c>
      <c r="BE88">
        <v>14</v>
      </c>
      <c r="BF88">
        <v>25</v>
      </c>
      <c r="BG88">
        <v>3</v>
      </c>
      <c r="BH88">
        <v>8</v>
      </c>
      <c r="BI88">
        <v>3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0</v>
      </c>
      <c r="BQ88">
        <v>60</v>
      </c>
      <c r="BR88">
        <v>0</v>
      </c>
      <c r="BS88">
        <v>3</v>
      </c>
      <c r="BT88" t="s">
        <v>243</v>
      </c>
      <c r="BU88" t="s">
        <v>261</v>
      </c>
      <c r="BV88" t="b">
        <v>0</v>
      </c>
      <c r="BW88" t="s">
        <v>262</v>
      </c>
    </row>
    <row r="89" spans="1:75">
      <c r="A89" t="s">
        <v>243</v>
      </c>
      <c r="B89" t="s">
        <v>252</v>
      </c>
      <c r="C89">
        <v>1001</v>
      </c>
      <c r="D89" t="s">
        <v>253</v>
      </c>
      <c r="E89" t="s">
        <v>254</v>
      </c>
      <c r="F89">
        <v>5</v>
      </c>
      <c r="G89" s="13">
        <v>46265.129027777781</v>
      </c>
      <c r="H89" s="13">
        <v>46265.129652777781</v>
      </c>
      <c r="I89">
        <v>54</v>
      </c>
      <c r="J89" t="s">
        <v>255</v>
      </c>
      <c r="K89">
        <v>1</v>
      </c>
      <c r="L89">
        <v>0.04</v>
      </c>
      <c r="M89">
        <v>0.04</v>
      </c>
      <c r="N89">
        <v>1</v>
      </c>
      <c r="O89">
        <v>0.04</v>
      </c>
      <c r="P89">
        <v>7.92</v>
      </c>
      <c r="Q89">
        <v>3.28</v>
      </c>
      <c r="R89">
        <v>3.16</v>
      </c>
      <c r="S89" t="s">
        <v>256</v>
      </c>
      <c r="T89" t="s">
        <v>257</v>
      </c>
      <c r="U89">
        <v>11</v>
      </c>
      <c r="V89">
        <v>7066.42</v>
      </c>
      <c r="W89">
        <v>4999.3599999999997</v>
      </c>
      <c r="X89">
        <v>4992.08</v>
      </c>
      <c r="Y89">
        <v>0</v>
      </c>
      <c r="Z89">
        <v>0</v>
      </c>
      <c r="AA89">
        <v>35</v>
      </c>
      <c r="AB89">
        <v>50</v>
      </c>
      <c r="AC89">
        <v>5000</v>
      </c>
      <c r="AD89">
        <v>0</v>
      </c>
      <c r="AE89">
        <v>0</v>
      </c>
      <c r="AF89">
        <v>7068.94</v>
      </c>
      <c r="AG89">
        <v>7068.94</v>
      </c>
      <c r="AH89" s="14">
        <v>46265</v>
      </c>
      <c r="AI89" t="s">
        <v>258</v>
      </c>
      <c r="AJ89" s="13">
        <v>46262.213402777779</v>
      </c>
      <c r="AK89">
        <v>6066.68</v>
      </c>
      <c r="AL89" t="s">
        <v>259</v>
      </c>
      <c r="AM89" t="s">
        <v>260</v>
      </c>
      <c r="AN89">
        <v>1400</v>
      </c>
      <c r="AO89">
        <v>0</v>
      </c>
      <c r="AP89">
        <v>35</v>
      </c>
      <c r="AQ89">
        <v>85</v>
      </c>
      <c r="AR89">
        <v>35</v>
      </c>
      <c r="AS89">
        <v>2</v>
      </c>
      <c r="AT89">
        <v>23</v>
      </c>
      <c r="AU89">
        <v>1</v>
      </c>
      <c r="AV89">
        <v>0</v>
      </c>
      <c r="AW89">
        <v>10</v>
      </c>
      <c r="AX89">
        <v>1</v>
      </c>
      <c r="AY89">
        <v>10</v>
      </c>
      <c r="AZ89">
        <v>5</v>
      </c>
      <c r="BA89">
        <v>1</v>
      </c>
      <c r="BB89">
        <v>1440</v>
      </c>
      <c r="BC89">
        <v>0</v>
      </c>
      <c r="BD89">
        <v>0</v>
      </c>
      <c r="BE89">
        <v>14</v>
      </c>
      <c r="BF89">
        <v>25</v>
      </c>
      <c r="BG89">
        <v>3</v>
      </c>
      <c r="BH89">
        <v>8</v>
      </c>
      <c r="BI89">
        <v>3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60</v>
      </c>
      <c r="BR89">
        <v>0</v>
      </c>
      <c r="BS89">
        <v>3</v>
      </c>
      <c r="BT89" t="s">
        <v>243</v>
      </c>
      <c r="BU89" t="s">
        <v>261</v>
      </c>
      <c r="BV89" t="b">
        <v>0</v>
      </c>
      <c r="BW89" t="s">
        <v>262</v>
      </c>
    </row>
    <row r="90" spans="1:75">
      <c r="A90" t="s">
        <v>243</v>
      </c>
      <c r="B90" t="s">
        <v>252</v>
      </c>
      <c r="C90">
        <v>1003</v>
      </c>
      <c r="D90" t="s">
        <v>253</v>
      </c>
      <c r="E90" t="s">
        <v>254</v>
      </c>
      <c r="F90">
        <v>5</v>
      </c>
      <c r="G90" s="13">
        <v>46265.136296296296</v>
      </c>
      <c r="H90" s="13">
        <v>46265.146238425928</v>
      </c>
      <c r="I90">
        <v>859</v>
      </c>
      <c r="J90" t="s">
        <v>255</v>
      </c>
      <c r="K90">
        <v>3</v>
      </c>
      <c r="L90">
        <v>0.12</v>
      </c>
      <c r="M90">
        <v>0.04</v>
      </c>
      <c r="N90">
        <v>3</v>
      </c>
      <c r="O90">
        <v>0.12</v>
      </c>
      <c r="P90">
        <v>72.400000000000006</v>
      </c>
      <c r="Q90">
        <v>12.92</v>
      </c>
      <c r="R90">
        <v>7.52</v>
      </c>
      <c r="S90" t="s">
        <v>263</v>
      </c>
      <c r="T90" t="s">
        <v>257</v>
      </c>
      <c r="U90">
        <v>10</v>
      </c>
      <c r="V90">
        <v>7070.18</v>
      </c>
      <c r="W90">
        <v>4999.32</v>
      </c>
      <c r="X90">
        <v>4927.6000000000004</v>
      </c>
      <c r="Y90">
        <v>0</v>
      </c>
      <c r="Z90">
        <v>0</v>
      </c>
      <c r="AA90">
        <v>35</v>
      </c>
      <c r="AB90">
        <v>50</v>
      </c>
      <c r="AC90">
        <v>5000</v>
      </c>
      <c r="AD90">
        <v>0</v>
      </c>
      <c r="AE90">
        <v>0</v>
      </c>
      <c r="AF90">
        <v>7078.26</v>
      </c>
      <c r="AG90">
        <v>7078.26</v>
      </c>
      <c r="AH90" s="14">
        <v>46265</v>
      </c>
      <c r="AI90" t="s">
        <v>258</v>
      </c>
      <c r="AJ90" s="13">
        <v>46262.213402777779</v>
      </c>
      <c r="AK90">
        <v>6066.68</v>
      </c>
      <c r="AL90" t="s">
        <v>259</v>
      </c>
      <c r="AM90" t="s">
        <v>260</v>
      </c>
      <c r="AN90">
        <v>1400</v>
      </c>
      <c r="AO90">
        <v>0</v>
      </c>
      <c r="AP90">
        <v>35</v>
      </c>
      <c r="AQ90">
        <v>85</v>
      </c>
      <c r="AR90">
        <v>35</v>
      </c>
      <c r="AS90">
        <v>2</v>
      </c>
      <c r="AT90">
        <v>23</v>
      </c>
      <c r="AU90">
        <v>1</v>
      </c>
      <c r="AV90">
        <v>0</v>
      </c>
      <c r="AW90">
        <v>10</v>
      </c>
      <c r="AX90">
        <v>1</v>
      </c>
      <c r="AY90">
        <v>10</v>
      </c>
      <c r="AZ90">
        <v>5</v>
      </c>
      <c r="BA90">
        <v>1</v>
      </c>
      <c r="BB90">
        <v>1440</v>
      </c>
      <c r="BC90">
        <v>0</v>
      </c>
      <c r="BD90">
        <v>0</v>
      </c>
      <c r="BE90">
        <v>14</v>
      </c>
      <c r="BF90">
        <v>25</v>
      </c>
      <c r="BG90">
        <v>3</v>
      </c>
      <c r="BH90">
        <v>8</v>
      </c>
      <c r="BI90">
        <v>3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0</v>
      </c>
      <c r="BQ90">
        <v>60</v>
      </c>
      <c r="BR90">
        <v>0</v>
      </c>
      <c r="BS90">
        <v>3</v>
      </c>
      <c r="BT90" t="s">
        <v>243</v>
      </c>
      <c r="BU90" t="s">
        <v>261</v>
      </c>
      <c r="BV90" t="b">
        <v>0</v>
      </c>
      <c r="BW90" t="s">
        <v>262</v>
      </c>
    </row>
    <row r="91" spans="1:75">
      <c r="A91" t="s">
        <v>243</v>
      </c>
      <c r="B91" t="s">
        <v>252</v>
      </c>
      <c r="C91">
        <v>1004</v>
      </c>
      <c r="D91" t="s">
        <v>253</v>
      </c>
      <c r="E91" t="s">
        <v>254</v>
      </c>
      <c r="F91">
        <v>5</v>
      </c>
      <c r="G91" s="13">
        <v>46265.149583333332</v>
      </c>
      <c r="H91" s="13">
        <v>46265.149768518517</v>
      </c>
      <c r="I91">
        <v>16</v>
      </c>
      <c r="J91" t="s">
        <v>255</v>
      </c>
      <c r="K91">
        <v>1</v>
      </c>
      <c r="L91">
        <v>0.04</v>
      </c>
      <c r="M91">
        <v>0.04</v>
      </c>
      <c r="N91">
        <v>1</v>
      </c>
      <c r="O91">
        <v>0.04</v>
      </c>
      <c r="P91">
        <v>0.92</v>
      </c>
      <c r="Q91">
        <v>4.4000000000000004</v>
      </c>
      <c r="R91">
        <v>3.92</v>
      </c>
      <c r="S91" t="s">
        <v>256</v>
      </c>
      <c r="T91" t="s">
        <v>257</v>
      </c>
      <c r="U91">
        <v>10</v>
      </c>
      <c r="V91">
        <v>7077.58</v>
      </c>
      <c r="W91">
        <v>4999.32</v>
      </c>
      <c r="X91">
        <v>4999.08</v>
      </c>
      <c r="Y91">
        <v>0</v>
      </c>
      <c r="Z91">
        <v>0</v>
      </c>
      <c r="AA91">
        <v>35</v>
      </c>
      <c r="AB91">
        <v>50</v>
      </c>
      <c r="AC91">
        <v>5000</v>
      </c>
      <c r="AD91">
        <v>0</v>
      </c>
      <c r="AE91">
        <v>0</v>
      </c>
      <c r="AF91">
        <v>7081.26</v>
      </c>
      <c r="AG91">
        <v>7081.26</v>
      </c>
      <c r="AH91" s="14">
        <v>46265</v>
      </c>
      <c r="AI91" t="s">
        <v>258</v>
      </c>
      <c r="AJ91" s="13">
        <v>46262.213402777779</v>
      </c>
      <c r="AK91">
        <v>6066.68</v>
      </c>
      <c r="AL91" t="s">
        <v>259</v>
      </c>
      <c r="AM91" t="s">
        <v>260</v>
      </c>
      <c r="AN91">
        <v>1400</v>
      </c>
      <c r="AO91">
        <v>0</v>
      </c>
      <c r="AP91">
        <v>35</v>
      </c>
      <c r="AQ91">
        <v>85</v>
      </c>
      <c r="AR91">
        <v>35</v>
      </c>
      <c r="AS91">
        <v>2</v>
      </c>
      <c r="AT91">
        <v>23</v>
      </c>
      <c r="AU91">
        <v>1</v>
      </c>
      <c r="AV91">
        <v>0</v>
      </c>
      <c r="AW91">
        <v>10</v>
      </c>
      <c r="AX91">
        <v>1</v>
      </c>
      <c r="AY91">
        <v>10</v>
      </c>
      <c r="AZ91">
        <v>5</v>
      </c>
      <c r="BA91">
        <v>1</v>
      </c>
      <c r="BB91">
        <v>1440</v>
      </c>
      <c r="BC91">
        <v>0</v>
      </c>
      <c r="BD91">
        <v>0</v>
      </c>
      <c r="BE91">
        <v>14</v>
      </c>
      <c r="BF91">
        <v>25</v>
      </c>
      <c r="BG91">
        <v>3</v>
      </c>
      <c r="BH91">
        <v>8</v>
      </c>
      <c r="BI91">
        <v>3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0</v>
      </c>
      <c r="BQ91">
        <v>60</v>
      </c>
      <c r="BR91">
        <v>0</v>
      </c>
      <c r="BS91">
        <v>3</v>
      </c>
      <c r="BT91" t="s">
        <v>243</v>
      </c>
      <c r="BU91" t="s">
        <v>261</v>
      </c>
      <c r="BV91" t="b">
        <v>0</v>
      </c>
      <c r="BW91" t="s">
        <v>262</v>
      </c>
    </row>
    <row r="92" spans="1:75">
      <c r="A92" t="s">
        <v>243</v>
      </c>
      <c r="B92" t="s">
        <v>252</v>
      </c>
      <c r="C92">
        <v>1005</v>
      </c>
      <c r="D92" t="s">
        <v>253</v>
      </c>
      <c r="E92" t="s">
        <v>254</v>
      </c>
      <c r="F92">
        <v>5</v>
      </c>
      <c r="G92" s="13">
        <v>46265.153645833336</v>
      </c>
      <c r="H92" s="13">
        <v>46265.15421296296</v>
      </c>
      <c r="I92">
        <v>49</v>
      </c>
      <c r="J92" t="s">
        <v>264</v>
      </c>
      <c r="K92">
        <v>1</v>
      </c>
      <c r="L92">
        <v>0.04</v>
      </c>
      <c r="M92">
        <v>0.04</v>
      </c>
      <c r="N92">
        <v>1</v>
      </c>
      <c r="O92">
        <v>0.04</v>
      </c>
      <c r="P92">
        <v>5.92</v>
      </c>
      <c r="Q92">
        <v>3.72</v>
      </c>
      <c r="R92">
        <v>3.72</v>
      </c>
      <c r="S92" t="s">
        <v>256</v>
      </c>
      <c r="T92" t="s">
        <v>257</v>
      </c>
      <c r="U92">
        <v>15</v>
      </c>
      <c r="V92">
        <v>7080.42</v>
      </c>
      <c r="W92">
        <v>4999.16</v>
      </c>
      <c r="X92">
        <v>4994.08</v>
      </c>
      <c r="Y92">
        <v>0</v>
      </c>
      <c r="Z92">
        <v>0</v>
      </c>
      <c r="AA92">
        <v>35</v>
      </c>
      <c r="AB92">
        <v>50</v>
      </c>
      <c r="AC92">
        <v>5000</v>
      </c>
      <c r="AD92">
        <v>0</v>
      </c>
      <c r="AE92">
        <v>0</v>
      </c>
      <c r="AF92">
        <v>7083.54</v>
      </c>
      <c r="AG92">
        <v>7083.54</v>
      </c>
      <c r="AH92" s="14">
        <v>46265</v>
      </c>
      <c r="AI92" t="s">
        <v>258</v>
      </c>
      <c r="AJ92" s="13">
        <v>46262.213402777779</v>
      </c>
      <c r="AK92">
        <v>6066.68</v>
      </c>
      <c r="AL92" t="s">
        <v>259</v>
      </c>
      <c r="AM92" t="s">
        <v>260</v>
      </c>
      <c r="AN92">
        <v>1400</v>
      </c>
      <c r="AO92">
        <v>0</v>
      </c>
      <c r="AP92">
        <v>35</v>
      </c>
      <c r="AQ92">
        <v>85</v>
      </c>
      <c r="AR92">
        <v>35</v>
      </c>
      <c r="AS92">
        <v>2</v>
      </c>
      <c r="AT92">
        <v>23</v>
      </c>
      <c r="AU92">
        <v>1</v>
      </c>
      <c r="AV92">
        <v>0</v>
      </c>
      <c r="AW92">
        <v>10</v>
      </c>
      <c r="AX92">
        <v>1</v>
      </c>
      <c r="AY92">
        <v>10</v>
      </c>
      <c r="AZ92">
        <v>5</v>
      </c>
      <c r="BA92">
        <v>1</v>
      </c>
      <c r="BB92">
        <v>1440</v>
      </c>
      <c r="BC92">
        <v>0</v>
      </c>
      <c r="BD92">
        <v>0</v>
      </c>
      <c r="BE92">
        <v>14</v>
      </c>
      <c r="BF92">
        <v>25</v>
      </c>
      <c r="BG92">
        <v>3</v>
      </c>
      <c r="BH92">
        <v>8</v>
      </c>
      <c r="BI92">
        <v>3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0</v>
      </c>
      <c r="BQ92">
        <v>60</v>
      </c>
      <c r="BR92">
        <v>0</v>
      </c>
      <c r="BS92">
        <v>3</v>
      </c>
      <c r="BT92" t="s">
        <v>243</v>
      </c>
      <c r="BU92" t="s">
        <v>261</v>
      </c>
      <c r="BV92" t="b">
        <v>0</v>
      </c>
      <c r="BW92" t="s">
        <v>262</v>
      </c>
    </row>
    <row r="93" spans="1:75">
      <c r="A93" t="s">
        <v>243</v>
      </c>
      <c r="B93" t="s">
        <v>252</v>
      </c>
      <c r="C93">
        <v>1006</v>
      </c>
      <c r="D93" t="s">
        <v>253</v>
      </c>
      <c r="E93" t="s">
        <v>254</v>
      </c>
      <c r="F93">
        <v>5</v>
      </c>
      <c r="G93" s="13">
        <v>46265.157013888886</v>
      </c>
      <c r="H93" s="13">
        <v>46265.18246527778</v>
      </c>
      <c r="I93">
        <v>2199</v>
      </c>
      <c r="J93" t="s">
        <v>255</v>
      </c>
      <c r="K93">
        <v>7</v>
      </c>
      <c r="L93">
        <v>0.28000000000000003</v>
      </c>
      <c r="M93">
        <v>0.04</v>
      </c>
      <c r="N93">
        <v>7</v>
      </c>
      <c r="O93">
        <v>0.28000000000000003</v>
      </c>
      <c r="P93">
        <v>368.16</v>
      </c>
      <c r="Q93">
        <v>37.76</v>
      </c>
      <c r="R93">
        <v>30.2</v>
      </c>
      <c r="S93" t="s">
        <v>263</v>
      </c>
      <c r="T93" t="s">
        <v>257</v>
      </c>
      <c r="U93">
        <v>10</v>
      </c>
      <c r="V93">
        <v>7083.02</v>
      </c>
      <c r="W93">
        <v>4999.4799999999996</v>
      </c>
      <c r="X93">
        <v>4631.84</v>
      </c>
      <c r="Y93">
        <v>0</v>
      </c>
      <c r="Z93">
        <v>0</v>
      </c>
      <c r="AA93">
        <v>35</v>
      </c>
      <c r="AB93">
        <v>50</v>
      </c>
      <c r="AC93">
        <v>5000</v>
      </c>
      <c r="AD93">
        <v>0</v>
      </c>
      <c r="AE93">
        <v>0</v>
      </c>
      <c r="AF93">
        <v>7114.94</v>
      </c>
      <c r="AG93">
        <v>7114.94</v>
      </c>
      <c r="AH93" s="14">
        <v>46265</v>
      </c>
      <c r="AI93" t="s">
        <v>258</v>
      </c>
      <c r="AJ93" s="13">
        <v>46262.213402777779</v>
      </c>
      <c r="AK93">
        <v>6066.68</v>
      </c>
      <c r="AL93" t="s">
        <v>259</v>
      </c>
      <c r="AM93" t="s">
        <v>260</v>
      </c>
      <c r="AN93">
        <v>1400</v>
      </c>
      <c r="AO93">
        <v>0</v>
      </c>
      <c r="AP93">
        <v>35</v>
      </c>
      <c r="AQ93">
        <v>85</v>
      </c>
      <c r="AR93">
        <v>35</v>
      </c>
      <c r="AS93">
        <v>2</v>
      </c>
      <c r="AT93">
        <v>23</v>
      </c>
      <c r="AU93">
        <v>1</v>
      </c>
      <c r="AV93">
        <v>0</v>
      </c>
      <c r="AW93">
        <v>10</v>
      </c>
      <c r="AX93">
        <v>1</v>
      </c>
      <c r="AY93">
        <v>10</v>
      </c>
      <c r="AZ93">
        <v>5</v>
      </c>
      <c r="BA93">
        <v>1</v>
      </c>
      <c r="BB93">
        <v>1440</v>
      </c>
      <c r="BC93">
        <v>0</v>
      </c>
      <c r="BD93">
        <v>0</v>
      </c>
      <c r="BE93">
        <v>14</v>
      </c>
      <c r="BF93">
        <v>25</v>
      </c>
      <c r="BG93">
        <v>3</v>
      </c>
      <c r="BH93">
        <v>8</v>
      </c>
      <c r="BI93">
        <v>3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60</v>
      </c>
      <c r="BR93">
        <v>0</v>
      </c>
      <c r="BS93">
        <v>3</v>
      </c>
      <c r="BT93" t="s">
        <v>243</v>
      </c>
      <c r="BU93" t="s">
        <v>261</v>
      </c>
      <c r="BV93" t="b">
        <v>0</v>
      </c>
      <c r="BW93" t="s">
        <v>262</v>
      </c>
    </row>
    <row r="94" spans="1:75">
      <c r="A94" t="s">
        <v>243</v>
      </c>
      <c r="B94" t="s">
        <v>252</v>
      </c>
      <c r="C94">
        <v>1007</v>
      </c>
      <c r="D94" t="s">
        <v>253</v>
      </c>
      <c r="E94" t="s">
        <v>254</v>
      </c>
      <c r="F94">
        <v>5</v>
      </c>
      <c r="G94" s="13">
        <v>46265.184166666666</v>
      </c>
      <c r="H94" s="13">
        <v>46265.185324074075</v>
      </c>
      <c r="I94">
        <v>100</v>
      </c>
      <c r="J94" t="s">
        <v>264</v>
      </c>
      <c r="K94">
        <v>1</v>
      </c>
      <c r="L94">
        <v>0.04</v>
      </c>
      <c r="M94">
        <v>0.04</v>
      </c>
      <c r="N94">
        <v>1</v>
      </c>
      <c r="O94">
        <v>0.04</v>
      </c>
      <c r="P94">
        <v>16.399999999999999</v>
      </c>
      <c r="Q94">
        <v>6.08</v>
      </c>
      <c r="R94">
        <v>6.04</v>
      </c>
      <c r="S94" t="s">
        <v>256</v>
      </c>
      <c r="T94" t="s">
        <v>257</v>
      </c>
      <c r="U94">
        <v>10</v>
      </c>
      <c r="V94">
        <v>7114.26</v>
      </c>
      <c r="W94">
        <v>4999.32</v>
      </c>
      <c r="X94">
        <v>4983.6000000000004</v>
      </c>
      <c r="Y94">
        <v>0</v>
      </c>
      <c r="Z94">
        <v>0</v>
      </c>
      <c r="AA94">
        <v>35</v>
      </c>
      <c r="AB94">
        <v>50</v>
      </c>
      <c r="AC94">
        <v>5000</v>
      </c>
      <c r="AD94">
        <v>0</v>
      </c>
      <c r="AE94">
        <v>0</v>
      </c>
      <c r="AF94">
        <v>7119.58</v>
      </c>
      <c r="AG94">
        <v>7119.58</v>
      </c>
      <c r="AH94" s="14">
        <v>46265</v>
      </c>
      <c r="AI94" t="s">
        <v>258</v>
      </c>
      <c r="AJ94" s="13">
        <v>46262.213402777779</v>
      </c>
      <c r="AK94">
        <v>6066.68</v>
      </c>
      <c r="AL94" t="s">
        <v>259</v>
      </c>
      <c r="AM94" t="s">
        <v>260</v>
      </c>
      <c r="AN94">
        <v>1400</v>
      </c>
      <c r="AO94">
        <v>0</v>
      </c>
      <c r="AP94">
        <v>35</v>
      </c>
      <c r="AQ94">
        <v>85</v>
      </c>
      <c r="AR94">
        <v>35</v>
      </c>
      <c r="AS94">
        <v>2</v>
      </c>
      <c r="AT94">
        <v>23</v>
      </c>
      <c r="AU94">
        <v>1</v>
      </c>
      <c r="AV94">
        <v>0</v>
      </c>
      <c r="AW94">
        <v>10</v>
      </c>
      <c r="AX94">
        <v>1</v>
      </c>
      <c r="AY94">
        <v>10</v>
      </c>
      <c r="AZ94">
        <v>5</v>
      </c>
      <c r="BA94">
        <v>1</v>
      </c>
      <c r="BB94">
        <v>1440</v>
      </c>
      <c r="BC94">
        <v>0</v>
      </c>
      <c r="BD94">
        <v>0</v>
      </c>
      <c r="BE94">
        <v>14</v>
      </c>
      <c r="BF94">
        <v>25</v>
      </c>
      <c r="BG94">
        <v>3</v>
      </c>
      <c r="BH94">
        <v>8</v>
      </c>
      <c r="BI94">
        <v>3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0</v>
      </c>
      <c r="BQ94">
        <v>60</v>
      </c>
      <c r="BR94">
        <v>0</v>
      </c>
      <c r="BS94">
        <v>3</v>
      </c>
      <c r="BT94" t="s">
        <v>243</v>
      </c>
      <c r="BU94" t="s">
        <v>261</v>
      </c>
      <c r="BV94" t="b">
        <v>0</v>
      </c>
      <c r="BW94" t="s">
        <v>262</v>
      </c>
    </row>
    <row r="95" spans="1:75">
      <c r="A95" t="s">
        <v>243</v>
      </c>
      <c r="B95" t="s">
        <v>252</v>
      </c>
      <c r="C95">
        <v>1008</v>
      </c>
      <c r="D95" t="s">
        <v>253</v>
      </c>
      <c r="E95" t="s">
        <v>254</v>
      </c>
      <c r="F95">
        <v>5</v>
      </c>
      <c r="G95" s="13">
        <v>46265.188009259262</v>
      </c>
      <c r="H95" s="13">
        <v>46265.188356481478</v>
      </c>
      <c r="I95">
        <v>30</v>
      </c>
      <c r="J95" t="s">
        <v>255</v>
      </c>
      <c r="K95">
        <v>1</v>
      </c>
      <c r="L95">
        <v>0.04</v>
      </c>
      <c r="M95">
        <v>0.04</v>
      </c>
      <c r="N95">
        <v>1</v>
      </c>
      <c r="O95">
        <v>0.04</v>
      </c>
      <c r="P95">
        <v>6.24</v>
      </c>
      <c r="Q95">
        <v>3.4</v>
      </c>
      <c r="R95">
        <v>2.56</v>
      </c>
      <c r="S95" t="s">
        <v>256</v>
      </c>
      <c r="T95" t="s">
        <v>257</v>
      </c>
      <c r="U95">
        <v>10</v>
      </c>
      <c r="V95">
        <v>7118.94</v>
      </c>
      <c r="W95">
        <v>4999.3599999999997</v>
      </c>
      <c r="X95">
        <v>4993.76</v>
      </c>
      <c r="Y95">
        <v>0</v>
      </c>
      <c r="Z95">
        <v>0</v>
      </c>
      <c r="AA95">
        <v>35</v>
      </c>
      <c r="AB95">
        <v>50</v>
      </c>
      <c r="AC95">
        <v>5000</v>
      </c>
      <c r="AD95">
        <v>0</v>
      </c>
      <c r="AE95">
        <v>0</v>
      </c>
      <c r="AF95">
        <v>7121.58</v>
      </c>
      <c r="AG95">
        <v>7121.58</v>
      </c>
      <c r="AH95" s="14">
        <v>46265</v>
      </c>
      <c r="AI95" t="s">
        <v>258</v>
      </c>
      <c r="AJ95" s="13">
        <v>46262.213402777779</v>
      </c>
      <c r="AK95">
        <v>6066.68</v>
      </c>
      <c r="AL95" t="s">
        <v>259</v>
      </c>
      <c r="AM95" t="s">
        <v>260</v>
      </c>
      <c r="AN95">
        <v>1400</v>
      </c>
      <c r="AO95">
        <v>0</v>
      </c>
      <c r="AP95">
        <v>35</v>
      </c>
      <c r="AQ95">
        <v>85</v>
      </c>
      <c r="AR95">
        <v>35</v>
      </c>
      <c r="AS95">
        <v>2</v>
      </c>
      <c r="AT95">
        <v>23</v>
      </c>
      <c r="AU95">
        <v>1</v>
      </c>
      <c r="AV95">
        <v>0</v>
      </c>
      <c r="AW95">
        <v>10</v>
      </c>
      <c r="AX95">
        <v>1</v>
      </c>
      <c r="AY95">
        <v>10</v>
      </c>
      <c r="AZ95">
        <v>5</v>
      </c>
      <c r="BA95">
        <v>1</v>
      </c>
      <c r="BB95">
        <v>1440</v>
      </c>
      <c r="BC95">
        <v>0</v>
      </c>
      <c r="BD95">
        <v>0</v>
      </c>
      <c r="BE95">
        <v>14</v>
      </c>
      <c r="BF95">
        <v>25</v>
      </c>
      <c r="BG95">
        <v>3</v>
      </c>
      <c r="BH95">
        <v>8</v>
      </c>
      <c r="BI95">
        <v>3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0</v>
      </c>
      <c r="BQ95">
        <v>60</v>
      </c>
      <c r="BR95">
        <v>0</v>
      </c>
      <c r="BS95">
        <v>3</v>
      </c>
      <c r="BT95" t="s">
        <v>243</v>
      </c>
      <c r="BU95" t="s">
        <v>261</v>
      </c>
      <c r="BV95" t="b">
        <v>0</v>
      </c>
      <c r="BW95" t="s">
        <v>262</v>
      </c>
    </row>
    <row r="96" spans="1:75">
      <c r="A96" t="s">
        <v>243</v>
      </c>
      <c r="B96" t="s">
        <v>252</v>
      </c>
      <c r="C96">
        <v>1009</v>
      </c>
      <c r="D96" t="s">
        <v>253</v>
      </c>
      <c r="E96" t="s">
        <v>254</v>
      </c>
      <c r="F96">
        <v>5</v>
      </c>
      <c r="G96" s="13">
        <v>46265.191145833334</v>
      </c>
      <c r="H96" s="13">
        <v>46265.192743055559</v>
      </c>
      <c r="I96">
        <v>138</v>
      </c>
      <c r="J96" t="s">
        <v>255</v>
      </c>
      <c r="K96">
        <v>1</v>
      </c>
      <c r="L96">
        <v>0.04</v>
      </c>
      <c r="M96">
        <v>0.04</v>
      </c>
      <c r="N96">
        <v>1</v>
      </c>
      <c r="O96">
        <v>0.04</v>
      </c>
      <c r="P96">
        <v>17.600000000000001</v>
      </c>
      <c r="Q96">
        <v>4.4400000000000004</v>
      </c>
      <c r="R96">
        <v>4.4400000000000004</v>
      </c>
      <c r="S96" t="s">
        <v>256</v>
      </c>
      <c r="T96" t="s">
        <v>257</v>
      </c>
      <c r="U96">
        <v>10</v>
      </c>
      <c r="V96">
        <v>7120.94</v>
      </c>
      <c r="W96">
        <v>4999.3599999999997</v>
      </c>
      <c r="X96">
        <v>4982.3999999999996</v>
      </c>
      <c r="Y96">
        <v>0</v>
      </c>
      <c r="Z96">
        <v>0</v>
      </c>
      <c r="AA96">
        <v>35</v>
      </c>
      <c r="AB96">
        <v>50</v>
      </c>
      <c r="AC96">
        <v>5000</v>
      </c>
      <c r="AD96">
        <v>0</v>
      </c>
      <c r="AE96">
        <v>0</v>
      </c>
      <c r="AF96">
        <v>7124.62</v>
      </c>
      <c r="AG96">
        <v>7124.62</v>
      </c>
      <c r="AH96" s="14">
        <v>46265</v>
      </c>
      <c r="AI96" t="s">
        <v>258</v>
      </c>
      <c r="AJ96" s="13">
        <v>46262.213402777779</v>
      </c>
      <c r="AK96">
        <v>6066.68</v>
      </c>
      <c r="AL96" t="s">
        <v>259</v>
      </c>
      <c r="AM96" t="s">
        <v>260</v>
      </c>
      <c r="AN96">
        <v>1400</v>
      </c>
      <c r="AO96">
        <v>0</v>
      </c>
      <c r="AP96">
        <v>35</v>
      </c>
      <c r="AQ96">
        <v>85</v>
      </c>
      <c r="AR96">
        <v>35</v>
      </c>
      <c r="AS96">
        <v>2</v>
      </c>
      <c r="AT96">
        <v>23</v>
      </c>
      <c r="AU96">
        <v>1</v>
      </c>
      <c r="AV96">
        <v>0</v>
      </c>
      <c r="AW96">
        <v>10</v>
      </c>
      <c r="AX96">
        <v>1</v>
      </c>
      <c r="AY96">
        <v>10</v>
      </c>
      <c r="AZ96">
        <v>5</v>
      </c>
      <c r="BA96">
        <v>1</v>
      </c>
      <c r="BB96">
        <v>1440</v>
      </c>
      <c r="BC96">
        <v>0</v>
      </c>
      <c r="BD96">
        <v>0</v>
      </c>
      <c r="BE96">
        <v>14</v>
      </c>
      <c r="BF96">
        <v>25</v>
      </c>
      <c r="BG96">
        <v>3</v>
      </c>
      <c r="BH96">
        <v>8</v>
      </c>
      <c r="BI96">
        <v>3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0</v>
      </c>
      <c r="BQ96">
        <v>60</v>
      </c>
      <c r="BR96">
        <v>0</v>
      </c>
      <c r="BS96">
        <v>3</v>
      </c>
      <c r="BT96" t="s">
        <v>243</v>
      </c>
      <c r="BU96" t="s">
        <v>261</v>
      </c>
      <c r="BV96" t="b">
        <v>0</v>
      </c>
      <c r="BW96" t="s">
        <v>262</v>
      </c>
    </row>
    <row r="97" spans="1:75">
      <c r="A97" t="s">
        <v>243</v>
      </c>
      <c r="B97" t="s">
        <v>252</v>
      </c>
      <c r="C97">
        <v>1010</v>
      </c>
      <c r="D97" t="s">
        <v>253</v>
      </c>
      <c r="E97" t="s">
        <v>254</v>
      </c>
      <c r="F97">
        <v>5</v>
      </c>
      <c r="G97" s="13">
        <v>46265.194837962961</v>
      </c>
      <c r="H97" s="13">
        <v>46265.195011574076</v>
      </c>
      <c r="I97">
        <v>15</v>
      </c>
      <c r="J97" t="s">
        <v>264</v>
      </c>
      <c r="K97">
        <v>1</v>
      </c>
      <c r="L97">
        <v>0.04</v>
      </c>
      <c r="M97">
        <v>0.04</v>
      </c>
      <c r="N97">
        <v>1</v>
      </c>
      <c r="O97">
        <v>0.04</v>
      </c>
      <c r="P97">
        <v>1.56</v>
      </c>
      <c r="Q97">
        <v>7.6</v>
      </c>
      <c r="R97">
        <v>7.32</v>
      </c>
      <c r="S97" t="s">
        <v>256</v>
      </c>
      <c r="T97" t="s">
        <v>257</v>
      </c>
      <c r="U97">
        <v>14</v>
      </c>
      <c r="V97">
        <v>7123.94</v>
      </c>
      <c r="W97">
        <v>4999.32</v>
      </c>
      <c r="X97">
        <v>4998.4399999999996</v>
      </c>
      <c r="Y97">
        <v>0</v>
      </c>
      <c r="Z97">
        <v>0</v>
      </c>
      <c r="AA97">
        <v>35</v>
      </c>
      <c r="AB97">
        <v>50</v>
      </c>
      <c r="AC97">
        <v>5000</v>
      </c>
      <c r="AD97">
        <v>0</v>
      </c>
      <c r="AE97">
        <v>0</v>
      </c>
      <c r="AF97">
        <v>7130.82</v>
      </c>
      <c r="AG97">
        <v>7130.82</v>
      </c>
      <c r="AH97" s="14">
        <v>46265</v>
      </c>
      <c r="AI97" t="s">
        <v>258</v>
      </c>
      <c r="AJ97" s="13">
        <v>46262.213402777779</v>
      </c>
      <c r="AK97">
        <v>6066.68</v>
      </c>
      <c r="AL97" t="s">
        <v>259</v>
      </c>
      <c r="AM97" t="s">
        <v>260</v>
      </c>
      <c r="AN97">
        <v>1400</v>
      </c>
      <c r="AO97">
        <v>0</v>
      </c>
      <c r="AP97">
        <v>35</v>
      </c>
      <c r="AQ97">
        <v>85</v>
      </c>
      <c r="AR97">
        <v>35</v>
      </c>
      <c r="AS97">
        <v>2</v>
      </c>
      <c r="AT97">
        <v>23</v>
      </c>
      <c r="AU97">
        <v>1</v>
      </c>
      <c r="AV97">
        <v>0</v>
      </c>
      <c r="AW97">
        <v>10</v>
      </c>
      <c r="AX97">
        <v>1</v>
      </c>
      <c r="AY97">
        <v>10</v>
      </c>
      <c r="AZ97">
        <v>5</v>
      </c>
      <c r="BA97">
        <v>1</v>
      </c>
      <c r="BB97">
        <v>1440</v>
      </c>
      <c r="BC97">
        <v>0</v>
      </c>
      <c r="BD97">
        <v>0</v>
      </c>
      <c r="BE97">
        <v>14</v>
      </c>
      <c r="BF97">
        <v>25</v>
      </c>
      <c r="BG97">
        <v>3</v>
      </c>
      <c r="BH97">
        <v>8</v>
      </c>
      <c r="BI97">
        <v>3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0</v>
      </c>
      <c r="BQ97">
        <v>60</v>
      </c>
      <c r="BR97">
        <v>0</v>
      </c>
      <c r="BS97">
        <v>3</v>
      </c>
      <c r="BT97" t="s">
        <v>243</v>
      </c>
      <c r="BU97" t="s">
        <v>261</v>
      </c>
      <c r="BV97" t="b">
        <v>0</v>
      </c>
      <c r="BW97" t="s">
        <v>262</v>
      </c>
    </row>
    <row r="98" spans="1:75">
      <c r="A98" t="s">
        <v>243</v>
      </c>
      <c r="B98" t="s">
        <v>252</v>
      </c>
      <c r="C98">
        <v>1011</v>
      </c>
      <c r="D98" t="s">
        <v>253</v>
      </c>
      <c r="E98" t="s">
        <v>254</v>
      </c>
      <c r="F98">
        <v>5</v>
      </c>
      <c r="G98" s="13">
        <v>46265.19940972222</v>
      </c>
      <c r="H98" s="13">
        <v>46265.199699074074</v>
      </c>
      <c r="I98">
        <v>25</v>
      </c>
      <c r="J98" t="s">
        <v>264</v>
      </c>
      <c r="K98">
        <v>1</v>
      </c>
      <c r="L98">
        <v>0.04</v>
      </c>
      <c r="M98">
        <v>0.04</v>
      </c>
      <c r="N98">
        <v>1</v>
      </c>
      <c r="O98">
        <v>0.04</v>
      </c>
      <c r="P98">
        <v>1.32</v>
      </c>
      <c r="Q98">
        <v>6.76</v>
      </c>
      <c r="R98">
        <v>6</v>
      </c>
      <c r="S98" t="s">
        <v>256</v>
      </c>
      <c r="T98" t="s">
        <v>257</v>
      </c>
      <c r="U98">
        <v>10</v>
      </c>
      <c r="V98">
        <v>7130.22</v>
      </c>
      <c r="W98">
        <v>4999.3999999999996</v>
      </c>
      <c r="X98">
        <v>4998.68</v>
      </c>
      <c r="Y98">
        <v>0</v>
      </c>
      <c r="Z98">
        <v>0</v>
      </c>
      <c r="AA98">
        <v>35</v>
      </c>
      <c r="AB98">
        <v>50</v>
      </c>
      <c r="AC98">
        <v>5000</v>
      </c>
      <c r="AD98">
        <v>0</v>
      </c>
      <c r="AE98">
        <v>0</v>
      </c>
      <c r="AF98">
        <v>7136.18</v>
      </c>
      <c r="AG98">
        <v>7136.18</v>
      </c>
      <c r="AH98" s="14">
        <v>46265</v>
      </c>
      <c r="AI98" t="s">
        <v>258</v>
      </c>
      <c r="AJ98" s="13">
        <v>46262.213402777779</v>
      </c>
      <c r="AK98">
        <v>6066.68</v>
      </c>
      <c r="AL98" t="s">
        <v>259</v>
      </c>
      <c r="AM98" t="s">
        <v>260</v>
      </c>
      <c r="AN98">
        <v>1400</v>
      </c>
      <c r="AO98">
        <v>0</v>
      </c>
      <c r="AP98">
        <v>35</v>
      </c>
      <c r="AQ98">
        <v>85</v>
      </c>
      <c r="AR98">
        <v>35</v>
      </c>
      <c r="AS98">
        <v>2</v>
      </c>
      <c r="AT98">
        <v>23</v>
      </c>
      <c r="AU98">
        <v>1</v>
      </c>
      <c r="AV98">
        <v>0</v>
      </c>
      <c r="AW98">
        <v>10</v>
      </c>
      <c r="AX98">
        <v>1</v>
      </c>
      <c r="AY98">
        <v>10</v>
      </c>
      <c r="AZ98">
        <v>5</v>
      </c>
      <c r="BA98">
        <v>1</v>
      </c>
      <c r="BB98">
        <v>1440</v>
      </c>
      <c r="BC98">
        <v>0</v>
      </c>
      <c r="BD98">
        <v>0</v>
      </c>
      <c r="BE98">
        <v>14</v>
      </c>
      <c r="BF98">
        <v>25</v>
      </c>
      <c r="BG98">
        <v>3</v>
      </c>
      <c r="BH98">
        <v>8</v>
      </c>
      <c r="BI98">
        <v>3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0</v>
      </c>
      <c r="BQ98">
        <v>60</v>
      </c>
      <c r="BR98">
        <v>0</v>
      </c>
      <c r="BS98">
        <v>3</v>
      </c>
      <c r="BT98" t="s">
        <v>243</v>
      </c>
      <c r="BU98" t="s">
        <v>261</v>
      </c>
      <c r="BV98" t="b">
        <v>0</v>
      </c>
      <c r="BW98" t="s">
        <v>262</v>
      </c>
    </row>
    <row r="99" spans="1:75">
      <c r="A99" t="s">
        <v>243</v>
      </c>
      <c r="B99" t="s">
        <v>252</v>
      </c>
      <c r="C99">
        <v>1012</v>
      </c>
      <c r="D99" t="s">
        <v>253</v>
      </c>
      <c r="E99" t="s">
        <v>254</v>
      </c>
      <c r="F99">
        <v>5</v>
      </c>
      <c r="G99" s="13">
        <v>46265.202048611114</v>
      </c>
      <c r="H99" s="13">
        <v>46265.203252314815</v>
      </c>
      <c r="I99">
        <v>104</v>
      </c>
      <c r="J99" t="s">
        <v>255</v>
      </c>
      <c r="K99">
        <v>1</v>
      </c>
      <c r="L99">
        <v>0.04</v>
      </c>
      <c r="M99">
        <v>0.04</v>
      </c>
      <c r="N99">
        <v>1</v>
      </c>
      <c r="O99">
        <v>0.04</v>
      </c>
      <c r="P99">
        <v>4.72</v>
      </c>
      <c r="Q99">
        <v>9.56</v>
      </c>
      <c r="R99">
        <v>8.44</v>
      </c>
      <c r="S99" t="s">
        <v>256</v>
      </c>
      <c r="T99" t="s">
        <v>257</v>
      </c>
      <c r="U99">
        <v>11</v>
      </c>
      <c r="V99">
        <v>7135.54</v>
      </c>
      <c r="W99">
        <v>4999.3599999999997</v>
      </c>
      <c r="X99">
        <v>4995.28</v>
      </c>
      <c r="Y99">
        <v>0</v>
      </c>
      <c r="Z99">
        <v>0</v>
      </c>
      <c r="AA99">
        <v>35</v>
      </c>
      <c r="AB99">
        <v>50</v>
      </c>
      <c r="AC99">
        <v>5000</v>
      </c>
      <c r="AD99">
        <v>0</v>
      </c>
      <c r="AE99">
        <v>0</v>
      </c>
      <c r="AF99">
        <v>7144.3</v>
      </c>
      <c r="AG99">
        <v>7144.3</v>
      </c>
      <c r="AH99" s="14">
        <v>46265</v>
      </c>
      <c r="AI99" t="s">
        <v>258</v>
      </c>
      <c r="AJ99" s="13">
        <v>46262.213402777779</v>
      </c>
      <c r="AK99">
        <v>6066.68</v>
      </c>
      <c r="AL99" t="s">
        <v>259</v>
      </c>
      <c r="AM99" t="s">
        <v>260</v>
      </c>
      <c r="AN99">
        <v>1400</v>
      </c>
      <c r="AO99">
        <v>0</v>
      </c>
      <c r="AP99">
        <v>35</v>
      </c>
      <c r="AQ99">
        <v>85</v>
      </c>
      <c r="AR99">
        <v>35</v>
      </c>
      <c r="AS99">
        <v>2</v>
      </c>
      <c r="AT99">
        <v>23</v>
      </c>
      <c r="AU99">
        <v>1</v>
      </c>
      <c r="AV99">
        <v>0</v>
      </c>
      <c r="AW99">
        <v>10</v>
      </c>
      <c r="AX99">
        <v>1</v>
      </c>
      <c r="AY99">
        <v>10</v>
      </c>
      <c r="AZ99">
        <v>5</v>
      </c>
      <c r="BA99">
        <v>1</v>
      </c>
      <c r="BB99">
        <v>1440</v>
      </c>
      <c r="BC99">
        <v>0</v>
      </c>
      <c r="BD99">
        <v>0</v>
      </c>
      <c r="BE99">
        <v>14</v>
      </c>
      <c r="BF99">
        <v>25</v>
      </c>
      <c r="BG99">
        <v>3</v>
      </c>
      <c r="BH99">
        <v>8</v>
      </c>
      <c r="BI99">
        <v>3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0</v>
      </c>
      <c r="BQ99">
        <v>60</v>
      </c>
      <c r="BR99">
        <v>0</v>
      </c>
      <c r="BS99">
        <v>3</v>
      </c>
      <c r="BT99" t="s">
        <v>243</v>
      </c>
      <c r="BU99" t="s">
        <v>261</v>
      </c>
      <c r="BV99" t="b">
        <v>0</v>
      </c>
      <c r="BW99" t="s">
        <v>262</v>
      </c>
    </row>
    <row r="100" spans="1:75">
      <c r="A100" t="s">
        <v>243</v>
      </c>
      <c r="B100" t="s">
        <v>252</v>
      </c>
      <c r="C100">
        <v>1013</v>
      </c>
      <c r="D100" t="s">
        <v>253</v>
      </c>
      <c r="E100" t="s">
        <v>254</v>
      </c>
      <c r="F100">
        <v>5</v>
      </c>
      <c r="G100" s="13">
        <v>46265.205312500002</v>
      </c>
      <c r="H100" s="13">
        <v>46265.249363425923</v>
      </c>
      <c r="I100">
        <v>3806</v>
      </c>
      <c r="J100" t="s">
        <v>255</v>
      </c>
      <c r="K100">
        <v>13</v>
      </c>
      <c r="L100">
        <v>0.52</v>
      </c>
      <c r="M100">
        <v>0.04</v>
      </c>
      <c r="N100">
        <v>13</v>
      </c>
      <c r="O100">
        <v>0.52</v>
      </c>
      <c r="P100">
        <v>1168.56</v>
      </c>
      <c r="Q100">
        <v>52.8</v>
      </c>
      <c r="R100">
        <v>52.8</v>
      </c>
      <c r="S100" t="s">
        <v>263</v>
      </c>
      <c r="T100" t="s">
        <v>257</v>
      </c>
      <c r="U100">
        <v>11</v>
      </c>
      <c r="V100">
        <v>7143.82</v>
      </c>
      <c r="W100">
        <v>4999.5200000000004</v>
      </c>
      <c r="X100">
        <v>3831.44</v>
      </c>
      <c r="Y100">
        <v>0</v>
      </c>
      <c r="Z100">
        <v>0</v>
      </c>
      <c r="AA100">
        <v>35</v>
      </c>
      <c r="AB100">
        <v>50</v>
      </c>
      <c r="AC100">
        <v>5000</v>
      </c>
      <c r="AD100">
        <v>0</v>
      </c>
      <c r="AE100">
        <v>0</v>
      </c>
      <c r="AF100">
        <v>7199.7</v>
      </c>
      <c r="AG100">
        <v>7199.7</v>
      </c>
      <c r="AH100" s="14">
        <v>46265</v>
      </c>
      <c r="AI100" t="s">
        <v>258</v>
      </c>
      <c r="AJ100" s="13">
        <v>46262.213402777779</v>
      </c>
      <c r="AK100">
        <v>6066.68</v>
      </c>
      <c r="AL100" t="s">
        <v>259</v>
      </c>
      <c r="AM100" t="s">
        <v>260</v>
      </c>
      <c r="AN100">
        <v>1400</v>
      </c>
      <c r="AO100">
        <v>0</v>
      </c>
      <c r="AP100">
        <v>35</v>
      </c>
      <c r="AQ100">
        <v>85</v>
      </c>
      <c r="AR100">
        <v>35</v>
      </c>
      <c r="AS100">
        <v>2</v>
      </c>
      <c r="AT100">
        <v>23</v>
      </c>
      <c r="AU100">
        <v>1</v>
      </c>
      <c r="AV100">
        <v>0</v>
      </c>
      <c r="AW100">
        <v>10</v>
      </c>
      <c r="AX100">
        <v>1</v>
      </c>
      <c r="AY100">
        <v>10</v>
      </c>
      <c r="AZ100">
        <v>5</v>
      </c>
      <c r="BA100">
        <v>1</v>
      </c>
      <c r="BB100">
        <v>1440</v>
      </c>
      <c r="BC100">
        <v>0</v>
      </c>
      <c r="BD100">
        <v>0</v>
      </c>
      <c r="BE100">
        <v>14</v>
      </c>
      <c r="BF100">
        <v>25</v>
      </c>
      <c r="BG100">
        <v>3</v>
      </c>
      <c r="BH100">
        <v>8</v>
      </c>
      <c r="BI100">
        <v>3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0</v>
      </c>
      <c r="BQ100">
        <v>60</v>
      </c>
      <c r="BR100">
        <v>0</v>
      </c>
      <c r="BS100">
        <v>3</v>
      </c>
      <c r="BT100" t="s">
        <v>243</v>
      </c>
      <c r="BU100" t="s">
        <v>261</v>
      </c>
      <c r="BV100" t="b">
        <v>0</v>
      </c>
      <c r="BW100" t="s">
        <v>262</v>
      </c>
    </row>
    <row r="101" spans="1:75">
      <c r="A101" t="s">
        <v>243</v>
      </c>
      <c r="B101" t="s">
        <v>252</v>
      </c>
      <c r="C101">
        <v>1014</v>
      </c>
      <c r="D101" t="s">
        <v>253</v>
      </c>
      <c r="E101" t="s">
        <v>254</v>
      </c>
      <c r="F101">
        <v>5</v>
      </c>
      <c r="G101" s="13">
        <v>46265.251539351855</v>
      </c>
      <c r="H101" s="13">
        <v>46265.252268518518</v>
      </c>
      <c r="I101">
        <v>63</v>
      </c>
      <c r="J101" t="s">
        <v>255</v>
      </c>
      <c r="K101">
        <v>1</v>
      </c>
      <c r="L101">
        <v>0.04</v>
      </c>
      <c r="M101">
        <v>0.04</v>
      </c>
      <c r="N101">
        <v>1</v>
      </c>
      <c r="O101">
        <v>0.04</v>
      </c>
      <c r="P101">
        <v>7.08</v>
      </c>
      <c r="Q101">
        <v>4.4400000000000004</v>
      </c>
      <c r="R101">
        <v>4.4400000000000004</v>
      </c>
      <c r="S101" t="s">
        <v>256</v>
      </c>
      <c r="T101" t="s">
        <v>257</v>
      </c>
      <c r="U101">
        <v>11</v>
      </c>
      <c r="V101">
        <v>7199.06</v>
      </c>
      <c r="W101">
        <v>4999.3599999999997</v>
      </c>
      <c r="X101">
        <v>4992.92</v>
      </c>
      <c r="Y101">
        <v>0</v>
      </c>
      <c r="Z101">
        <v>0</v>
      </c>
      <c r="AA101">
        <v>35</v>
      </c>
      <c r="AB101">
        <v>50</v>
      </c>
      <c r="AC101">
        <v>5000</v>
      </c>
      <c r="AD101">
        <v>0</v>
      </c>
      <c r="AE101">
        <v>0</v>
      </c>
      <c r="AF101">
        <v>7202.74</v>
      </c>
      <c r="AG101">
        <v>7202.74</v>
      </c>
      <c r="AH101" s="14">
        <v>46265</v>
      </c>
      <c r="AI101" t="s">
        <v>258</v>
      </c>
      <c r="AJ101" s="13">
        <v>46262.213402777779</v>
      </c>
      <c r="AK101">
        <v>6066.68</v>
      </c>
      <c r="AL101" t="s">
        <v>259</v>
      </c>
      <c r="AM101" t="s">
        <v>260</v>
      </c>
      <c r="AN101">
        <v>1400</v>
      </c>
      <c r="AO101">
        <v>0</v>
      </c>
      <c r="AP101">
        <v>35</v>
      </c>
      <c r="AQ101">
        <v>85</v>
      </c>
      <c r="AR101">
        <v>35</v>
      </c>
      <c r="AS101">
        <v>2</v>
      </c>
      <c r="AT101">
        <v>23</v>
      </c>
      <c r="AU101">
        <v>1</v>
      </c>
      <c r="AV101">
        <v>0</v>
      </c>
      <c r="AW101">
        <v>10</v>
      </c>
      <c r="AX101">
        <v>1</v>
      </c>
      <c r="AY101">
        <v>10</v>
      </c>
      <c r="AZ101">
        <v>5</v>
      </c>
      <c r="BA101">
        <v>1</v>
      </c>
      <c r="BB101">
        <v>1440</v>
      </c>
      <c r="BC101">
        <v>0</v>
      </c>
      <c r="BD101">
        <v>0</v>
      </c>
      <c r="BE101">
        <v>14</v>
      </c>
      <c r="BF101">
        <v>25</v>
      </c>
      <c r="BG101">
        <v>3</v>
      </c>
      <c r="BH101">
        <v>8</v>
      </c>
      <c r="BI101">
        <v>3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0</v>
      </c>
      <c r="BQ101">
        <v>60</v>
      </c>
      <c r="BR101">
        <v>0</v>
      </c>
      <c r="BS101">
        <v>3</v>
      </c>
      <c r="BT101" t="s">
        <v>243</v>
      </c>
      <c r="BU101" t="s">
        <v>261</v>
      </c>
      <c r="BV101" t="b">
        <v>0</v>
      </c>
      <c r="BW101" t="s">
        <v>262</v>
      </c>
    </row>
    <row r="102" spans="1:75">
      <c r="A102" t="s">
        <v>243</v>
      </c>
      <c r="B102" t="s">
        <v>252</v>
      </c>
      <c r="C102">
        <v>1015</v>
      </c>
      <c r="D102" t="s">
        <v>253</v>
      </c>
      <c r="E102" t="s">
        <v>254</v>
      </c>
      <c r="F102">
        <v>5</v>
      </c>
      <c r="G102" s="13">
        <v>46265.254641203705</v>
      </c>
      <c r="H102" s="13">
        <v>46265.256874999999</v>
      </c>
      <c r="I102">
        <v>193</v>
      </c>
      <c r="J102" t="s">
        <v>255</v>
      </c>
      <c r="K102">
        <v>1</v>
      </c>
      <c r="L102">
        <v>0.04</v>
      </c>
      <c r="M102">
        <v>0.04</v>
      </c>
      <c r="N102">
        <v>1</v>
      </c>
      <c r="O102">
        <v>0.04</v>
      </c>
      <c r="P102">
        <v>10.039999999999999</v>
      </c>
      <c r="Q102">
        <v>3.6</v>
      </c>
      <c r="R102">
        <v>3</v>
      </c>
      <c r="S102" t="s">
        <v>256</v>
      </c>
      <c r="T102" t="s">
        <v>257</v>
      </c>
      <c r="U102">
        <v>10</v>
      </c>
      <c r="V102">
        <v>7202.1</v>
      </c>
      <c r="W102">
        <v>4999.3599999999997</v>
      </c>
      <c r="X102">
        <v>4989.96</v>
      </c>
      <c r="Y102">
        <v>0</v>
      </c>
      <c r="Z102">
        <v>0</v>
      </c>
      <c r="AA102">
        <v>35</v>
      </c>
      <c r="AB102">
        <v>50</v>
      </c>
      <c r="AC102">
        <v>5000</v>
      </c>
      <c r="AD102">
        <v>0</v>
      </c>
      <c r="AE102">
        <v>0</v>
      </c>
      <c r="AF102">
        <v>7204.94</v>
      </c>
      <c r="AG102">
        <v>7204.94</v>
      </c>
      <c r="AH102" s="14">
        <v>46265</v>
      </c>
      <c r="AI102" t="s">
        <v>258</v>
      </c>
      <c r="AJ102" s="13">
        <v>46262.213402777779</v>
      </c>
      <c r="AK102">
        <v>6066.68</v>
      </c>
      <c r="AL102" t="s">
        <v>259</v>
      </c>
      <c r="AM102" t="s">
        <v>260</v>
      </c>
      <c r="AN102">
        <v>1400</v>
      </c>
      <c r="AO102">
        <v>0</v>
      </c>
      <c r="AP102">
        <v>35</v>
      </c>
      <c r="AQ102">
        <v>85</v>
      </c>
      <c r="AR102">
        <v>35</v>
      </c>
      <c r="AS102">
        <v>2</v>
      </c>
      <c r="AT102">
        <v>23</v>
      </c>
      <c r="AU102">
        <v>1</v>
      </c>
      <c r="AV102">
        <v>0</v>
      </c>
      <c r="AW102">
        <v>10</v>
      </c>
      <c r="AX102">
        <v>1</v>
      </c>
      <c r="AY102">
        <v>10</v>
      </c>
      <c r="AZ102">
        <v>5</v>
      </c>
      <c r="BA102">
        <v>1</v>
      </c>
      <c r="BB102">
        <v>1440</v>
      </c>
      <c r="BC102">
        <v>0</v>
      </c>
      <c r="BD102">
        <v>0</v>
      </c>
      <c r="BE102">
        <v>14</v>
      </c>
      <c r="BF102">
        <v>25</v>
      </c>
      <c r="BG102">
        <v>3</v>
      </c>
      <c r="BH102">
        <v>8</v>
      </c>
      <c r="BI102">
        <v>3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0</v>
      </c>
      <c r="BQ102">
        <v>60</v>
      </c>
      <c r="BR102">
        <v>0</v>
      </c>
      <c r="BS102">
        <v>3</v>
      </c>
      <c r="BT102" t="s">
        <v>243</v>
      </c>
      <c r="BU102" t="s">
        <v>261</v>
      </c>
      <c r="BV102" t="b">
        <v>0</v>
      </c>
      <c r="BW102" t="s">
        <v>262</v>
      </c>
    </row>
    <row r="103" spans="1:75">
      <c r="A103" t="s">
        <v>243</v>
      </c>
      <c r="B103" t="s">
        <v>252</v>
      </c>
      <c r="C103">
        <v>1016</v>
      </c>
      <c r="D103" t="s">
        <v>253</v>
      </c>
      <c r="E103" t="s">
        <v>254</v>
      </c>
      <c r="F103">
        <v>5</v>
      </c>
      <c r="G103" s="13">
        <v>46265.25984953704</v>
      </c>
      <c r="H103" s="13">
        <v>46265.260659722226</v>
      </c>
      <c r="I103">
        <v>70</v>
      </c>
      <c r="J103" t="s">
        <v>255</v>
      </c>
      <c r="K103">
        <v>1</v>
      </c>
      <c r="L103">
        <v>0.04</v>
      </c>
      <c r="M103">
        <v>0.04</v>
      </c>
      <c r="N103">
        <v>1</v>
      </c>
      <c r="O103">
        <v>0.04</v>
      </c>
      <c r="P103">
        <v>3.44</v>
      </c>
      <c r="Q103">
        <v>6.36</v>
      </c>
      <c r="R103">
        <v>5.6</v>
      </c>
      <c r="S103" t="s">
        <v>256</v>
      </c>
      <c r="T103" t="s">
        <v>257</v>
      </c>
      <c r="U103">
        <v>10</v>
      </c>
      <c r="V103">
        <v>7204.02</v>
      </c>
      <c r="W103">
        <v>4999.08</v>
      </c>
      <c r="X103">
        <v>4996.5600000000004</v>
      </c>
      <c r="Y103">
        <v>0</v>
      </c>
      <c r="Z103">
        <v>0</v>
      </c>
      <c r="AA103">
        <v>35</v>
      </c>
      <c r="AB103">
        <v>50</v>
      </c>
      <c r="AC103">
        <v>5000</v>
      </c>
      <c r="AD103">
        <v>0</v>
      </c>
      <c r="AE103">
        <v>0</v>
      </c>
      <c r="AF103">
        <v>7209.9</v>
      </c>
      <c r="AG103">
        <v>7209.9</v>
      </c>
      <c r="AH103" s="14">
        <v>46265</v>
      </c>
      <c r="AI103" t="s">
        <v>258</v>
      </c>
      <c r="AJ103" s="13">
        <v>46262.213402777779</v>
      </c>
      <c r="AK103">
        <v>6066.68</v>
      </c>
      <c r="AL103" t="s">
        <v>259</v>
      </c>
      <c r="AM103" t="s">
        <v>260</v>
      </c>
      <c r="AN103">
        <v>1400</v>
      </c>
      <c r="AO103">
        <v>0</v>
      </c>
      <c r="AP103">
        <v>35</v>
      </c>
      <c r="AQ103">
        <v>85</v>
      </c>
      <c r="AR103">
        <v>35</v>
      </c>
      <c r="AS103">
        <v>2</v>
      </c>
      <c r="AT103">
        <v>23</v>
      </c>
      <c r="AU103">
        <v>1</v>
      </c>
      <c r="AV103">
        <v>0</v>
      </c>
      <c r="AW103">
        <v>10</v>
      </c>
      <c r="AX103">
        <v>1</v>
      </c>
      <c r="AY103">
        <v>10</v>
      </c>
      <c r="AZ103">
        <v>5</v>
      </c>
      <c r="BA103">
        <v>1</v>
      </c>
      <c r="BB103">
        <v>1440</v>
      </c>
      <c r="BC103">
        <v>0</v>
      </c>
      <c r="BD103">
        <v>0</v>
      </c>
      <c r="BE103">
        <v>14</v>
      </c>
      <c r="BF103">
        <v>25</v>
      </c>
      <c r="BG103">
        <v>3</v>
      </c>
      <c r="BH103">
        <v>8</v>
      </c>
      <c r="BI103">
        <v>3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0</v>
      </c>
      <c r="BQ103">
        <v>60</v>
      </c>
      <c r="BR103">
        <v>0</v>
      </c>
      <c r="BS103">
        <v>3</v>
      </c>
      <c r="BT103" t="s">
        <v>243</v>
      </c>
      <c r="BU103" t="s">
        <v>261</v>
      </c>
      <c r="BV103" t="b">
        <v>0</v>
      </c>
      <c r="BW103" t="s">
        <v>262</v>
      </c>
    </row>
    <row r="104" spans="1:75">
      <c r="A104" t="s">
        <v>243</v>
      </c>
      <c r="B104" t="s">
        <v>252</v>
      </c>
      <c r="C104">
        <v>1017</v>
      </c>
      <c r="D104" t="s">
        <v>253</v>
      </c>
      <c r="E104" t="s">
        <v>254</v>
      </c>
      <c r="F104">
        <v>5</v>
      </c>
      <c r="G104" s="13">
        <v>46265.262499999997</v>
      </c>
      <c r="H104" s="13">
        <v>46265.262870370374</v>
      </c>
      <c r="I104">
        <v>32</v>
      </c>
      <c r="J104" t="s">
        <v>255</v>
      </c>
      <c r="K104">
        <v>1</v>
      </c>
      <c r="L104">
        <v>0.04</v>
      </c>
      <c r="M104">
        <v>0.04</v>
      </c>
      <c r="N104">
        <v>1</v>
      </c>
      <c r="O104">
        <v>0.04</v>
      </c>
      <c r="P104">
        <v>1.1599999999999999</v>
      </c>
      <c r="Q104">
        <v>4.28</v>
      </c>
      <c r="R104">
        <v>4.12</v>
      </c>
      <c r="S104" t="s">
        <v>256</v>
      </c>
      <c r="T104" t="s">
        <v>257</v>
      </c>
      <c r="U104">
        <v>11</v>
      </c>
      <c r="V104">
        <v>7209.22</v>
      </c>
      <c r="W104">
        <v>4999.32</v>
      </c>
      <c r="X104">
        <v>4998.84</v>
      </c>
      <c r="Y104">
        <v>0</v>
      </c>
      <c r="Z104">
        <v>0</v>
      </c>
      <c r="AA104">
        <v>35</v>
      </c>
      <c r="AB104">
        <v>50</v>
      </c>
      <c r="AC104">
        <v>5000</v>
      </c>
      <c r="AD104">
        <v>0</v>
      </c>
      <c r="AE104">
        <v>0</v>
      </c>
      <c r="AF104">
        <v>7212.78</v>
      </c>
      <c r="AG104">
        <v>7212.78</v>
      </c>
      <c r="AH104" s="14">
        <v>46265</v>
      </c>
      <c r="AI104" t="s">
        <v>258</v>
      </c>
      <c r="AJ104" s="13">
        <v>46262.213402777779</v>
      </c>
      <c r="AK104">
        <v>6066.68</v>
      </c>
      <c r="AL104" t="s">
        <v>259</v>
      </c>
      <c r="AM104" t="s">
        <v>260</v>
      </c>
      <c r="AN104">
        <v>1400</v>
      </c>
      <c r="AO104">
        <v>0</v>
      </c>
      <c r="AP104">
        <v>35</v>
      </c>
      <c r="AQ104">
        <v>85</v>
      </c>
      <c r="AR104">
        <v>35</v>
      </c>
      <c r="AS104">
        <v>2</v>
      </c>
      <c r="AT104">
        <v>23</v>
      </c>
      <c r="AU104">
        <v>1</v>
      </c>
      <c r="AV104">
        <v>0</v>
      </c>
      <c r="AW104">
        <v>10</v>
      </c>
      <c r="AX104">
        <v>1</v>
      </c>
      <c r="AY104">
        <v>10</v>
      </c>
      <c r="AZ104">
        <v>5</v>
      </c>
      <c r="BA104">
        <v>1</v>
      </c>
      <c r="BB104">
        <v>1440</v>
      </c>
      <c r="BC104">
        <v>0</v>
      </c>
      <c r="BD104">
        <v>0</v>
      </c>
      <c r="BE104">
        <v>14</v>
      </c>
      <c r="BF104">
        <v>25</v>
      </c>
      <c r="BG104">
        <v>3</v>
      </c>
      <c r="BH104">
        <v>8</v>
      </c>
      <c r="BI104">
        <v>3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0</v>
      </c>
      <c r="BQ104">
        <v>60</v>
      </c>
      <c r="BR104">
        <v>0</v>
      </c>
      <c r="BS104">
        <v>3</v>
      </c>
      <c r="BT104" t="s">
        <v>243</v>
      </c>
      <c r="BU104" t="s">
        <v>261</v>
      </c>
      <c r="BV104" t="b">
        <v>0</v>
      </c>
      <c r="BW104" t="s">
        <v>262</v>
      </c>
    </row>
    <row r="105" spans="1:75">
      <c r="A105" t="s">
        <v>243</v>
      </c>
      <c r="B105" t="s">
        <v>252</v>
      </c>
      <c r="C105">
        <v>1018</v>
      </c>
      <c r="D105" t="s">
        <v>253</v>
      </c>
      <c r="E105" t="s">
        <v>254</v>
      </c>
      <c r="F105">
        <v>5</v>
      </c>
      <c r="G105" s="13">
        <v>46265.265787037039</v>
      </c>
      <c r="H105" s="13">
        <v>46265.2658912037</v>
      </c>
      <c r="I105">
        <v>9</v>
      </c>
      <c r="J105" t="s">
        <v>255</v>
      </c>
      <c r="K105">
        <v>1</v>
      </c>
      <c r="L105">
        <v>0.04</v>
      </c>
      <c r="M105">
        <v>0.04</v>
      </c>
      <c r="N105">
        <v>1</v>
      </c>
      <c r="O105">
        <v>0.04</v>
      </c>
      <c r="P105">
        <v>0.56000000000000005</v>
      </c>
      <c r="Q105">
        <v>5.28</v>
      </c>
      <c r="R105">
        <v>4.92</v>
      </c>
      <c r="S105" t="s">
        <v>256</v>
      </c>
      <c r="T105" t="s">
        <v>257</v>
      </c>
      <c r="U105">
        <v>11</v>
      </c>
      <c r="V105">
        <v>7212.22</v>
      </c>
      <c r="W105">
        <v>4999.4399999999996</v>
      </c>
      <c r="X105">
        <v>4999.4399999999996</v>
      </c>
      <c r="Y105">
        <v>0</v>
      </c>
      <c r="Z105">
        <v>0</v>
      </c>
      <c r="AA105">
        <v>35</v>
      </c>
      <c r="AB105">
        <v>50</v>
      </c>
      <c r="AC105">
        <v>5000</v>
      </c>
      <c r="AD105">
        <v>0</v>
      </c>
      <c r="AE105">
        <v>0</v>
      </c>
      <c r="AF105">
        <v>7216.62</v>
      </c>
      <c r="AG105">
        <v>7216.62</v>
      </c>
      <c r="AH105" s="14">
        <v>46265</v>
      </c>
      <c r="AI105" t="s">
        <v>258</v>
      </c>
      <c r="AJ105" s="13">
        <v>46262.213402777779</v>
      </c>
      <c r="AK105">
        <v>6066.68</v>
      </c>
      <c r="AL105" t="s">
        <v>259</v>
      </c>
      <c r="AM105" t="s">
        <v>260</v>
      </c>
      <c r="AN105">
        <v>1400</v>
      </c>
      <c r="AO105">
        <v>0</v>
      </c>
      <c r="AP105">
        <v>35</v>
      </c>
      <c r="AQ105">
        <v>85</v>
      </c>
      <c r="AR105">
        <v>35</v>
      </c>
      <c r="AS105">
        <v>2</v>
      </c>
      <c r="AT105">
        <v>23</v>
      </c>
      <c r="AU105">
        <v>1</v>
      </c>
      <c r="AV105">
        <v>0</v>
      </c>
      <c r="AW105">
        <v>10</v>
      </c>
      <c r="AX105">
        <v>1</v>
      </c>
      <c r="AY105">
        <v>10</v>
      </c>
      <c r="AZ105">
        <v>5</v>
      </c>
      <c r="BA105">
        <v>1</v>
      </c>
      <c r="BB105">
        <v>1440</v>
      </c>
      <c r="BC105">
        <v>0</v>
      </c>
      <c r="BD105">
        <v>0</v>
      </c>
      <c r="BE105">
        <v>14</v>
      </c>
      <c r="BF105">
        <v>25</v>
      </c>
      <c r="BG105">
        <v>3</v>
      </c>
      <c r="BH105">
        <v>8</v>
      </c>
      <c r="BI105">
        <v>3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0</v>
      </c>
      <c r="BQ105">
        <v>60</v>
      </c>
      <c r="BR105">
        <v>0</v>
      </c>
      <c r="BS105">
        <v>3</v>
      </c>
      <c r="BT105" t="s">
        <v>243</v>
      </c>
      <c r="BU105" t="s">
        <v>261</v>
      </c>
      <c r="BV105" t="b">
        <v>0</v>
      </c>
      <c r="BW105" t="s">
        <v>262</v>
      </c>
    </row>
    <row r="106" spans="1:75">
      <c r="A106" t="s">
        <v>243</v>
      </c>
      <c r="B106" t="s">
        <v>252</v>
      </c>
      <c r="C106">
        <v>1019</v>
      </c>
      <c r="D106" t="s">
        <v>253</v>
      </c>
      <c r="E106" t="s">
        <v>254</v>
      </c>
      <c r="F106">
        <v>5</v>
      </c>
      <c r="G106" s="13">
        <v>46265.268796296295</v>
      </c>
      <c r="H106" s="13">
        <v>46265.269421296296</v>
      </c>
      <c r="I106">
        <v>54</v>
      </c>
      <c r="J106" t="s">
        <v>264</v>
      </c>
      <c r="K106">
        <v>1</v>
      </c>
      <c r="L106">
        <v>0.04</v>
      </c>
      <c r="M106">
        <v>0.04</v>
      </c>
      <c r="N106">
        <v>1</v>
      </c>
      <c r="O106">
        <v>0.04</v>
      </c>
      <c r="P106">
        <v>3.04</v>
      </c>
      <c r="Q106">
        <v>6.92</v>
      </c>
      <c r="R106">
        <v>6.12</v>
      </c>
      <c r="S106" t="s">
        <v>256</v>
      </c>
      <c r="T106" t="s">
        <v>257</v>
      </c>
      <c r="U106">
        <v>11</v>
      </c>
      <c r="V106">
        <v>7216.02</v>
      </c>
      <c r="W106">
        <v>4999.3999999999996</v>
      </c>
      <c r="X106">
        <v>4996.96</v>
      </c>
      <c r="Y106">
        <v>0</v>
      </c>
      <c r="Z106">
        <v>0</v>
      </c>
      <c r="AA106">
        <v>35</v>
      </c>
      <c r="AB106">
        <v>50</v>
      </c>
      <c r="AC106">
        <v>5000</v>
      </c>
      <c r="AD106">
        <v>0</v>
      </c>
      <c r="AE106">
        <v>0</v>
      </c>
      <c r="AF106">
        <v>7222.14</v>
      </c>
      <c r="AG106">
        <v>7222.14</v>
      </c>
      <c r="AH106" s="14">
        <v>46265</v>
      </c>
      <c r="AI106" t="s">
        <v>258</v>
      </c>
      <c r="AJ106" s="13">
        <v>46262.213402777779</v>
      </c>
      <c r="AK106">
        <v>6066.68</v>
      </c>
      <c r="AL106" t="s">
        <v>259</v>
      </c>
      <c r="AM106" t="s">
        <v>260</v>
      </c>
      <c r="AN106">
        <v>1400</v>
      </c>
      <c r="AO106">
        <v>0</v>
      </c>
      <c r="AP106">
        <v>35</v>
      </c>
      <c r="AQ106">
        <v>85</v>
      </c>
      <c r="AR106">
        <v>35</v>
      </c>
      <c r="AS106">
        <v>2</v>
      </c>
      <c r="AT106">
        <v>23</v>
      </c>
      <c r="AU106">
        <v>1</v>
      </c>
      <c r="AV106">
        <v>0</v>
      </c>
      <c r="AW106">
        <v>10</v>
      </c>
      <c r="AX106">
        <v>1</v>
      </c>
      <c r="AY106">
        <v>10</v>
      </c>
      <c r="AZ106">
        <v>5</v>
      </c>
      <c r="BA106">
        <v>1</v>
      </c>
      <c r="BB106">
        <v>1440</v>
      </c>
      <c r="BC106">
        <v>0</v>
      </c>
      <c r="BD106">
        <v>0</v>
      </c>
      <c r="BE106">
        <v>14</v>
      </c>
      <c r="BF106">
        <v>25</v>
      </c>
      <c r="BG106">
        <v>3</v>
      </c>
      <c r="BH106">
        <v>8</v>
      </c>
      <c r="BI106">
        <v>3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0</v>
      </c>
      <c r="BQ106">
        <v>60</v>
      </c>
      <c r="BR106">
        <v>0</v>
      </c>
      <c r="BS106">
        <v>3</v>
      </c>
      <c r="BT106" t="s">
        <v>243</v>
      </c>
      <c r="BU106" t="s">
        <v>261</v>
      </c>
      <c r="BV106" t="b">
        <v>0</v>
      </c>
      <c r="BW106" t="s">
        <v>262</v>
      </c>
    </row>
    <row r="107" spans="1:75">
      <c r="A107" t="s">
        <v>243</v>
      </c>
      <c r="B107" t="s">
        <v>252</v>
      </c>
      <c r="C107">
        <v>1020</v>
      </c>
      <c r="D107" t="s">
        <v>253</v>
      </c>
      <c r="E107" t="s">
        <v>254</v>
      </c>
      <c r="F107">
        <v>5</v>
      </c>
      <c r="G107" s="13">
        <v>46265.272824074076</v>
      </c>
      <c r="H107" s="13">
        <v>46265.275277777779</v>
      </c>
      <c r="I107">
        <v>212</v>
      </c>
      <c r="J107" t="s">
        <v>264</v>
      </c>
      <c r="K107">
        <v>1</v>
      </c>
      <c r="L107">
        <v>0.04</v>
      </c>
      <c r="M107">
        <v>0.04</v>
      </c>
      <c r="N107">
        <v>1</v>
      </c>
      <c r="O107">
        <v>0.04</v>
      </c>
      <c r="P107">
        <v>4.16</v>
      </c>
      <c r="Q107">
        <v>7.52</v>
      </c>
      <c r="R107">
        <v>7.12</v>
      </c>
      <c r="S107" t="s">
        <v>256</v>
      </c>
      <c r="T107" t="s">
        <v>257</v>
      </c>
      <c r="U107">
        <v>11</v>
      </c>
      <c r="V107">
        <v>7221.5</v>
      </c>
      <c r="W107">
        <v>4999.3599999999997</v>
      </c>
      <c r="X107">
        <v>4995.84</v>
      </c>
      <c r="Y107">
        <v>0</v>
      </c>
      <c r="Z107">
        <v>0</v>
      </c>
      <c r="AA107">
        <v>35</v>
      </c>
      <c r="AB107">
        <v>50</v>
      </c>
      <c r="AC107">
        <v>5000</v>
      </c>
      <c r="AD107">
        <v>0</v>
      </c>
      <c r="AE107">
        <v>0</v>
      </c>
      <c r="AF107">
        <v>7228.26</v>
      </c>
      <c r="AG107">
        <v>7228.26</v>
      </c>
      <c r="AH107" s="14">
        <v>46265</v>
      </c>
      <c r="AI107" t="s">
        <v>258</v>
      </c>
      <c r="AJ107" s="13">
        <v>46262.213402777779</v>
      </c>
      <c r="AK107">
        <v>6066.68</v>
      </c>
      <c r="AL107" t="s">
        <v>259</v>
      </c>
      <c r="AM107" t="s">
        <v>260</v>
      </c>
      <c r="AN107">
        <v>1400</v>
      </c>
      <c r="AO107">
        <v>0</v>
      </c>
      <c r="AP107">
        <v>35</v>
      </c>
      <c r="AQ107">
        <v>85</v>
      </c>
      <c r="AR107">
        <v>35</v>
      </c>
      <c r="AS107">
        <v>2</v>
      </c>
      <c r="AT107">
        <v>23</v>
      </c>
      <c r="AU107">
        <v>1</v>
      </c>
      <c r="AV107">
        <v>0</v>
      </c>
      <c r="AW107">
        <v>10</v>
      </c>
      <c r="AX107">
        <v>1</v>
      </c>
      <c r="AY107">
        <v>10</v>
      </c>
      <c r="AZ107">
        <v>5</v>
      </c>
      <c r="BA107">
        <v>1</v>
      </c>
      <c r="BB107">
        <v>1440</v>
      </c>
      <c r="BC107">
        <v>0</v>
      </c>
      <c r="BD107">
        <v>0</v>
      </c>
      <c r="BE107">
        <v>14</v>
      </c>
      <c r="BF107">
        <v>25</v>
      </c>
      <c r="BG107">
        <v>3</v>
      </c>
      <c r="BH107">
        <v>8</v>
      </c>
      <c r="BI107">
        <v>3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0</v>
      </c>
      <c r="BQ107">
        <v>60</v>
      </c>
      <c r="BR107">
        <v>0</v>
      </c>
      <c r="BS107">
        <v>3</v>
      </c>
      <c r="BT107" t="s">
        <v>243</v>
      </c>
      <c r="BU107" t="s">
        <v>261</v>
      </c>
      <c r="BV107" t="b">
        <v>0</v>
      </c>
      <c r="BW107" t="s">
        <v>262</v>
      </c>
    </row>
    <row r="108" spans="1:75">
      <c r="A108" t="s">
        <v>243</v>
      </c>
      <c r="B108" t="s">
        <v>252</v>
      </c>
      <c r="C108">
        <v>1021</v>
      </c>
      <c r="D108" t="s">
        <v>253</v>
      </c>
      <c r="E108" t="s">
        <v>254</v>
      </c>
      <c r="F108">
        <v>5</v>
      </c>
      <c r="G108" s="13">
        <v>46265.276666666665</v>
      </c>
      <c r="H108" s="13">
        <v>46265.277222222219</v>
      </c>
      <c r="I108">
        <v>48</v>
      </c>
      <c r="J108" t="s">
        <v>264</v>
      </c>
      <c r="K108">
        <v>1</v>
      </c>
      <c r="L108">
        <v>0.04</v>
      </c>
      <c r="M108">
        <v>0.04</v>
      </c>
      <c r="N108">
        <v>1</v>
      </c>
      <c r="O108">
        <v>0.04</v>
      </c>
      <c r="P108">
        <v>3.16</v>
      </c>
      <c r="Q108">
        <v>4.92</v>
      </c>
      <c r="R108">
        <v>3.72</v>
      </c>
      <c r="S108" t="s">
        <v>256</v>
      </c>
      <c r="T108" t="s">
        <v>257</v>
      </c>
      <c r="U108">
        <v>11</v>
      </c>
      <c r="V108">
        <v>7227.62</v>
      </c>
      <c r="W108">
        <v>4999.3599999999997</v>
      </c>
      <c r="X108">
        <v>4996.84</v>
      </c>
      <c r="Y108">
        <v>0</v>
      </c>
      <c r="Z108">
        <v>0</v>
      </c>
      <c r="AA108">
        <v>35</v>
      </c>
      <c r="AB108">
        <v>50</v>
      </c>
      <c r="AC108">
        <v>5000</v>
      </c>
      <c r="AD108">
        <v>0</v>
      </c>
      <c r="AE108">
        <v>0</v>
      </c>
      <c r="AF108">
        <v>7231.78</v>
      </c>
      <c r="AG108">
        <v>7231.78</v>
      </c>
      <c r="AH108" s="14">
        <v>46265</v>
      </c>
      <c r="AI108" t="s">
        <v>258</v>
      </c>
      <c r="AJ108" s="13">
        <v>46262.213402777779</v>
      </c>
      <c r="AK108">
        <v>6066.68</v>
      </c>
      <c r="AL108" t="s">
        <v>259</v>
      </c>
      <c r="AM108" t="s">
        <v>260</v>
      </c>
      <c r="AN108">
        <v>1400</v>
      </c>
      <c r="AO108">
        <v>0</v>
      </c>
      <c r="AP108">
        <v>35</v>
      </c>
      <c r="AQ108">
        <v>85</v>
      </c>
      <c r="AR108">
        <v>35</v>
      </c>
      <c r="AS108">
        <v>2</v>
      </c>
      <c r="AT108">
        <v>23</v>
      </c>
      <c r="AU108">
        <v>1</v>
      </c>
      <c r="AV108">
        <v>0</v>
      </c>
      <c r="AW108">
        <v>10</v>
      </c>
      <c r="AX108">
        <v>1</v>
      </c>
      <c r="AY108">
        <v>10</v>
      </c>
      <c r="AZ108">
        <v>5</v>
      </c>
      <c r="BA108">
        <v>1</v>
      </c>
      <c r="BB108">
        <v>1440</v>
      </c>
      <c r="BC108">
        <v>0</v>
      </c>
      <c r="BD108">
        <v>0</v>
      </c>
      <c r="BE108">
        <v>14</v>
      </c>
      <c r="BF108">
        <v>25</v>
      </c>
      <c r="BG108">
        <v>3</v>
      </c>
      <c r="BH108">
        <v>8</v>
      </c>
      <c r="BI108">
        <v>3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0</v>
      </c>
      <c r="BQ108">
        <v>60</v>
      </c>
      <c r="BR108">
        <v>0</v>
      </c>
      <c r="BS108">
        <v>3</v>
      </c>
      <c r="BT108" t="s">
        <v>243</v>
      </c>
      <c r="BU108" t="s">
        <v>261</v>
      </c>
      <c r="BV108" t="b">
        <v>0</v>
      </c>
      <c r="BW108" t="s">
        <v>262</v>
      </c>
    </row>
    <row r="109" spans="1:75">
      <c r="A109" t="s">
        <v>243</v>
      </c>
      <c r="B109" t="s">
        <v>252</v>
      </c>
      <c r="C109">
        <v>1022</v>
      </c>
      <c r="D109" t="s">
        <v>253</v>
      </c>
      <c r="E109" t="s">
        <v>254</v>
      </c>
      <c r="F109">
        <v>5</v>
      </c>
      <c r="G109" s="13">
        <v>46265.280844907407</v>
      </c>
      <c r="H109" s="13">
        <v>46265.283553240741</v>
      </c>
      <c r="I109">
        <v>234</v>
      </c>
      <c r="J109" t="s">
        <v>255</v>
      </c>
      <c r="K109">
        <v>1</v>
      </c>
      <c r="L109">
        <v>0.04</v>
      </c>
      <c r="M109">
        <v>0.04</v>
      </c>
      <c r="N109">
        <v>1</v>
      </c>
      <c r="O109">
        <v>0.04</v>
      </c>
      <c r="P109">
        <v>4.72</v>
      </c>
      <c r="Q109">
        <v>5</v>
      </c>
      <c r="R109">
        <v>5</v>
      </c>
      <c r="S109" t="s">
        <v>256</v>
      </c>
      <c r="T109" t="s">
        <v>257</v>
      </c>
      <c r="U109">
        <v>15</v>
      </c>
      <c r="V109">
        <v>7230.94</v>
      </c>
      <c r="W109">
        <v>4999.16</v>
      </c>
      <c r="X109">
        <v>4995.28</v>
      </c>
      <c r="Y109">
        <v>0</v>
      </c>
      <c r="Z109">
        <v>0</v>
      </c>
      <c r="AA109">
        <v>35</v>
      </c>
      <c r="AB109">
        <v>50</v>
      </c>
      <c r="AC109">
        <v>5000</v>
      </c>
      <c r="AD109">
        <v>0</v>
      </c>
      <c r="AE109">
        <v>0</v>
      </c>
      <c r="AF109">
        <v>7235.34</v>
      </c>
      <c r="AG109">
        <v>7235.34</v>
      </c>
      <c r="AH109" s="14">
        <v>46265</v>
      </c>
      <c r="AI109" t="s">
        <v>258</v>
      </c>
      <c r="AJ109" s="13">
        <v>46262.213402777779</v>
      </c>
      <c r="AK109">
        <v>6066.68</v>
      </c>
      <c r="AL109" t="s">
        <v>259</v>
      </c>
      <c r="AM109" t="s">
        <v>260</v>
      </c>
      <c r="AN109">
        <v>1400</v>
      </c>
      <c r="AO109">
        <v>0</v>
      </c>
      <c r="AP109">
        <v>35</v>
      </c>
      <c r="AQ109">
        <v>85</v>
      </c>
      <c r="AR109">
        <v>35</v>
      </c>
      <c r="AS109">
        <v>2</v>
      </c>
      <c r="AT109">
        <v>23</v>
      </c>
      <c r="AU109">
        <v>1</v>
      </c>
      <c r="AV109">
        <v>0</v>
      </c>
      <c r="AW109">
        <v>10</v>
      </c>
      <c r="AX109">
        <v>1</v>
      </c>
      <c r="AY109">
        <v>10</v>
      </c>
      <c r="AZ109">
        <v>5</v>
      </c>
      <c r="BA109">
        <v>1</v>
      </c>
      <c r="BB109">
        <v>1440</v>
      </c>
      <c r="BC109">
        <v>0</v>
      </c>
      <c r="BD109">
        <v>0</v>
      </c>
      <c r="BE109">
        <v>14</v>
      </c>
      <c r="BF109">
        <v>25</v>
      </c>
      <c r="BG109">
        <v>3</v>
      </c>
      <c r="BH109">
        <v>8</v>
      </c>
      <c r="BI109">
        <v>3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0</v>
      </c>
      <c r="BQ109">
        <v>60</v>
      </c>
      <c r="BR109">
        <v>0</v>
      </c>
      <c r="BS109">
        <v>3</v>
      </c>
      <c r="BT109" t="s">
        <v>243</v>
      </c>
      <c r="BU109" t="s">
        <v>261</v>
      </c>
      <c r="BV109" t="b">
        <v>0</v>
      </c>
      <c r="BW109" t="s">
        <v>262</v>
      </c>
    </row>
    <row r="110" spans="1:75">
      <c r="A110" t="s">
        <v>243</v>
      </c>
      <c r="B110" t="s">
        <v>252</v>
      </c>
      <c r="C110">
        <v>1023</v>
      </c>
      <c r="D110" t="s">
        <v>253</v>
      </c>
      <c r="E110" t="s">
        <v>254</v>
      </c>
      <c r="F110">
        <v>5</v>
      </c>
      <c r="G110" s="13">
        <v>46265.294745370367</v>
      </c>
      <c r="H110" s="13">
        <v>46265.295381944445</v>
      </c>
      <c r="I110">
        <v>55</v>
      </c>
      <c r="J110" t="s">
        <v>264</v>
      </c>
      <c r="K110">
        <v>1</v>
      </c>
      <c r="L110">
        <v>0.04</v>
      </c>
      <c r="M110">
        <v>0.04</v>
      </c>
      <c r="N110">
        <v>1</v>
      </c>
      <c r="O110">
        <v>0.04</v>
      </c>
      <c r="P110">
        <v>1.6</v>
      </c>
      <c r="Q110">
        <v>5.48</v>
      </c>
      <c r="R110">
        <v>4.12</v>
      </c>
      <c r="S110" t="s">
        <v>256</v>
      </c>
      <c r="T110" t="s">
        <v>257</v>
      </c>
      <c r="U110">
        <v>11</v>
      </c>
      <c r="V110">
        <v>7233.9</v>
      </c>
      <c r="W110">
        <v>4998.5600000000004</v>
      </c>
      <c r="X110">
        <v>4998.3999999999996</v>
      </c>
      <c r="Y110">
        <v>0</v>
      </c>
      <c r="Z110">
        <v>0</v>
      </c>
      <c r="AA110">
        <v>35</v>
      </c>
      <c r="AB110">
        <v>50</v>
      </c>
      <c r="AC110">
        <v>5000</v>
      </c>
      <c r="AD110">
        <v>0</v>
      </c>
      <c r="AE110">
        <v>0</v>
      </c>
      <c r="AF110">
        <v>7239.42</v>
      </c>
      <c r="AG110">
        <v>7239.42</v>
      </c>
      <c r="AH110" s="14">
        <v>46265</v>
      </c>
      <c r="AI110" t="s">
        <v>258</v>
      </c>
      <c r="AJ110" s="13">
        <v>46262.213402777779</v>
      </c>
      <c r="AK110">
        <v>6066.68</v>
      </c>
      <c r="AL110" t="s">
        <v>259</v>
      </c>
      <c r="AM110" t="s">
        <v>260</v>
      </c>
      <c r="AN110">
        <v>1400</v>
      </c>
      <c r="AO110">
        <v>0</v>
      </c>
      <c r="AP110">
        <v>35</v>
      </c>
      <c r="AQ110">
        <v>85</v>
      </c>
      <c r="AR110">
        <v>35</v>
      </c>
      <c r="AS110">
        <v>2</v>
      </c>
      <c r="AT110">
        <v>23</v>
      </c>
      <c r="AU110">
        <v>1</v>
      </c>
      <c r="AV110">
        <v>0</v>
      </c>
      <c r="AW110">
        <v>10</v>
      </c>
      <c r="AX110">
        <v>1</v>
      </c>
      <c r="AY110">
        <v>10</v>
      </c>
      <c r="AZ110">
        <v>5</v>
      </c>
      <c r="BA110">
        <v>1</v>
      </c>
      <c r="BB110">
        <v>1440</v>
      </c>
      <c r="BC110">
        <v>0</v>
      </c>
      <c r="BD110">
        <v>0</v>
      </c>
      <c r="BE110">
        <v>14</v>
      </c>
      <c r="BF110">
        <v>25</v>
      </c>
      <c r="BG110">
        <v>3</v>
      </c>
      <c r="BH110">
        <v>8</v>
      </c>
      <c r="BI110">
        <v>3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0</v>
      </c>
      <c r="BQ110">
        <v>60</v>
      </c>
      <c r="BR110">
        <v>0</v>
      </c>
      <c r="BS110">
        <v>3</v>
      </c>
      <c r="BT110" t="s">
        <v>243</v>
      </c>
      <c r="BU110" t="s">
        <v>261</v>
      </c>
      <c r="BV110" t="b">
        <v>0</v>
      </c>
      <c r="BW110" t="s">
        <v>262</v>
      </c>
    </row>
    <row r="111" spans="1:75">
      <c r="A111" t="s">
        <v>243</v>
      </c>
      <c r="B111" t="s">
        <v>252</v>
      </c>
      <c r="C111">
        <v>1024</v>
      </c>
      <c r="D111" t="s">
        <v>253</v>
      </c>
      <c r="E111" t="s">
        <v>254</v>
      </c>
      <c r="F111">
        <v>5</v>
      </c>
      <c r="G111" s="13">
        <v>46265.300520833334</v>
      </c>
      <c r="H111" s="13">
        <v>46265.301180555558</v>
      </c>
      <c r="I111">
        <v>57</v>
      </c>
      <c r="J111" t="s">
        <v>255</v>
      </c>
      <c r="K111">
        <v>1</v>
      </c>
      <c r="L111">
        <v>0.04</v>
      </c>
      <c r="M111">
        <v>0.04</v>
      </c>
      <c r="N111">
        <v>1</v>
      </c>
      <c r="O111">
        <v>0.04</v>
      </c>
      <c r="P111">
        <v>3.84</v>
      </c>
      <c r="Q111">
        <v>3.4</v>
      </c>
      <c r="R111">
        <v>2.68</v>
      </c>
      <c r="S111" t="s">
        <v>256</v>
      </c>
      <c r="T111" t="s">
        <v>257</v>
      </c>
      <c r="U111">
        <v>15</v>
      </c>
      <c r="V111">
        <v>7238.74</v>
      </c>
      <c r="W111">
        <v>4999.32</v>
      </c>
      <c r="X111">
        <v>4996.16</v>
      </c>
      <c r="Y111">
        <v>0</v>
      </c>
      <c r="Z111">
        <v>0</v>
      </c>
      <c r="AA111">
        <v>35</v>
      </c>
      <c r="AB111">
        <v>50</v>
      </c>
      <c r="AC111">
        <v>5000</v>
      </c>
      <c r="AD111">
        <v>0</v>
      </c>
      <c r="AE111">
        <v>0</v>
      </c>
      <c r="AF111">
        <v>7241.42</v>
      </c>
      <c r="AG111">
        <v>7241.42</v>
      </c>
      <c r="AH111" s="14">
        <v>46265</v>
      </c>
      <c r="AI111" t="s">
        <v>258</v>
      </c>
      <c r="AJ111" s="13">
        <v>46262.213402777779</v>
      </c>
      <c r="AK111">
        <v>6066.68</v>
      </c>
      <c r="AL111" t="s">
        <v>259</v>
      </c>
      <c r="AM111" t="s">
        <v>260</v>
      </c>
      <c r="AN111">
        <v>1400</v>
      </c>
      <c r="AO111">
        <v>0</v>
      </c>
      <c r="AP111">
        <v>35</v>
      </c>
      <c r="AQ111">
        <v>85</v>
      </c>
      <c r="AR111">
        <v>35</v>
      </c>
      <c r="AS111">
        <v>2</v>
      </c>
      <c r="AT111">
        <v>23</v>
      </c>
      <c r="AU111">
        <v>1</v>
      </c>
      <c r="AV111">
        <v>0</v>
      </c>
      <c r="AW111">
        <v>10</v>
      </c>
      <c r="AX111">
        <v>1</v>
      </c>
      <c r="AY111">
        <v>10</v>
      </c>
      <c r="AZ111">
        <v>5</v>
      </c>
      <c r="BA111">
        <v>1</v>
      </c>
      <c r="BB111">
        <v>1440</v>
      </c>
      <c r="BC111">
        <v>0</v>
      </c>
      <c r="BD111">
        <v>0</v>
      </c>
      <c r="BE111">
        <v>14</v>
      </c>
      <c r="BF111">
        <v>25</v>
      </c>
      <c r="BG111">
        <v>3</v>
      </c>
      <c r="BH111">
        <v>8</v>
      </c>
      <c r="BI111">
        <v>3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0</v>
      </c>
      <c r="BQ111">
        <v>60</v>
      </c>
      <c r="BR111">
        <v>0</v>
      </c>
      <c r="BS111">
        <v>3</v>
      </c>
      <c r="BT111" t="s">
        <v>243</v>
      </c>
      <c r="BU111" t="s">
        <v>261</v>
      </c>
      <c r="BV111" t="b">
        <v>0</v>
      </c>
      <c r="BW111" t="s">
        <v>262</v>
      </c>
    </row>
    <row r="112" spans="1:75">
      <c r="A112" t="s">
        <v>243</v>
      </c>
      <c r="B112" t="s">
        <v>252</v>
      </c>
      <c r="C112">
        <v>1025</v>
      </c>
      <c r="D112" t="s">
        <v>253</v>
      </c>
      <c r="E112" t="s">
        <v>254</v>
      </c>
      <c r="F112">
        <v>5</v>
      </c>
      <c r="G112" s="13">
        <v>46265.310833333337</v>
      </c>
      <c r="H112" s="13">
        <v>46265.311956018515</v>
      </c>
      <c r="I112">
        <v>97</v>
      </c>
      <c r="J112" t="s">
        <v>264</v>
      </c>
      <c r="K112">
        <v>1</v>
      </c>
      <c r="L112">
        <v>0.04</v>
      </c>
      <c r="M112">
        <v>0.04</v>
      </c>
      <c r="N112">
        <v>1</v>
      </c>
      <c r="O112">
        <v>0.04</v>
      </c>
      <c r="P112">
        <v>1.32</v>
      </c>
      <c r="Q112">
        <v>3.2</v>
      </c>
      <c r="R112">
        <v>1.84</v>
      </c>
      <c r="S112" t="s">
        <v>256</v>
      </c>
      <c r="T112" t="s">
        <v>257</v>
      </c>
      <c r="U112">
        <v>11</v>
      </c>
      <c r="V112">
        <v>7240.78</v>
      </c>
      <c r="W112">
        <v>4999.3599999999997</v>
      </c>
      <c r="X112">
        <v>4998.68</v>
      </c>
      <c r="Y112">
        <v>0</v>
      </c>
      <c r="Z112">
        <v>0</v>
      </c>
      <c r="AA112">
        <v>35</v>
      </c>
      <c r="AB112">
        <v>50</v>
      </c>
      <c r="AC112">
        <v>5000</v>
      </c>
      <c r="AD112">
        <v>0</v>
      </c>
      <c r="AE112">
        <v>0</v>
      </c>
      <c r="AF112">
        <v>7243.22</v>
      </c>
      <c r="AG112">
        <v>7243.22</v>
      </c>
      <c r="AH112" s="14">
        <v>46265</v>
      </c>
      <c r="AI112" t="s">
        <v>258</v>
      </c>
      <c r="AJ112" s="13">
        <v>46262.213402777779</v>
      </c>
      <c r="AK112">
        <v>6066.68</v>
      </c>
      <c r="AL112" t="s">
        <v>259</v>
      </c>
      <c r="AM112" t="s">
        <v>260</v>
      </c>
      <c r="AN112">
        <v>1400</v>
      </c>
      <c r="AO112">
        <v>0</v>
      </c>
      <c r="AP112">
        <v>35</v>
      </c>
      <c r="AQ112">
        <v>85</v>
      </c>
      <c r="AR112">
        <v>35</v>
      </c>
      <c r="AS112">
        <v>2</v>
      </c>
      <c r="AT112">
        <v>23</v>
      </c>
      <c r="AU112">
        <v>1</v>
      </c>
      <c r="AV112">
        <v>0</v>
      </c>
      <c r="AW112">
        <v>10</v>
      </c>
      <c r="AX112">
        <v>1</v>
      </c>
      <c r="AY112">
        <v>10</v>
      </c>
      <c r="AZ112">
        <v>5</v>
      </c>
      <c r="BA112">
        <v>1</v>
      </c>
      <c r="BB112">
        <v>1440</v>
      </c>
      <c r="BC112">
        <v>0</v>
      </c>
      <c r="BD112">
        <v>0</v>
      </c>
      <c r="BE112">
        <v>14</v>
      </c>
      <c r="BF112">
        <v>25</v>
      </c>
      <c r="BG112">
        <v>3</v>
      </c>
      <c r="BH112">
        <v>8</v>
      </c>
      <c r="BI112">
        <v>3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0</v>
      </c>
      <c r="BQ112">
        <v>60</v>
      </c>
      <c r="BR112">
        <v>0</v>
      </c>
      <c r="BS112">
        <v>3</v>
      </c>
      <c r="BT112" t="s">
        <v>243</v>
      </c>
      <c r="BU112" t="s">
        <v>261</v>
      </c>
      <c r="BV112" t="b">
        <v>0</v>
      </c>
      <c r="BW112" t="s">
        <v>262</v>
      </c>
    </row>
    <row r="113" spans="1:75">
      <c r="A113" t="s">
        <v>243</v>
      </c>
      <c r="B113" t="s">
        <v>252</v>
      </c>
      <c r="C113">
        <v>1026</v>
      </c>
      <c r="D113" t="s">
        <v>253</v>
      </c>
      <c r="E113" t="s">
        <v>254</v>
      </c>
      <c r="F113">
        <v>5</v>
      </c>
      <c r="G113" s="13">
        <v>46265.31585648148</v>
      </c>
      <c r="H113" s="13">
        <v>46265.316435185188</v>
      </c>
      <c r="I113">
        <v>50</v>
      </c>
      <c r="J113" t="s">
        <v>255</v>
      </c>
      <c r="K113">
        <v>1</v>
      </c>
      <c r="L113">
        <v>0.04</v>
      </c>
      <c r="M113">
        <v>0.04</v>
      </c>
      <c r="N113">
        <v>1</v>
      </c>
      <c r="O113">
        <v>0.04</v>
      </c>
      <c r="P113">
        <v>2.12</v>
      </c>
      <c r="Q113">
        <v>7.84</v>
      </c>
      <c r="R113">
        <v>7.32</v>
      </c>
      <c r="S113" t="s">
        <v>256</v>
      </c>
      <c r="T113" t="s">
        <v>257</v>
      </c>
      <c r="U113">
        <v>11</v>
      </c>
      <c r="V113">
        <v>7242.42</v>
      </c>
      <c r="W113">
        <v>4999.2</v>
      </c>
      <c r="X113">
        <v>4997.88</v>
      </c>
      <c r="Y113">
        <v>0</v>
      </c>
      <c r="Z113">
        <v>0</v>
      </c>
      <c r="AA113">
        <v>35</v>
      </c>
      <c r="AB113">
        <v>50</v>
      </c>
      <c r="AC113">
        <v>5000</v>
      </c>
      <c r="AD113">
        <v>0</v>
      </c>
      <c r="AE113">
        <v>0</v>
      </c>
      <c r="AF113">
        <v>7249.62</v>
      </c>
      <c r="AG113">
        <v>7249.62</v>
      </c>
      <c r="AH113" s="14">
        <v>46265</v>
      </c>
      <c r="AI113" t="s">
        <v>258</v>
      </c>
      <c r="AJ113" s="13">
        <v>46262.213402777779</v>
      </c>
      <c r="AK113">
        <v>6066.68</v>
      </c>
      <c r="AL113" t="s">
        <v>259</v>
      </c>
      <c r="AM113" t="s">
        <v>260</v>
      </c>
      <c r="AN113">
        <v>1400</v>
      </c>
      <c r="AO113">
        <v>0</v>
      </c>
      <c r="AP113">
        <v>35</v>
      </c>
      <c r="AQ113">
        <v>85</v>
      </c>
      <c r="AR113">
        <v>35</v>
      </c>
      <c r="AS113">
        <v>2</v>
      </c>
      <c r="AT113">
        <v>23</v>
      </c>
      <c r="AU113">
        <v>1</v>
      </c>
      <c r="AV113">
        <v>0</v>
      </c>
      <c r="AW113">
        <v>10</v>
      </c>
      <c r="AX113">
        <v>1</v>
      </c>
      <c r="AY113">
        <v>10</v>
      </c>
      <c r="AZ113">
        <v>5</v>
      </c>
      <c r="BA113">
        <v>1</v>
      </c>
      <c r="BB113">
        <v>1440</v>
      </c>
      <c r="BC113">
        <v>0</v>
      </c>
      <c r="BD113">
        <v>0</v>
      </c>
      <c r="BE113">
        <v>14</v>
      </c>
      <c r="BF113">
        <v>25</v>
      </c>
      <c r="BG113">
        <v>3</v>
      </c>
      <c r="BH113">
        <v>8</v>
      </c>
      <c r="BI113">
        <v>3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0</v>
      </c>
      <c r="BQ113">
        <v>60</v>
      </c>
      <c r="BR113">
        <v>0</v>
      </c>
      <c r="BS113">
        <v>3</v>
      </c>
      <c r="BT113" t="s">
        <v>243</v>
      </c>
      <c r="BU113" t="s">
        <v>261</v>
      </c>
      <c r="BV113" t="b">
        <v>0</v>
      </c>
      <c r="BW113" t="s">
        <v>262</v>
      </c>
    </row>
    <row r="114" spans="1:75">
      <c r="A114" t="s">
        <v>243</v>
      </c>
      <c r="B114" t="s">
        <v>252</v>
      </c>
      <c r="C114">
        <v>1027</v>
      </c>
      <c r="D114" t="s">
        <v>253</v>
      </c>
      <c r="E114" t="s">
        <v>254</v>
      </c>
      <c r="F114">
        <v>5</v>
      </c>
      <c r="G114" s="13">
        <v>46265.317511574074</v>
      </c>
      <c r="H114" s="13">
        <v>46265.317731481482</v>
      </c>
      <c r="I114">
        <v>19</v>
      </c>
      <c r="J114" t="s">
        <v>255</v>
      </c>
      <c r="K114">
        <v>1</v>
      </c>
      <c r="L114">
        <v>0.04</v>
      </c>
      <c r="M114">
        <v>0.04</v>
      </c>
      <c r="N114">
        <v>1</v>
      </c>
      <c r="O114">
        <v>0.04</v>
      </c>
      <c r="P114">
        <v>0.64</v>
      </c>
      <c r="Q114">
        <v>4.04</v>
      </c>
      <c r="R114">
        <v>2.84</v>
      </c>
      <c r="S114" t="s">
        <v>256</v>
      </c>
      <c r="T114" t="s">
        <v>257</v>
      </c>
      <c r="U114">
        <v>10</v>
      </c>
      <c r="V114">
        <v>7248.98</v>
      </c>
      <c r="W114">
        <v>4999.3599999999997</v>
      </c>
      <c r="X114">
        <v>4999.3599999999997</v>
      </c>
      <c r="Y114">
        <v>0</v>
      </c>
      <c r="Z114">
        <v>0</v>
      </c>
      <c r="AA114">
        <v>35</v>
      </c>
      <c r="AB114">
        <v>50</v>
      </c>
      <c r="AC114">
        <v>5000</v>
      </c>
      <c r="AD114">
        <v>0</v>
      </c>
      <c r="AE114">
        <v>0</v>
      </c>
      <c r="AF114">
        <v>7252.26</v>
      </c>
      <c r="AG114">
        <v>7252.26</v>
      </c>
      <c r="AH114" s="14">
        <v>46265</v>
      </c>
      <c r="AI114" t="s">
        <v>258</v>
      </c>
      <c r="AJ114" s="13">
        <v>46262.213402777779</v>
      </c>
      <c r="AK114">
        <v>6066.68</v>
      </c>
      <c r="AL114" t="s">
        <v>259</v>
      </c>
      <c r="AM114" t="s">
        <v>260</v>
      </c>
      <c r="AN114">
        <v>1400</v>
      </c>
      <c r="AO114">
        <v>0</v>
      </c>
      <c r="AP114">
        <v>35</v>
      </c>
      <c r="AQ114">
        <v>85</v>
      </c>
      <c r="AR114">
        <v>35</v>
      </c>
      <c r="AS114">
        <v>2</v>
      </c>
      <c r="AT114">
        <v>23</v>
      </c>
      <c r="AU114">
        <v>1</v>
      </c>
      <c r="AV114">
        <v>0</v>
      </c>
      <c r="AW114">
        <v>10</v>
      </c>
      <c r="AX114">
        <v>1</v>
      </c>
      <c r="AY114">
        <v>10</v>
      </c>
      <c r="AZ114">
        <v>5</v>
      </c>
      <c r="BA114">
        <v>1</v>
      </c>
      <c r="BB114">
        <v>1440</v>
      </c>
      <c r="BC114">
        <v>0</v>
      </c>
      <c r="BD114">
        <v>0</v>
      </c>
      <c r="BE114">
        <v>14</v>
      </c>
      <c r="BF114">
        <v>25</v>
      </c>
      <c r="BG114">
        <v>3</v>
      </c>
      <c r="BH114">
        <v>8</v>
      </c>
      <c r="BI114">
        <v>3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0</v>
      </c>
      <c r="BQ114">
        <v>60</v>
      </c>
      <c r="BR114">
        <v>0</v>
      </c>
      <c r="BS114">
        <v>3</v>
      </c>
      <c r="BT114" t="s">
        <v>243</v>
      </c>
      <c r="BU114" t="s">
        <v>261</v>
      </c>
      <c r="BV114" t="b">
        <v>0</v>
      </c>
      <c r="BW114" t="s">
        <v>262</v>
      </c>
    </row>
    <row r="115" spans="1:75">
      <c r="A115" t="s">
        <v>243</v>
      </c>
      <c r="B115" t="s">
        <v>252</v>
      </c>
      <c r="C115">
        <v>1028</v>
      </c>
      <c r="D115" t="s">
        <v>253</v>
      </c>
      <c r="E115" t="s">
        <v>254</v>
      </c>
      <c r="F115">
        <v>5</v>
      </c>
      <c r="G115" s="13">
        <v>46265.331238425926</v>
      </c>
      <c r="H115" s="13">
        <v>46265.331562500003</v>
      </c>
      <c r="I115">
        <v>28</v>
      </c>
      <c r="J115" t="s">
        <v>255</v>
      </c>
      <c r="K115">
        <v>1</v>
      </c>
      <c r="L115">
        <v>0.04</v>
      </c>
      <c r="M115">
        <v>0.04</v>
      </c>
      <c r="N115">
        <v>1</v>
      </c>
      <c r="O115">
        <v>0.04</v>
      </c>
      <c r="P115">
        <v>1.48</v>
      </c>
      <c r="Q115">
        <v>5.92</v>
      </c>
      <c r="R115">
        <v>5.8</v>
      </c>
      <c r="S115" t="s">
        <v>256</v>
      </c>
      <c r="T115" t="s">
        <v>257</v>
      </c>
      <c r="U115">
        <v>10</v>
      </c>
      <c r="V115">
        <v>7251.5</v>
      </c>
      <c r="W115">
        <v>4999.24</v>
      </c>
      <c r="X115">
        <v>4998.5200000000004</v>
      </c>
      <c r="Y115">
        <v>0</v>
      </c>
      <c r="Z115">
        <v>0</v>
      </c>
      <c r="AA115">
        <v>35</v>
      </c>
      <c r="AB115">
        <v>50</v>
      </c>
      <c r="AC115">
        <v>5000</v>
      </c>
      <c r="AD115">
        <v>0</v>
      </c>
      <c r="AE115">
        <v>0</v>
      </c>
      <c r="AF115">
        <v>7256.78</v>
      </c>
      <c r="AG115">
        <v>7256.78</v>
      </c>
      <c r="AH115" s="14">
        <v>46265</v>
      </c>
      <c r="AI115" t="s">
        <v>258</v>
      </c>
      <c r="AJ115" s="13">
        <v>46262.213402777779</v>
      </c>
      <c r="AK115">
        <v>6066.68</v>
      </c>
      <c r="AL115" t="s">
        <v>259</v>
      </c>
      <c r="AM115" t="s">
        <v>260</v>
      </c>
      <c r="AN115">
        <v>1400</v>
      </c>
      <c r="AO115">
        <v>0</v>
      </c>
      <c r="AP115">
        <v>35</v>
      </c>
      <c r="AQ115">
        <v>85</v>
      </c>
      <c r="AR115">
        <v>35</v>
      </c>
      <c r="AS115">
        <v>2</v>
      </c>
      <c r="AT115">
        <v>23</v>
      </c>
      <c r="AU115">
        <v>1</v>
      </c>
      <c r="AV115">
        <v>0</v>
      </c>
      <c r="AW115">
        <v>10</v>
      </c>
      <c r="AX115">
        <v>1</v>
      </c>
      <c r="AY115">
        <v>10</v>
      </c>
      <c r="AZ115">
        <v>5</v>
      </c>
      <c r="BA115">
        <v>1</v>
      </c>
      <c r="BB115">
        <v>1440</v>
      </c>
      <c r="BC115">
        <v>0</v>
      </c>
      <c r="BD115">
        <v>0</v>
      </c>
      <c r="BE115">
        <v>14</v>
      </c>
      <c r="BF115">
        <v>25</v>
      </c>
      <c r="BG115">
        <v>3</v>
      </c>
      <c r="BH115">
        <v>8</v>
      </c>
      <c r="BI115">
        <v>3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0</v>
      </c>
      <c r="BQ115">
        <v>60</v>
      </c>
      <c r="BR115">
        <v>0</v>
      </c>
      <c r="BS115">
        <v>3</v>
      </c>
      <c r="BT115" t="s">
        <v>243</v>
      </c>
      <c r="BU115" t="s">
        <v>261</v>
      </c>
      <c r="BV115" t="b">
        <v>0</v>
      </c>
      <c r="BW115" t="s">
        <v>262</v>
      </c>
    </row>
    <row r="116" spans="1:75">
      <c r="A116" t="s">
        <v>243</v>
      </c>
      <c r="B116" t="s">
        <v>252</v>
      </c>
      <c r="C116">
        <v>1029</v>
      </c>
      <c r="D116" t="s">
        <v>253</v>
      </c>
      <c r="E116" t="s">
        <v>254</v>
      </c>
      <c r="F116">
        <v>5</v>
      </c>
      <c r="G116" s="13">
        <v>46265.335231481484</v>
      </c>
      <c r="H116" s="13">
        <v>46265.3356712963</v>
      </c>
      <c r="I116">
        <v>38</v>
      </c>
      <c r="J116" t="s">
        <v>255</v>
      </c>
      <c r="K116">
        <v>1</v>
      </c>
      <c r="L116">
        <v>0.04</v>
      </c>
      <c r="M116">
        <v>0.04</v>
      </c>
      <c r="N116">
        <v>1</v>
      </c>
      <c r="O116">
        <v>0.04</v>
      </c>
      <c r="P116">
        <v>3.4</v>
      </c>
      <c r="Q116">
        <v>4.68</v>
      </c>
      <c r="R116">
        <v>4.3600000000000003</v>
      </c>
      <c r="S116" t="s">
        <v>256</v>
      </c>
      <c r="T116" t="s">
        <v>257</v>
      </c>
      <c r="U116">
        <v>10</v>
      </c>
      <c r="V116">
        <v>7256.14</v>
      </c>
      <c r="W116">
        <v>4999.3599999999997</v>
      </c>
      <c r="X116">
        <v>4996.6000000000004</v>
      </c>
      <c r="Y116">
        <v>0</v>
      </c>
      <c r="Z116">
        <v>0</v>
      </c>
      <c r="AA116">
        <v>35</v>
      </c>
      <c r="AB116">
        <v>50</v>
      </c>
      <c r="AC116">
        <v>5000</v>
      </c>
      <c r="AD116">
        <v>0</v>
      </c>
      <c r="AE116">
        <v>0</v>
      </c>
      <c r="AF116">
        <v>7259.86</v>
      </c>
      <c r="AG116">
        <v>7259.86</v>
      </c>
      <c r="AH116" s="14">
        <v>46265</v>
      </c>
      <c r="AI116" t="s">
        <v>258</v>
      </c>
      <c r="AJ116" s="13">
        <v>46262.213402777779</v>
      </c>
      <c r="AK116">
        <v>6066.68</v>
      </c>
      <c r="AL116" t="s">
        <v>259</v>
      </c>
      <c r="AM116" t="s">
        <v>260</v>
      </c>
      <c r="AN116">
        <v>1400</v>
      </c>
      <c r="AO116">
        <v>0</v>
      </c>
      <c r="AP116">
        <v>35</v>
      </c>
      <c r="AQ116">
        <v>85</v>
      </c>
      <c r="AR116">
        <v>35</v>
      </c>
      <c r="AS116">
        <v>2</v>
      </c>
      <c r="AT116">
        <v>23</v>
      </c>
      <c r="AU116">
        <v>1</v>
      </c>
      <c r="AV116">
        <v>0</v>
      </c>
      <c r="AW116">
        <v>10</v>
      </c>
      <c r="AX116">
        <v>1</v>
      </c>
      <c r="AY116">
        <v>10</v>
      </c>
      <c r="AZ116">
        <v>5</v>
      </c>
      <c r="BA116">
        <v>1</v>
      </c>
      <c r="BB116">
        <v>1440</v>
      </c>
      <c r="BC116">
        <v>0</v>
      </c>
      <c r="BD116">
        <v>0</v>
      </c>
      <c r="BE116">
        <v>14</v>
      </c>
      <c r="BF116">
        <v>25</v>
      </c>
      <c r="BG116">
        <v>3</v>
      </c>
      <c r="BH116">
        <v>8</v>
      </c>
      <c r="BI116">
        <v>3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0</v>
      </c>
      <c r="BQ116">
        <v>60</v>
      </c>
      <c r="BR116">
        <v>0</v>
      </c>
      <c r="BS116">
        <v>3</v>
      </c>
      <c r="BT116" t="s">
        <v>243</v>
      </c>
      <c r="BU116" t="s">
        <v>261</v>
      </c>
      <c r="BV116" t="b">
        <v>0</v>
      </c>
      <c r="BW116" t="s">
        <v>262</v>
      </c>
    </row>
    <row r="117" spans="1:75">
      <c r="A117" t="s">
        <v>243</v>
      </c>
      <c r="B117" t="s">
        <v>252</v>
      </c>
      <c r="C117">
        <v>1030</v>
      </c>
      <c r="D117" t="s">
        <v>253</v>
      </c>
      <c r="E117" t="s">
        <v>254</v>
      </c>
      <c r="F117">
        <v>5</v>
      </c>
      <c r="G117" s="13">
        <v>46265.339849537035</v>
      </c>
      <c r="H117" s="13">
        <v>46265.340092592596</v>
      </c>
      <c r="I117">
        <v>21</v>
      </c>
      <c r="J117" t="s">
        <v>264</v>
      </c>
      <c r="K117">
        <v>1</v>
      </c>
      <c r="L117">
        <v>0.04</v>
      </c>
      <c r="M117">
        <v>0.04</v>
      </c>
      <c r="N117">
        <v>1</v>
      </c>
      <c r="O117">
        <v>0.04</v>
      </c>
      <c r="P117">
        <v>1.72</v>
      </c>
      <c r="Q117">
        <v>3.88</v>
      </c>
      <c r="R117">
        <v>2.88</v>
      </c>
      <c r="S117" t="s">
        <v>256</v>
      </c>
      <c r="T117" t="s">
        <v>257</v>
      </c>
      <c r="U117">
        <v>10</v>
      </c>
      <c r="V117">
        <v>7259.1</v>
      </c>
      <c r="W117">
        <v>4999.24</v>
      </c>
      <c r="X117">
        <v>4998.28</v>
      </c>
      <c r="Y117">
        <v>0</v>
      </c>
      <c r="Z117">
        <v>0</v>
      </c>
      <c r="AA117">
        <v>35</v>
      </c>
      <c r="AB117">
        <v>50</v>
      </c>
      <c r="AC117">
        <v>5000</v>
      </c>
      <c r="AD117">
        <v>0</v>
      </c>
      <c r="AE117">
        <v>0</v>
      </c>
      <c r="AF117">
        <v>7262.34</v>
      </c>
      <c r="AG117">
        <v>7262.34</v>
      </c>
      <c r="AH117" s="14">
        <v>46265</v>
      </c>
      <c r="AI117" t="s">
        <v>258</v>
      </c>
      <c r="AJ117" s="13">
        <v>46262.213402777779</v>
      </c>
      <c r="AK117">
        <v>6066.68</v>
      </c>
      <c r="AL117" t="s">
        <v>259</v>
      </c>
      <c r="AM117" t="s">
        <v>260</v>
      </c>
      <c r="AN117">
        <v>1400</v>
      </c>
      <c r="AO117">
        <v>0</v>
      </c>
      <c r="AP117">
        <v>35</v>
      </c>
      <c r="AQ117">
        <v>85</v>
      </c>
      <c r="AR117">
        <v>35</v>
      </c>
      <c r="AS117">
        <v>2</v>
      </c>
      <c r="AT117">
        <v>23</v>
      </c>
      <c r="AU117">
        <v>1</v>
      </c>
      <c r="AV117">
        <v>0</v>
      </c>
      <c r="AW117">
        <v>10</v>
      </c>
      <c r="AX117">
        <v>1</v>
      </c>
      <c r="AY117">
        <v>10</v>
      </c>
      <c r="AZ117">
        <v>5</v>
      </c>
      <c r="BA117">
        <v>1</v>
      </c>
      <c r="BB117">
        <v>1440</v>
      </c>
      <c r="BC117">
        <v>0</v>
      </c>
      <c r="BD117">
        <v>0</v>
      </c>
      <c r="BE117">
        <v>14</v>
      </c>
      <c r="BF117">
        <v>25</v>
      </c>
      <c r="BG117">
        <v>3</v>
      </c>
      <c r="BH117">
        <v>8</v>
      </c>
      <c r="BI117">
        <v>3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0</v>
      </c>
      <c r="BQ117">
        <v>60</v>
      </c>
      <c r="BR117">
        <v>0</v>
      </c>
      <c r="BS117">
        <v>3</v>
      </c>
      <c r="BT117" t="s">
        <v>243</v>
      </c>
      <c r="BU117" t="s">
        <v>261</v>
      </c>
      <c r="BV117" t="b">
        <v>0</v>
      </c>
      <c r="BW117" t="s">
        <v>262</v>
      </c>
    </row>
    <row r="118" spans="1:75">
      <c r="A118" t="s">
        <v>243</v>
      </c>
      <c r="B118" t="s">
        <v>252</v>
      </c>
      <c r="C118">
        <v>1031</v>
      </c>
      <c r="D118" t="s">
        <v>253</v>
      </c>
      <c r="E118" t="s">
        <v>254</v>
      </c>
      <c r="F118">
        <v>5</v>
      </c>
      <c r="G118" s="13">
        <v>46265.341863425929</v>
      </c>
      <c r="H118" s="13">
        <v>46265.342974537038</v>
      </c>
      <c r="I118">
        <v>96</v>
      </c>
      <c r="J118" t="s">
        <v>255</v>
      </c>
      <c r="K118">
        <v>1</v>
      </c>
      <c r="L118">
        <v>0.04</v>
      </c>
      <c r="M118">
        <v>0.04</v>
      </c>
      <c r="N118">
        <v>1</v>
      </c>
      <c r="O118">
        <v>0.04</v>
      </c>
      <c r="P118">
        <v>2.3199999999999998</v>
      </c>
      <c r="Q118">
        <v>7.68</v>
      </c>
      <c r="R118">
        <v>7.08</v>
      </c>
      <c r="S118" t="s">
        <v>256</v>
      </c>
      <c r="T118" t="s">
        <v>257</v>
      </c>
      <c r="U118">
        <v>11</v>
      </c>
      <c r="V118">
        <v>7263.34</v>
      </c>
      <c r="W118">
        <v>5001</v>
      </c>
      <c r="X118">
        <v>4997.68</v>
      </c>
      <c r="Y118">
        <v>0</v>
      </c>
      <c r="Z118">
        <v>0</v>
      </c>
      <c r="AA118">
        <v>35</v>
      </c>
      <c r="AB118">
        <v>50</v>
      </c>
      <c r="AC118">
        <v>5000</v>
      </c>
      <c r="AD118">
        <v>0</v>
      </c>
      <c r="AE118">
        <v>0</v>
      </c>
      <c r="AF118">
        <v>7268.62</v>
      </c>
      <c r="AG118">
        <v>7268.62</v>
      </c>
      <c r="AH118" s="14">
        <v>46265</v>
      </c>
      <c r="AI118" t="s">
        <v>258</v>
      </c>
      <c r="AJ118" s="13">
        <v>46262.213402777779</v>
      </c>
      <c r="AK118">
        <v>6066.68</v>
      </c>
      <c r="AL118" t="s">
        <v>259</v>
      </c>
      <c r="AM118" t="s">
        <v>260</v>
      </c>
      <c r="AN118">
        <v>1400</v>
      </c>
      <c r="AO118">
        <v>0</v>
      </c>
      <c r="AP118">
        <v>35</v>
      </c>
      <c r="AQ118">
        <v>85</v>
      </c>
      <c r="AR118">
        <v>35</v>
      </c>
      <c r="AS118">
        <v>2</v>
      </c>
      <c r="AT118">
        <v>23</v>
      </c>
      <c r="AU118">
        <v>1</v>
      </c>
      <c r="AV118">
        <v>0</v>
      </c>
      <c r="AW118">
        <v>10</v>
      </c>
      <c r="AX118">
        <v>1</v>
      </c>
      <c r="AY118">
        <v>10</v>
      </c>
      <c r="AZ118">
        <v>5</v>
      </c>
      <c r="BA118">
        <v>1</v>
      </c>
      <c r="BB118">
        <v>1440</v>
      </c>
      <c r="BC118">
        <v>0</v>
      </c>
      <c r="BD118">
        <v>0</v>
      </c>
      <c r="BE118">
        <v>14</v>
      </c>
      <c r="BF118">
        <v>25</v>
      </c>
      <c r="BG118">
        <v>3</v>
      </c>
      <c r="BH118">
        <v>8</v>
      </c>
      <c r="BI118">
        <v>3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0</v>
      </c>
      <c r="BQ118">
        <v>60</v>
      </c>
      <c r="BR118">
        <v>0</v>
      </c>
      <c r="BS118">
        <v>3</v>
      </c>
      <c r="BT118" t="s">
        <v>243</v>
      </c>
      <c r="BU118" t="s">
        <v>261</v>
      </c>
      <c r="BV118" t="b">
        <v>0</v>
      </c>
      <c r="BW118" t="s">
        <v>262</v>
      </c>
    </row>
    <row r="119" spans="1:75">
      <c r="A119" t="s">
        <v>243</v>
      </c>
      <c r="B119" t="s">
        <v>252</v>
      </c>
      <c r="C119">
        <v>1032</v>
      </c>
      <c r="D119" t="s">
        <v>253</v>
      </c>
      <c r="E119" t="s">
        <v>254</v>
      </c>
      <c r="F119">
        <v>5</v>
      </c>
      <c r="G119" s="13">
        <v>46265.34611111111</v>
      </c>
      <c r="H119" s="13">
        <v>46265.346898148149</v>
      </c>
      <c r="I119">
        <v>68</v>
      </c>
      <c r="J119" t="s">
        <v>255</v>
      </c>
      <c r="K119">
        <v>1</v>
      </c>
      <c r="L119">
        <v>0.04</v>
      </c>
      <c r="M119">
        <v>0.04</v>
      </c>
      <c r="N119">
        <v>1</v>
      </c>
      <c r="O119">
        <v>0.04</v>
      </c>
      <c r="P119">
        <v>0.68</v>
      </c>
      <c r="Q119">
        <v>6.4</v>
      </c>
      <c r="R119">
        <v>5.08</v>
      </c>
      <c r="S119" t="s">
        <v>256</v>
      </c>
      <c r="T119" t="s">
        <v>257</v>
      </c>
      <c r="U119">
        <v>10</v>
      </c>
      <c r="V119">
        <v>7267.94</v>
      </c>
      <c r="W119">
        <v>4999.32</v>
      </c>
      <c r="X119">
        <v>4999.32</v>
      </c>
      <c r="Y119">
        <v>0</v>
      </c>
      <c r="Z119">
        <v>0</v>
      </c>
      <c r="AA119">
        <v>35</v>
      </c>
      <c r="AB119">
        <v>50</v>
      </c>
      <c r="AC119">
        <v>5000</v>
      </c>
      <c r="AD119">
        <v>0</v>
      </c>
      <c r="AE119">
        <v>0</v>
      </c>
      <c r="AF119">
        <v>7273.62</v>
      </c>
      <c r="AG119">
        <v>7273.62</v>
      </c>
      <c r="AH119" s="14">
        <v>46265</v>
      </c>
      <c r="AI119" t="s">
        <v>258</v>
      </c>
      <c r="AJ119" s="13">
        <v>46262.213402777779</v>
      </c>
      <c r="AK119">
        <v>6066.68</v>
      </c>
      <c r="AL119" t="s">
        <v>259</v>
      </c>
      <c r="AM119" t="s">
        <v>260</v>
      </c>
      <c r="AN119">
        <v>1400</v>
      </c>
      <c r="AO119">
        <v>0</v>
      </c>
      <c r="AP119">
        <v>35</v>
      </c>
      <c r="AQ119">
        <v>85</v>
      </c>
      <c r="AR119">
        <v>35</v>
      </c>
      <c r="AS119">
        <v>2</v>
      </c>
      <c r="AT119">
        <v>23</v>
      </c>
      <c r="AU119">
        <v>1</v>
      </c>
      <c r="AV119">
        <v>0</v>
      </c>
      <c r="AW119">
        <v>10</v>
      </c>
      <c r="AX119">
        <v>1</v>
      </c>
      <c r="AY119">
        <v>10</v>
      </c>
      <c r="AZ119">
        <v>5</v>
      </c>
      <c r="BA119">
        <v>1</v>
      </c>
      <c r="BB119">
        <v>1440</v>
      </c>
      <c r="BC119">
        <v>0</v>
      </c>
      <c r="BD119">
        <v>0</v>
      </c>
      <c r="BE119">
        <v>14</v>
      </c>
      <c r="BF119">
        <v>25</v>
      </c>
      <c r="BG119">
        <v>3</v>
      </c>
      <c r="BH119">
        <v>8</v>
      </c>
      <c r="BI119">
        <v>3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0</v>
      </c>
      <c r="BQ119">
        <v>60</v>
      </c>
      <c r="BR119">
        <v>0</v>
      </c>
      <c r="BS119">
        <v>3</v>
      </c>
      <c r="BT119" t="s">
        <v>243</v>
      </c>
      <c r="BU119" t="s">
        <v>261</v>
      </c>
      <c r="BV119" t="b">
        <v>0</v>
      </c>
      <c r="BW119" t="s">
        <v>262</v>
      </c>
    </row>
    <row r="120" spans="1:75">
      <c r="A120" t="s">
        <v>243</v>
      </c>
      <c r="B120" t="s">
        <v>252</v>
      </c>
      <c r="C120">
        <v>1033</v>
      </c>
      <c r="D120" t="s">
        <v>253</v>
      </c>
      <c r="E120" t="s">
        <v>254</v>
      </c>
      <c r="F120">
        <v>5</v>
      </c>
      <c r="G120" s="13">
        <v>46265.347766203704</v>
      </c>
      <c r="H120" s="13">
        <v>46265.347905092596</v>
      </c>
      <c r="I120">
        <v>12</v>
      </c>
      <c r="J120" t="s">
        <v>255</v>
      </c>
      <c r="K120">
        <v>1</v>
      </c>
      <c r="L120">
        <v>0.04</v>
      </c>
      <c r="M120">
        <v>0.04</v>
      </c>
      <c r="N120">
        <v>1</v>
      </c>
      <c r="O120">
        <v>0.04</v>
      </c>
      <c r="P120">
        <v>0.64</v>
      </c>
      <c r="Q120">
        <v>3.24</v>
      </c>
      <c r="R120">
        <v>2.56</v>
      </c>
      <c r="S120" t="s">
        <v>256</v>
      </c>
      <c r="T120" t="s">
        <v>257</v>
      </c>
      <c r="U120">
        <v>11</v>
      </c>
      <c r="V120">
        <v>7272.98</v>
      </c>
      <c r="W120">
        <v>4999.3599999999997</v>
      </c>
      <c r="X120">
        <v>4999.3599999999997</v>
      </c>
      <c r="Y120">
        <v>0</v>
      </c>
      <c r="Z120">
        <v>0</v>
      </c>
      <c r="AA120">
        <v>35</v>
      </c>
      <c r="AB120">
        <v>50</v>
      </c>
      <c r="AC120">
        <v>5000</v>
      </c>
      <c r="AD120">
        <v>0</v>
      </c>
      <c r="AE120">
        <v>0</v>
      </c>
      <c r="AF120">
        <v>7275.46</v>
      </c>
      <c r="AG120">
        <v>7275.46</v>
      </c>
      <c r="AH120" s="14">
        <v>46265</v>
      </c>
      <c r="AI120" t="s">
        <v>258</v>
      </c>
      <c r="AJ120" s="13">
        <v>46262.213402777779</v>
      </c>
      <c r="AK120">
        <v>6066.68</v>
      </c>
      <c r="AL120" t="s">
        <v>259</v>
      </c>
      <c r="AM120" t="s">
        <v>260</v>
      </c>
      <c r="AN120">
        <v>1400</v>
      </c>
      <c r="AO120">
        <v>0</v>
      </c>
      <c r="AP120">
        <v>35</v>
      </c>
      <c r="AQ120">
        <v>85</v>
      </c>
      <c r="AR120">
        <v>35</v>
      </c>
      <c r="AS120">
        <v>2</v>
      </c>
      <c r="AT120">
        <v>23</v>
      </c>
      <c r="AU120">
        <v>1</v>
      </c>
      <c r="AV120">
        <v>0</v>
      </c>
      <c r="AW120">
        <v>10</v>
      </c>
      <c r="AX120">
        <v>1</v>
      </c>
      <c r="AY120">
        <v>10</v>
      </c>
      <c r="AZ120">
        <v>5</v>
      </c>
      <c r="BA120">
        <v>1</v>
      </c>
      <c r="BB120">
        <v>1440</v>
      </c>
      <c r="BC120">
        <v>0</v>
      </c>
      <c r="BD120">
        <v>0</v>
      </c>
      <c r="BE120">
        <v>14</v>
      </c>
      <c r="BF120">
        <v>25</v>
      </c>
      <c r="BG120">
        <v>3</v>
      </c>
      <c r="BH120">
        <v>8</v>
      </c>
      <c r="BI120">
        <v>3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0</v>
      </c>
      <c r="BQ120">
        <v>60</v>
      </c>
      <c r="BR120">
        <v>0</v>
      </c>
      <c r="BS120">
        <v>3</v>
      </c>
      <c r="BT120" t="s">
        <v>243</v>
      </c>
      <c r="BU120" t="s">
        <v>261</v>
      </c>
      <c r="BV120" t="b">
        <v>0</v>
      </c>
      <c r="BW120" t="s">
        <v>262</v>
      </c>
    </row>
    <row r="121" spans="1:75">
      <c r="A121" t="s">
        <v>243</v>
      </c>
      <c r="B121" t="s">
        <v>252</v>
      </c>
      <c r="C121">
        <v>1034</v>
      </c>
      <c r="D121" t="s">
        <v>253</v>
      </c>
      <c r="E121" t="s">
        <v>254</v>
      </c>
      <c r="F121">
        <v>5</v>
      </c>
      <c r="G121" s="13">
        <v>46265.35193287037</v>
      </c>
      <c r="H121" s="13">
        <v>46265.35229166667</v>
      </c>
      <c r="I121">
        <v>31</v>
      </c>
      <c r="J121" t="s">
        <v>255</v>
      </c>
      <c r="K121">
        <v>1</v>
      </c>
      <c r="L121">
        <v>0.04</v>
      </c>
      <c r="M121">
        <v>0.04</v>
      </c>
      <c r="N121">
        <v>1</v>
      </c>
      <c r="O121">
        <v>0.04</v>
      </c>
      <c r="P121">
        <v>2.56</v>
      </c>
      <c r="Q121">
        <v>3.48</v>
      </c>
      <c r="R121">
        <v>2.2400000000000002</v>
      </c>
      <c r="S121" t="s">
        <v>256</v>
      </c>
      <c r="T121" t="s">
        <v>257</v>
      </c>
      <c r="U121">
        <v>11</v>
      </c>
      <c r="V121">
        <v>7274.78</v>
      </c>
      <c r="W121">
        <v>4999.32</v>
      </c>
      <c r="X121">
        <v>4997.4399999999996</v>
      </c>
      <c r="Y121">
        <v>0</v>
      </c>
      <c r="Z121">
        <v>0</v>
      </c>
      <c r="AA121">
        <v>35</v>
      </c>
      <c r="AB121">
        <v>50</v>
      </c>
      <c r="AC121">
        <v>5000</v>
      </c>
      <c r="AD121">
        <v>0</v>
      </c>
      <c r="AE121">
        <v>0</v>
      </c>
      <c r="AF121">
        <v>7277.54</v>
      </c>
      <c r="AG121">
        <v>7277.54</v>
      </c>
      <c r="AH121" s="14">
        <v>46265</v>
      </c>
      <c r="AI121" t="s">
        <v>258</v>
      </c>
      <c r="AJ121" s="13">
        <v>46262.213402777779</v>
      </c>
      <c r="AK121">
        <v>6066.68</v>
      </c>
      <c r="AL121" t="s">
        <v>259</v>
      </c>
      <c r="AM121" t="s">
        <v>260</v>
      </c>
      <c r="AN121">
        <v>1400</v>
      </c>
      <c r="AO121">
        <v>0</v>
      </c>
      <c r="AP121">
        <v>35</v>
      </c>
      <c r="AQ121">
        <v>85</v>
      </c>
      <c r="AR121">
        <v>35</v>
      </c>
      <c r="AS121">
        <v>2</v>
      </c>
      <c r="AT121">
        <v>23</v>
      </c>
      <c r="AU121">
        <v>1</v>
      </c>
      <c r="AV121">
        <v>0</v>
      </c>
      <c r="AW121">
        <v>10</v>
      </c>
      <c r="AX121">
        <v>1</v>
      </c>
      <c r="AY121">
        <v>10</v>
      </c>
      <c r="AZ121">
        <v>5</v>
      </c>
      <c r="BA121">
        <v>1</v>
      </c>
      <c r="BB121">
        <v>1440</v>
      </c>
      <c r="BC121">
        <v>0</v>
      </c>
      <c r="BD121">
        <v>0</v>
      </c>
      <c r="BE121">
        <v>14</v>
      </c>
      <c r="BF121">
        <v>25</v>
      </c>
      <c r="BG121">
        <v>3</v>
      </c>
      <c r="BH121">
        <v>8</v>
      </c>
      <c r="BI121">
        <v>3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0</v>
      </c>
      <c r="BQ121">
        <v>60</v>
      </c>
      <c r="BR121">
        <v>0</v>
      </c>
      <c r="BS121">
        <v>3</v>
      </c>
      <c r="BT121" t="s">
        <v>243</v>
      </c>
      <c r="BU121" t="s">
        <v>261</v>
      </c>
      <c r="BV121" t="b">
        <v>0</v>
      </c>
      <c r="BW121" t="s">
        <v>262</v>
      </c>
    </row>
    <row r="122" spans="1:75">
      <c r="A122" t="s">
        <v>243</v>
      </c>
      <c r="B122" t="s">
        <v>252</v>
      </c>
      <c r="C122">
        <v>1035</v>
      </c>
      <c r="D122" t="s">
        <v>253</v>
      </c>
      <c r="E122" t="s">
        <v>254</v>
      </c>
      <c r="F122">
        <v>5</v>
      </c>
      <c r="G122" s="13">
        <v>46265.354386574072</v>
      </c>
      <c r="H122" s="13">
        <v>46265.354699074072</v>
      </c>
      <c r="I122">
        <v>27</v>
      </c>
      <c r="J122" t="s">
        <v>264</v>
      </c>
      <c r="K122">
        <v>1</v>
      </c>
      <c r="L122">
        <v>0.04</v>
      </c>
      <c r="M122">
        <v>0.04</v>
      </c>
      <c r="N122">
        <v>1</v>
      </c>
      <c r="O122">
        <v>0.04</v>
      </c>
      <c r="P122">
        <v>2</v>
      </c>
      <c r="Q122">
        <v>8.4</v>
      </c>
      <c r="R122">
        <v>7.68</v>
      </c>
      <c r="S122" t="s">
        <v>256</v>
      </c>
      <c r="T122" t="s">
        <v>257</v>
      </c>
      <c r="U122">
        <v>10</v>
      </c>
      <c r="V122">
        <v>7276.9</v>
      </c>
      <c r="W122">
        <v>4999.3599999999997</v>
      </c>
      <c r="X122">
        <v>4998</v>
      </c>
      <c r="Y122">
        <v>0</v>
      </c>
      <c r="Z122">
        <v>0</v>
      </c>
      <c r="AA122">
        <v>35</v>
      </c>
      <c r="AB122">
        <v>50</v>
      </c>
      <c r="AC122">
        <v>5000</v>
      </c>
      <c r="AD122">
        <v>0</v>
      </c>
      <c r="AE122">
        <v>0</v>
      </c>
      <c r="AF122">
        <v>7284.54</v>
      </c>
      <c r="AG122">
        <v>7284.54</v>
      </c>
      <c r="AH122" s="14">
        <v>46265</v>
      </c>
      <c r="AI122" t="s">
        <v>258</v>
      </c>
      <c r="AJ122" s="13">
        <v>46262.213402777779</v>
      </c>
      <c r="AK122">
        <v>6066.68</v>
      </c>
      <c r="AL122" t="s">
        <v>259</v>
      </c>
      <c r="AM122" t="s">
        <v>260</v>
      </c>
      <c r="AN122">
        <v>1400</v>
      </c>
      <c r="AO122">
        <v>0</v>
      </c>
      <c r="AP122">
        <v>35</v>
      </c>
      <c r="AQ122">
        <v>85</v>
      </c>
      <c r="AR122">
        <v>35</v>
      </c>
      <c r="AS122">
        <v>2</v>
      </c>
      <c r="AT122">
        <v>23</v>
      </c>
      <c r="AU122">
        <v>1</v>
      </c>
      <c r="AV122">
        <v>0</v>
      </c>
      <c r="AW122">
        <v>10</v>
      </c>
      <c r="AX122">
        <v>1</v>
      </c>
      <c r="AY122">
        <v>10</v>
      </c>
      <c r="AZ122">
        <v>5</v>
      </c>
      <c r="BA122">
        <v>1</v>
      </c>
      <c r="BB122">
        <v>1440</v>
      </c>
      <c r="BC122">
        <v>0</v>
      </c>
      <c r="BD122">
        <v>0</v>
      </c>
      <c r="BE122">
        <v>14</v>
      </c>
      <c r="BF122">
        <v>25</v>
      </c>
      <c r="BG122">
        <v>3</v>
      </c>
      <c r="BH122">
        <v>8</v>
      </c>
      <c r="BI122">
        <v>3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0</v>
      </c>
      <c r="BQ122">
        <v>60</v>
      </c>
      <c r="BR122">
        <v>0</v>
      </c>
      <c r="BS122">
        <v>3</v>
      </c>
      <c r="BT122" t="s">
        <v>243</v>
      </c>
      <c r="BU122" t="s">
        <v>261</v>
      </c>
      <c r="BV122" t="b">
        <v>0</v>
      </c>
      <c r="BW122" t="s">
        <v>262</v>
      </c>
    </row>
    <row r="123" spans="1:75">
      <c r="A123" t="s">
        <v>243</v>
      </c>
      <c r="B123" t="s">
        <v>252</v>
      </c>
      <c r="C123">
        <v>1036</v>
      </c>
      <c r="D123" t="s">
        <v>253</v>
      </c>
      <c r="E123" t="s">
        <v>254</v>
      </c>
      <c r="F123">
        <v>5</v>
      </c>
      <c r="G123" s="13">
        <v>46265.360081018516</v>
      </c>
      <c r="H123" s="13">
        <v>46265.360196759262</v>
      </c>
      <c r="I123">
        <v>10</v>
      </c>
      <c r="J123" t="s">
        <v>255</v>
      </c>
      <c r="K123">
        <v>1</v>
      </c>
      <c r="L123">
        <v>0.04</v>
      </c>
      <c r="M123">
        <v>0.04</v>
      </c>
      <c r="N123">
        <v>1</v>
      </c>
      <c r="O123">
        <v>0.04</v>
      </c>
      <c r="P123">
        <v>0.64</v>
      </c>
      <c r="Q123">
        <v>4.5999999999999996</v>
      </c>
      <c r="R123">
        <v>3.52</v>
      </c>
      <c r="S123" t="s">
        <v>256</v>
      </c>
      <c r="T123" t="s">
        <v>257</v>
      </c>
      <c r="U123">
        <v>10</v>
      </c>
      <c r="V123">
        <v>7283.9</v>
      </c>
      <c r="W123">
        <v>4999.3599999999997</v>
      </c>
      <c r="X123">
        <v>4999.3599999999997</v>
      </c>
      <c r="Y123">
        <v>0</v>
      </c>
      <c r="Z123">
        <v>0</v>
      </c>
      <c r="AA123">
        <v>35</v>
      </c>
      <c r="AB123">
        <v>50</v>
      </c>
      <c r="AC123">
        <v>5000</v>
      </c>
      <c r="AD123">
        <v>0</v>
      </c>
      <c r="AE123">
        <v>0</v>
      </c>
      <c r="AF123">
        <v>7287.74</v>
      </c>
      <c r="AG123">
        <v>7287.74</v>
      </c>
      <c r="AH123" s="14">
        <v>46265</v>
      </c>
      <c r="AI123" t="s">
        <v>258</v>
      </c>
      <c r="AJ123" s="13">
        <v>46262.213402777779</v>
      </c>
      <c r="AK123">
        <v>6066.68</v>
      </c>
      <c r="AL123" t="s">
        <v>259</v>
      </c>
      <c r="AM123" t="s">
        <v>260</v>
      </c>
      <c r="AN123">
        <v>1400</v>
      </c>
      <c r="AO123">
        <v>0</v>
      </c>
      <c r="AP123">
        <v>35</v>
      </c>
      <c r="AQ123">
        <v>85</v>
      </c>
      <c r="AR123">
        <v>35</v>
      </c>
      <c r="AS123">
        <v>2</v>
      </c>
      <c r="AT123">
        <v>23</v>
      </c>
      <c r="AU123">
        <v>1</v>
      </c>
      <c r="AV123">
        <v>0</v>
      </c>
      <c r="AW123">
        <v>10</v>
      </c>
      <c r="AX123">
        <v>1</v>
      </c>
      <c r="AY123">
        <v>10</v>
      </c>
      <c r="AZ123">
        <v>5</v>
      </c>
      <c r="BA123">
        <v>1</v>
      </c>
      <c r="BB123">
        <v>1440</v>
      </c>
      <c r="BC123">
        <v>0</v>
      </c>
      <c r="BD123">
        <v>0</v>
      </c>
      <c r="BE123">
        <v>14</v>
      </c>
      <c r="BF123">
        <v>25</v>
      </c>
      <c r="BG123">
        <v>3</v>
      </c>
      <c r="BH123">
        <v>8</v>
      </c>
      <c r="BI123">
        <v>3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0</v>
      </c>
      <c r="BQ123">
        <v>60</v>
      </c>
      <c r="BR123">
        <v>0</v>
      </c>
      <c r="BS123">
        <v>3</v>
      </c>
      <c r="BT123" t="s">
        <v>243</v>
      </c>
      <c r="BU123" t="s">
        <v>261</v>
      </c>
      <c r="BV123" t="b">
        <v>0</v>
      </c>
      <c r="BW123" t="s">
        <v>262</v>
      </c>
    </row>
    <row r="124" spans="1:75">
      <c r="A124" t="s">
        <v>243</v>
      </c>
      <c r="B124" t="s">
        <v>252</v>
      </c>
      <c r="C124">
        <v>1037</v>
      </c>
      <c r="D124" t="s">
        <v>253</v>
      </c>
      <c r="E124" t="s">
        <v>254</v>
      </c>
      <c r="F124">
        <v>5</v>
      </c>
      <c r="G124" s="13">
        <v>46265.362395833334</v>
      </c>
      <c r="H124" s="13">
        <v>46265.362824074073</v>
      </c>
      <c r="I124">
        <v>37</v>
      </c>
      <c r="J124" t="s">
        <v>255</v>
      </c>
      <c r="K124">
        <v>1</v>
      </c>
      <c r="L124">
        <v>0.04</v>
      </c>
      <c r="M124">
        <v>0.04</v>
      </c>
      <c r="N124">
        <v>1</v>
      </c>
      <c r="O124">
        <v>0.04</v>
      </c>
      <c r="P124">
        <v>3.6</v>
      </c>
      <c r="Q124">
        <v>4.72</v>
      </c>
      <c r="R124">
        <v>3.96</v>
      </c>
      <c r="S124" t="s">
        <v>256</v>
      </c>
      <c r="T124" t="s">
        <v>257</v>
      </c>
      <c r="U124">
        <v>11</v>
      </c>
      <c r="V124">
        <v>7287.1</v>
      </c>
      <c r="W124">
        <v>4999.3599999999997</v>
      </c>
      <c r="X124">
        <v>4996.3999999999996</v>
      </c>
      <c r="Y124">
        <v>0</v>
      </c>
      <c r="Z124">
        <v>0</v>
      </c>
      <c r="AA124">
        <v>35</v>
      </c>
      <c r="AB124">
        <v>50</v>
      </c>
      <c r="AC124">
        <v>5000</v>
      </c>
      <c r="AD124">
        <v>0</v>
      </c>
      <c r="AE124">
        <v>0</v>
      </c>
      <c r="AF124">
        <v>7291.06</v>
      </c>
      <c r="AG124">
        <v>7291.06</v>
      </c>
      <c r="AH124" s="14">
        <v>46265</v>
      </c>
      <c r="AI124" t="s">
        <v>258</v>
      </c>
      <c r="AJ124" s="13">
        <v>46262.213402777779</v>
      </c>
      <c r="AK124">
        <v>6066.68</v>
      </c>
      <c r="AL124" t="s">
        <v>259</v>
      </c>
      <c r="AM124" t="s">
        <v>260</v>
      </c>
      <c r="AN124">
        <v>1400</v>
      </c>
      <c r="AO124">
        <v>0</v>
      </c>
      <c r="AP124">
        <v>35</v>
      </c>
      <c r="AQ124">
        <v>85</v>
      </c>
      <c r="AR124">
        <v>35</v>
      </c>
      <c r="AS124">
        <v>2</v>
      </c>
      <c r="AT124">
        <v>23</v>
      </c>
      <c r="AU124">
        <v>1</v>
      </c>
      <c r="AV124">
        <v>0</v>
      </c>
      <c r="AW124">
        <v>10</v>
      </c>
      <c r="AX124">
        <v>1</v>
      </c>
      <c r="AY124">
        <v>10</v>
      </c>
      <c r="AZ124">
        <v>5</v>
      </c>
      <c r="BA124">
        <v>1</v>
      </c>
      <c r="BB124">
        <v>1440</v>
      </c>
      <c r="BC124">
        <v>0</v>
      </c>
      <c r="BD124">
        <v>0</v>
      </c>
      <c r="BE124">
        <v>14</v>
      </c>
      <c r="BF124">
        <v>25</v>
      </c>
      <c r="BG124">
        <v>3</v>
      </c>
      <c r="BH124">
        <v>8</v>
      </c>
      <c r="BI124">
        <v>3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0</v>
      </c>
      <c r="BQ124">
        <v>60</v>
      </c>
      <c r="BR124">
        <v>0</v>
      </c>
      <c r="BS124">
        <v>3</v>
      </c>
      <c r="BT124" t="s">
        <v>243</v>
      </c>
      <c r="BU124" t="s">
        <v>261</v>
      </c>
      <c r="BV124" t="b">
        <v>0</v>
      </c>
      <c r="BW124" t="s">
        <v>262</v>
      </c>
    </row>
    <row r="125" spans="1:75">
      <c r="A125" t="s">
        <v>243</v>
      </c>
      <c r="B125" t="s">
        <v>252</v>
      </c>
      <c r="C125">
        <v>1038</v>
      </c>
      <c r="D125" t="s">
        <v>253</v>
      </c>
      <c r="E125" t="s">
        <v>254</v>
      </c>
      <c r="F125">
        <v>5</v>
      </c>
      <c r="G125" s="13">
        <v>46265.366342592592</v>
      </c>
      <c r="H125" s="13">
        <v>46265.366446759261</v>
      </c>
      <c r="I125">
        <v>9</v>
      </c>
      <c r="J125" t="s">
        <v>255</v>
      </c>
      <c r="K125">
        <v>1</v>
      </c>
      <c r="L125">
        <v>0.04</v>
      </c>
      <c r="M125">
        <v>0.04</v>
      </c>
      <c r="N125">
        <v>1</v>
      </c>
      <c r="O125">
        <v>0.04</v>
      </c>
      <c r="P125">
        <v>1.8</v>
      </c>
      <c r="Q125">
        <v>4.16</v>
      </c>
      <c r="R125">
        <v>4.16</v>
      </c>
      <c r="S125" t="s">
        <v>256</v>
      </c>
      <c r="T125" t="s">
        <v>257</v>
      </c>
      <c r="U125">
        <v>11</v>
      </c>
      <c r="V125">
        <v>7290.38</v>
      </c>
      <c r="W125">
        <v>4999.32</v>
      </c>
      <c r="X125">
        <v>4998.2</v>
      </c>
      <c r="Y125">
        <v>0</v>
      </c>
      <c r="Z125">
        <v>0</v>
      </c>
      <c r="AA125">
        <v>35</v>
      </c>
      <c r="AB125">
        <v>50</v>
      </c>
      <c r="AC125">
        <v>5000</v>
      </c>
      <c r="AD125">
        <v>0</v>
      </c>
      <c r="AE125">
        <v>0</v>
      </c>
      <c r="AF125">
        <v>7293.82</v>
      </c>
      <c r="AG125">
        <v>7293.82</v>
      </c>
      <c r="AH125" s="14">
        <v>46265</v>
      </c>
      <c r="AI125" t="s">
        <v>258</v>
      </c>
      <c r="AJ125" s="13">
        <v>46262.213402777779</v>
      </c>
      <c r="AK125">
        <v>6066.68</v>
      </c>
      <c r="AL125" t="s">
        <v>259</v>
      </c>
      <c r="AM125" t="s">
        <v>260</v>
      </c>
      <c r="AN125">
        <v>1400</v>
      </c>
      <c r="AO125">
        <v>0</v>
      </c>
      <c r="AP125">
        <v>35</v>
      </c>
      <c r="AQ125">
        <v>85</v>
      </c>
      <c r="AR125">
        <v>35</v>
      </c>
      <c r="AS125">
        <v>2</v>
      </c>
      <c r="AT125">
        <v>23</v>
      </c>
      <c r="AU125">
        <v>1</v>
      </c>
      <c r="AV125">
        <v>0</v>
      </c>
      <c r="AW125">
        <v>10</v>
      </c>
      <c r="AX125">
        <v>1</v>
      </c>
      <c r="AY125">
        <v>10</v>
      </c>
      <c r="AZ125">
        <v>5</v>
      </c>
      <c r="BA125">
        <v>1</v>
      </c>
      <c r="BB125">
        <v>1440</v>
      </c>
      <c r="BC125">
        <v>0</v>
      </c>
      <c r="BD125">
        <v>0</v>
      </c>
      <c r="BE125">
        <v>14</v>
      </c>
      <c r="BF125">
        <v>25</v>
      </c>
      <c r="BG125">
        <v>3</v>
      </c>
      <c r="BH125">
        <v>8</v>
      </c>
      <c r="BI125">
        <v>3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0</v>
      </c>
      <c r="BQ125">
        <v>60</v>
      </c>
      <c r="BR125">
        <v>0</v>
      </c>
      <c r="BS125">
        <v>3</v>
      </c>
      <c r="BT125" t="s">
        <v>243</v>
      </c>
      <c r="BU125" t="s">
        <v>261</v>
      </c>
      <c r="BV125" t="b">
        <v>0</v>
      </c>
      <c r="BW125" t="s">
        <v>262</v>
      </c>
    </row>
    <row r="126" spans="1:75">
      <c r="A126" t="s">
        <v>243</v>
      </c>
      <c r="B126" t="s">
        <v>252</v>
      </c>
      <c r="C126">
        <v>1039</v>
      </c>
      <c r="D126" t="s">
        <v>253</v>
      </c>
      <c r="E126" t="s">
        <v>254</v>
      </c>
      <c r="F126">
        <v>5</v>
      </c>
      <c r="G126" s="13">
        <v>46265.369942129626</v>
      </c>
      <c r="H126" s="13">
        <v>46265.370046296295</v>
      </c>
      <c r="I126">
        <v>9</v>
      </c>
      <c r="J126" t="s">
        <v>255</v>
      </c>
      <c r="K126">
        <v>1</v>
      </c>
      <c r="L126">
        <v>0.04</v>
      </c>
      <c r="M126">
        <v>0.04</v>
      </c>
      <c r="N126">
        <v>1</v>
      </c>
      <c r="O126">
        <v>0.04</v>
      </c>
      <c r="P126">
        <v>0.88</v>
      </c>
      <c r="Q126">
        <v>4.8</v>
      </c>
      <c r="R126">
        <v>4.8</v>
      </c>
      <c r="S126" t="s">
        <v>256</v>
      </c>
      <c r="T126" t="s">
        <v>257</v>
      </c>
      <c r="U126">
        <v>10</v>
      </c>
      <c r="V126">
        <v>7293.18</v>
      </c>
      <c r="W126">
        <v>4999.3599999999997</v>
      </c>
      <c r="X126">
        <v>4999.12</v>
      </c>
      <c r="Y126">
        <v>0</v>
      </c>
      <c r="Z126">
        <v>0</v>
      </c>
      <c r="AA126">
        <v>35</v>
      </c>
      <c r="AB126">
        <v>50</v>
      </c>
      <c r="AC126">
        <v>5000</v>
      </c>
      <c r="AD126">
        <v>0</v>
      </c>
      <c r="AE126">
        <v>0</v>
      </c>
      <c r="AF126">
        <v>7297.1</v>
      </c>
      <c r="AG126">
        <v>7297.1</v>
      </c>
      <c r="AH126" s="14">
        <v>46265</v>
      </c>
      <c r="AI126" t="s">
        <v>258</v>
      </c>
      <c r="AJ126" s="13">
        <v>46262.213402777779</v>
      </c>
      <c r="AK126">
        <v>6066.68</v>
      </c>
      <c r="AL126" t="s">
        <v>259</v>
      </c>
      <c r="AM126" t="s">
        <v>260</v>
      </c>
      <c r="AN126">
        <v>1400</v>
      </c>
      <c r="AO126">
        <v>0</v>
      </c>
      <c r="AP126">
        <v>35</v>
      </c>
      <c r="AQ126">
        <v>85</v>
      </c>
      <c r="AR126">
        <v>35</v>
      </c>
      <c r="AS126">
        <v>2</v>
      </c>
      <c r="AT126">
        <v>23</v>
      </c>
      <c r="AU126">
        <v>1</v>
      </c>
      <c r="AV126">
        <v>0</v>
      </c>
      <c r="AW126">
        <v>10</v>
      </c>
      <c r="AX126">
        <v>1</v>
      </c>
      <c r="AY126">
        <v>10</v>
      </c>
      <c r="AZ126">
        <v>5</v>
      </c>
      <c r="BA126">
        <v>1</v>
      </c>
      <c r="BB126">
        <v>1440</v>
      </c>
      <c r="BC126">
        <v>0</v>
      </c>
      <c r="BD126">
        <v>0</v>
      </c>
      <c r="BE126">
        <v>14</v>
      </c>
      <c r="BF126">
        <v>25</v>
      </c>
      <c r="BG126">
        <v>3</v>
      </c>
      <c r="BH126">
        <v>8</v>
      </c>
      <c r="BI126">
        <v>3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0</v>
      </c>
      <c r="BQ126">
        <v>60</v>
      </c>
      <c r="BR126">
        <v>0</v>
      </c>
      <c r="BS126">
        <v>3</v>
      </c>
      <c r="BT126" t="s">
        <v>243</v>
      </c>
      <c r="BU126" t="s">
        <v>261</v>
      </c>
      <c r="BV126" t="b">
        <v>0</v>
      </c>
      <c r="BW126" t="s">
        <v>262</v>
      </c>
    </row>
    <row r="127" spans="1:75">
      <c r="A127" t="s">
        <v>243</v>
      </c>
      <c r="B127" t="s">
        <v>252</v>
      </c>
      <c r="C127">
        <v>1040</v>
      </c>
      <c r="D127" t="s">
        <v>253</v>
      </c>
      <c r="E127" t="s">
        <v>254</v>
      </c>
      <c r="F127">
        <v>5</v>
      </c>
      <c r="G127" s="13">
        <v>46265.372673611113</v>
      </c>
      <c r="H127" s="13">
        <v>46265.372986111113</v>
      </c>
      <c r="I127">
        <v>27</v>
      </c>
      <c r="J127" t="s">
        <v>255</v>
      </c>
      <c r="K127">
        <v>1</v>
      </c>
      <c r="L127">
        <v>0.04</v>
      </c>
      <c r="M127">
        <v>0.04</v>
      </c>
      <c r="N127">
        <v>1</v>
      </c>
      <c r="O127">
        <v>0.04</v>
      </c>
      <c r="P127">
        <v>2.2400000000000002</v>
      </c>
      <c r="Q127">
        <v>3.68</v>
      </c>
      <c r="R127">
        <v>2.2799999999999998</v>
      </c>
      <c r="S127" t="s">
        <v>256</v>
      </c>
      <c r="T127" t="s">
        <v>257</v>
      </c>
      <c r="U127">
        <v>10</v>
      </c>
      <c r="V127">
        <v>7296.42</v>
      </c>
      <c r="W127">
        <v>4999.32</v>
      </c>
      <c r="X127">
        <v>4997.76</v>
      </c>
      <c r="Y127">
        <v>0</v>
      </c>
      <c r="Z127">
        <v>0</v>
      </c>
      <c r="AA127">
        <v>35</v>
      </c>
      <c r="AB127">
        <v>50</v>
      </c>
      <c r="AC127">
        <v>5000</v>
      </c>
      <c r="AD127">
        <v>0</v>
      </c>
      <c r="AE127">
        <v>0</v>
      </c>
      <c r="AF127">
        <v>7299.38</v>
      </c>
      <c r="AG127">
        <v>7299.38</v>
      </c>
      <c r="AH127" s="14">
        <v>46265</v>
      </c>
      <c r="AI127" t="s">
        <v>258</v>
      </c>
      <c r="AJ127" s="13">
        <v>46262.213402777779</v>
      </c>
      <c r="AK127">
        <v>6066.68</v>
      </c>
      <c r="AL127" t="s">
        <v>259</v>
      </c>
      <c r="AM127" t="s">
        <v>260</v>
      </c>
      <c r="AN127">
        <v>1400</v>
      </c>
      <c r="AO127">
        <v>0</v>
      </c>
      <c r="AP127">
        <v>35</v>
      </c>
      <c r="AQ127">
        <v>85</v>
      </c>
      <c r="AR127">
        <v>35</v>
      </c>
      <c r="AS127">
        <v>2</v>
      </c>
      <c r="AT127">
        <v>23</v>
      </c>
      <c r="AU127">
        <v>1</v>
      </c>
      <c r="AV127">
        <v>0</v>
      </c>
      <c r="AW127">
        <v>10</v>
      </c>
      <c r="AX127">
        <v>1</v>
      </c>
      <c r="AY127">
        <v>10</v>
      </c>
      <c r="AZ127">
        <v>5</v>
      </c>
      <c r="BA127">
        <v>1</v>
      </c>
      <c r="BB127">
        <v>1440</v>
      </c>
      <c r="BC127">
        <v>0</v>
      </c>
      <c r="BD127">
        <v>0</v>
      </c>
      <c r="BE127">
        <v>14</v>
      </c>
      <c r="BF127">
        <v>25</v>
      </c>
      <c r="BG127">
        <v>3</v>
      </c>
      <c r="BH127">
        <v>8</v>
      </c>
      <c r="BI127">
        <v>3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0</v>
      </c>
      <c r="BQ127">
        <v>60</v>
      </c>
      <c r="BR127">
        <v>0</v>
      </c>
      <c r="BS127">
        <v>3</v>
      </c>
      <c r="BT127" t="s">
        <v>243</v>
      </c>
      <c r="BU127" t="s">
        <v>261</v>
      </c>
      <c r="BV127" t="b">
        <v>0</v>
      </c>
      <c r="BW127" t="s">
        <v>262</v>
      </c>
    </row>
    <row r="128" spans="1:75">
      <c r="A128" t="s">
        <v>243</v>
      </c>
      <c r="B128" t="s">
        <v>252</v>
      </c>
      <c r="C128">
        <v>1041</v>
      </c>
      <c r="D128" t="s">
        <v>253</v>
      </c>
      <c r="E128" t="s">
        <v>254</v>
      </c>
      <c r="F128">
        <v>5</v>
      </c>
      <c r="G128" s="13">
        <v>46265.375173611108</v>
      </c>
      <c r="H128" s="13">
        <v>46265.375601851854</v>
      </c>
      <c r="I128">
        <v>37</v>
      </c>
      <c r="J128" t="s">
        <v>264</v>
      </c>
      <c r="K128">
        <v>1</v>
      </c>
      <c r="L128">
        <v>0.04</v>
      </c>
      <c r="M128">
        <v>0.04</v>
      </c>
      <c r="N128">
        <v>1</v>
      </c>
      <c r="O128">
        <v>0.04</v>
      </c>
      <c r="P128">
        <v>1.36</v>
      </c>
      <c r="Q128">
        <v>3.68</v>
      </c>
      <c r="R128">
        <v>3.56</v>
      </c>
      <c r="S128" t="s">
        <v>256</v>
      </c>
      <c r="T128" t="s">
        <v>257</v>
      </c>
      <c r="U128">
        <v>10</v>
      </c>
      <c r="V128">
        <v>7298.74</v>
      </c>
      <c r="W128">
        <v>4999.3599999999997</v>
      </c>
      <c r="X128">
        <v>4998.6400000000003</v>
      </c>
      <c r="Y128">
        <v>0</v>
      </c>
      <c r="Z128">
        <v>0</v>
      </c>
      <c r="AA128">
        <v>35</v>
      </c>
      <c r="AB128">
        <v>50</v>
      </c>
      <c r="AC128">
        <v>5000</v>
      </c>
      <c r="AD128">
        <v>0</v>
      </c>
      <c r="AE128">
        <v>0</v>
      </c>
      <c r="AF128">
        <v>7301.66</v>
      </c>
      <c r="AG128">
        <v>7301.66</v>
      </c>
      <c r="AH128" s="14">
        <v>46265</v>
      </c>
      <c r="AI128" t="s">
        <v>258</v>
      </c>
      <c r="AJ128" s="13">
        <v>46262.213402777779</v>
      </c>
      <c r="AK128">
        <v>6066.68</v>
      </c>
      <c r="AL128" t="s">
        <v>259</v>
      </c>
      <c r="AM128" t="s">
        <v>260</v>
      </c>
      <c r="AN128">
        <v>1400</v>
      </c>
      <c r="AO128">
        <v>0</v>
      </c>
      <c r="AP128">
        <v>35</v>
      </c>
      <c r="AQ128">
        <v>85</v>
      </c>
      <c r="AR128">
        <v>35</v>
      </c>
      <c r="AS128">
        <v>2</v>
      </c>
      <c r="AT128">
        <v>23</v>
      </c>
      <c r="AU128">
        <v>1</v>
      </c>
      <c r="AV128">
        <v>0</v>
      </c>
      <c r="AW128">
        <v>10</v>
      </c>
      <c r="AX128">
        <v>1</v>
      </c>
      <c r="AY128">
        <v>10</v>
      </c>
      <c r="AZ128">
        <v>5</v>
      </c>
      <c r="BA128">
        <v>1</v>
      </c>
      <c r="BB128">
        <v>1440</v>
      </c>
      <c r="BC128">
        <v>0</v>
      </c>
      <c r="BD128">
        <v>0</v>
      </c>
      <c r="BE128">
        <v>14</v>
      </c>
      <c r="BF128">
        <v>25</v>
      </c>
      <c r="BG128">
        <v>3</v>
      </c>
      <c r="BH128">
        <v>8</v>
      </c>
      <c r="BI128">
        <v>3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0</v>
      </c>
      <c r="BQ128">
        <v>60</v>
      </c>
      <c r="BR128">
        <v>0</v>
      </c>
      <c r="BS128">
        <v>3</v>
      </c>
      <c r="BT128" t="s">
        <v>243</v>
      </c>
      <c r="BU128" t="s">
        <v>261</v>
      </c>
      <c r="BV128" t="b">
        <v>0</v>
      </c>
      <c r="BW128" t="s">
        <v>262</v>
      </c>
    </row>
    <row r="129" spans="1:75">
      <c r="A129" t="s">
        <v>243</v>
      </c>
      <c r="B129" t="s">
        <v>252</v>
      </c>
      <c r="C129">
        <v>1042</v>
      </c>
      <c r="D129" t="s">
        <v>253</v>
      </c>
      <c r="E129" t="s">
        <v>254</v>
      </c>
      <c r="F129">
        <v>5</v>
      </c>
      <c r="G129" s="13">
        <v>46265.380324074074</v>
      </c>
      <c r="H129" s="13">
        <v>46265.397314814814</v>
      </c>
      <c r="I129">
        <v>1468</v>
      </c>
      <c r="J129" t="s">
        <v>264</v>
      </c>
      <c r="K129">
        <v>3</v>
      </c>
      <c r="L129">
        <v>0.12</v>
      </c>
      <c r="M129">
        <v>0.04</v>
      </c>
      <c r="N129">
        <v>3</v>
      </c>
      <c r="O129">
        <v>0.12</v>
      </c>
      <c r="P129">
        <v>46.48</v>
      </c>
      <c r="Q129">
        <v>13.8</v>
      </c>
      <c r="R129">
        <v>8.0399999999999991</v>
      </c>
      <c r="S129" t="s">
        <v>263</v>
      </c>
      <c r="T129" t="s">
        <v>257</v>
      </c>
      <c r="U129">
        <v>10</v>
      </c>
      <c r="V129">
        <v>7300.98</v>
      </c>
      <c r="W129">
        <v>4999.32</v>
      </c>
      <c r="X129">
        <v>4953.5200000000004</v>
      </c>
      <c r="Y129">
        <v>0</v>
      </c>
      <c r="Z129">
        <v>0</v>
      </c>
      <c r="AA129">
        <v>35</v>
      </c>
      <c r="AB129">
        <v>50</v>
      </c>
      <c r="AC129">
        <v>5000</v>
      </c>
      <c r="AD129">
        <v>0</v>
      </c>
      <c r="AE129">
        <v>0</v>
      </c>
      <c r="AF129">
        <v>7309.62</v>
      </c>
      <c r="AG129">
        <v>7309.62</v>
      </c>
      <c r="AH129" s="14">
        <v>46265</v>
      </c>
      <c r="AI129" t="s">
        <v>258</v>
      </c>
      <c r="AJ129" s="13">
        <v>46262.213402777779</v>
      </c>
      <c r="AK129">
        <v>6066.68</v>
      </c>
      <c r="AL129" t="s">
        <v>259</v>
      </c>
      <c r="AM129" t="s">
        <v>260</v>
      </c>
      <c r="AN129">
        <v>1400</v>
      </c>
      <c r="AO129">
        <v>0</v>
      </c>
      <c r="AP129">
        <v>35</v>
      </c>
      <c r="AQ129">
        <v>85</v>
      </c>
      <c r="AR129">
        <v>35</v>
      </c>
      <c r="AS129">
        <v>2</v>
      </c>
      <c r="AT129">
        <v>23</v>
      </c>
      <c r="AU129">
        <v>1</v>
      </c>
      <c r="AV129">
        <v>0</v>
      </c>
      <c r="AW129">
        <v>10</v>
      </c>
      <c r="AX129">
        <v>1</v>
      </c>
      <c r="AY129">
        <v>10</v>
      </c>
      <c r="AZ129">
        <v>5</v>
      </c>
      <c r="BA129">
        <v>1</v>
      </c>
      <c r="BB129">
        <v>1440</v>
      </c>
      <c r="BC129">
        <v>0</v>
      </c>
      <c r="BD129">
        <v>0</v>
      </c>
      <c r="BE129">
        <v>14</v>
      </c>
      <c r="BF129">
        <v>25</v>
      </c>
      <c r="BG129">
        <v>3</v>
      </c>
      <c r="BH129">
        <v>8</v>
      </c>
      <c r="BI129">
        <v>3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0</v>
      </c>
      <c r="BQ129">
        <v>60</v>
      </c>
      <c r="BR129">
        <v>0</v>
      </c>
      <c r="BS129">
        <v>3</v>
      </c>
      <c r="BT129" t="s">
        <v>243</v>
      </c>
      <c r="BU129" t="s">
        <v>261</v>
      </c>
      <c r="BV129" t="b">
        <v>0</v>
      </c>
      <c r="BW129" t="s">
        <v>262</v>
      </c>
    </row>
    <row r="130" spans="1:75">
      <c r="A130" t="s">
        <v>243</v>
      </c>
      <c r="B130" t="s">
        <v>252</v>
      </c>
      <c r="C130">
        <v>1043</v>
      </c>
      <c r="D130" t="s">
        <v>253</v>
      </c>
      <c r="E130" t="s">
        <v>254</v>
      </c>
      <c r="F130">
        <v>5</v>
      </c>
      <c r="G130" s="13">
        <v>46265.40116898148</v>
      </c>
      <c r="H130" s="13">
        <v>46265.402314814812</v>
      </c>
      <c r="I130">
        <v>99</v>
      </c>
      <c r="J130" t="s">
        <v>255</v>
      </c>
      <c r="K130">
        <v>1</v>
      </c>
      <c r="L130">
        <v>0.04</v>
      </c>
      <c r="M130">
        <v>0.04</v>
      </c>
      <c r="N130">
        <v>1</v>
      </c>
      <c r="O130">
        <v>0.04</v>
      </c>
      <c r="P130">
        <v>3.68</v>
      </c>
      <c r="Q130">
        <v>9.84</v>
      </c>
      <c r="R130">
        <v>9.16</v>
      </c>
      <c r="S130" t="s">
        <v>256</v>
      </c>
      <c r="T130" t="s">
        <v>257</v>
      </c>
      <c r="U130">
        <v>11</v>
      </c>
      <c r="V130">
        <v>7308.94</v>
      </c>
      <c r="W130">
        <v>4999.32</v>
      </c>
      <c r="X130">
        <v>4996.32</v>
      </c>
      <c r="Y130">
        <v>0</v>
      </c>
      <c r="Z130">
        <v>0</v>
      </c>
      <c r="AA130">
        <v>35</v>
      </c>
      <c r="AB130">
        <v>50</v>
      </c>
      <c r="AC130">
        <v>5000</v>
      </c>
      <c r="AD130">
        <v>0</v>
      </c>
      <c r="AE130">
        <v>0</v>
      </c>
      <c r="AF130">
        <v>7318.06</v>
      </c>
      <c r="AG130">
        <v>7318.06</v>
      </c>
      <c r="AH130" s="14">
        <v>46265</v>
      </c>
      <c r="AI130" t="s">
        <v>258</v>
      </c>
      <c r="AJ130" s="13">
        <v>46262.213402777779</v>
      </c>
      <c r="AK130">
        <v>6066.68</v>
      </c>
      <c r="AL130" t="s">
        <v>259</v>
      </c>
      <c r="AM130" t="s">
        <v>260</v>
      </c>
      <c r="AN130">
        <v>1400</v>
      </c>
      <c r="AO130">
        <v>0</v>
      </c>
      <c r="AP130">
        <v>35</v>
      </c>
      <c r="AQ130">
        <v>85</v>
      </c>
      <c r="AR130">
        <v>35</v>
      </c>
      <c r="AS130">
        <v>2</v>
      </c>
      <c r="AT130">
        <v>23</v>
      </c>
      <c r="AU130">
        <v>1</v>
      </c>
      <c r="AV130">
        <v>0</v>
      </c>
      <c r="AW130">
        <v>10</v>
      </c>
      <c r="AX130">
        <v>1</v>
      </c>
      <c r="AY130">
        <v>10</v>
      </c>
      <c r="AZ130">
        <v>5</v>
      </c>
      <c r="BA130">
        <v>1</v>
      </c>
      <c r="BB130">
        <v>1440</v>
      </c>
      <c r="BC130">
        <v>0</v>
      </c>
      <c r="BD130">
        <v>0</v>
      </c>
      <c r="BE130">
        <v>14</v>
      </c>
      <c r="BF130">
        <v>25</v>
      </c>
      <c r="BG130">
        <v>3</v>
      </c>
      <c r="BH130">
        <v>8</v>
      </c>
      <c r="BI130">
        <v>3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0</v>
      </c>
      <c r="BQ130">
        <v>60</v>
      </c>
      <c r="BR130">
        <v>0</v>
      </c>
      <c r="BS130">
        <v>3</v>
      </c>
      <c r="BT130" t="s">
        <v>243</v>
      </c>
      <c r="BU130" t="s">
        <v>261</v>
      </c>
      <c r="BV130" t="b">
        <v>0</v>
      </c>
      <c r="BW130" t="s">
        <v>262</v>
      </c>
    </row>
    <row r="131" spans="1:75">
      <c r="A131" t="s">
        <v>243</v>
      </c>
      <c r="B131" t="s">
        <v>252</v>
      </c>
      <c r="C131">
        <v>1044</v>
      </c>
      <c r="D131" t="s">
        <v>253</v>
      </c>
      <c r="E131" t="s">
        <v>254</v>
      </c>
      <c r="F131">
        <v>5</v>
      </c>
      <c r="G131" s="13">
        <v>46265.407604166663</v>
      </c>
      <c r="H131" s="13">
        <v>46265.43209490741</v>
      </c>
      <c r="I131">
        <v>2116</v>
      </c>
      <c r="J131" t="s">
        <v>255</v>
      </c>
      <c r="K131">
        <v>4</v>
      </c>
      <c r="L131">
        <v>0.16</v>
      </c>
      <c r="M131">
        <v>0.04</v>
      </c>
      <c r="N131">
        <v>4</v>
      </c>
      <c r="O131">
        <v>0.16</v>
      </c>
      <c r="P131">
        <v>51.6</v>
      </c>
      <c r="Q131">
        <v>46.76</v>
      </c>
      <c r="R131">
        <v>34.6</v>
      </c>
      <c r="S131" t="s">
        <v>263</v>
      </c>
      <c r="T131" t="s">
        <v>257</v>
      </c>
      <c r="U131">
        <v>10</v>
      </c>
      <c r="V131">
        <v>7317.42</v>
      </c>
      <c r="W131">
        <v>4999.3599999999997</v>
      </c>
      <c r="X131">
        <v>4948.3999999999996</v>
      </c>
      <c r="Y131">
        <v>0</v>
      </c>
      <c r="Z131">
        <v>0</v>
      </c>
      <c r="AA131">
        <v>35</v>
      </c>
      <c r="AB131">
        <v>50</v>
      </c>
      <c r="AC131">
        <v>5000</v>
      </c>
      <c r="AD131">
        <v>0</v>
      </c>
      <c r="AE131">
        <v>0</v>
      </c>
      <c r="AF131">
        <v>7352.98</v>
      </c>
      <c r="AG131">
        <v>7352.98</v>
      </c>
      <c r="AH131" s="14">
        <v>46265</v>
      </c>
      <c r="AI131" t="s">
        <v>258</v>
      </c>
      <c r="AJ131" s="13">
        <v>46262.213402777779</v>
      </c>
      <c r="AK131">
        <v>6066.68</v>
      </c>
      <c r="AL131" t="s">
        <v>259</v>
      </c>
      <c r="AM131" t="s">
        <v>260</v>
      </c>
      <c r="AN131">
        <v>1400</v>
      </c>
      <c r="AO131">
        <v>0</v>
      </c>
      <c r="AP131">
        <v>35</v>
      </c>
      <c r="AQ131">
        <v>85</v>
      </c>
      <c r="AR131">
        <v>35</v>
      </c>
      <c r="AS131">
        <v>2</v>
      </c>
      <c r="AT131">
        <v>23</v>
      </c>
      <c r="AU131">
        <v>1</v>
      </c>
      <c r="AV131">
        <v>0</v>
      </c>
      <c r="AW131">
        <v>10</v>
      </c>
      <c r="AX131">
        <v>1</v>
      </c>
      <c r="AY131">
        <v>10</v>
      </c>
      <c r="AZ131">
        <v>5</v>
      </c>
      <c r="BA131">
        <v>1</v>
      </c>
      <c r="BB131">
        <v>1440</v>
      </c>
      <c r="BC131">
        <v>0</v>
      </c>
      <c r="BD131">
        <v>0</v>
      </c>
      <c r="BE131">
        <v>14</v>
      </c>
      <c r="BF131">
        <v>25</v>
      </c>
      <c r="BG131">
        <v>3</v>
      </c>
      <c r="BH131">
        <v>8</v>
      </c>
      <c r="BI131">
        <v>3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0</v>
      </c>
      <c r="BQ131">
        <v>60</v>
      </c>
      <c r="BR131">
        <v>0</v>
      </c>
      <c r="BS131">
        <v>3</v>
      </c>
      <c r="BT131" t="s">
        <v>243</v>
      </c>
      <c r="BU131" t="s">
        <v>261</v>
      </c>
      <c r="BV131" t="b">
        <v>0</v>
      </c>
      <c r="BW131" t="s">
        <v>262</v>
      </c>
    </row>
    <row r="132" spans="1:75">
      <c r="A132" t="s">
        <v>243</v>
      </c>
      <c r="B132" t="s">
        <v>252</v>
      </c>
      <c r="C132">
        <v>1045</v>
      </c>
      <c r="D132" t="s">
        <v>253</v>
      </c>
      <c r="E132" t="s">
        <v>254</v>
      </c>
      <c r="F132">
        <v>5</v>
      </c>
      <c r="G132" s="13">
        <v>46265.435613425929</v>
      </c>
      <c r="H132" s="13">
        <v>46265.449953703705</v>
      </c>
      <c r="I132">
        <v>1239</v>
      </c>
      <c r="J132" t="s">
        <v>255</v>
      </c>
      <c r="K132">
        <v>2</v>
      </c>
      <c r="L132">
        <v>0.08</v>
      </c>
      <c r="M132">
        <v>0.04</v>
      </c>
      <c r="N132">
        <v>2</v>
      </c>
      <c r="O132">
        <v>0.08</v>
      </c>
      <c r="P132">
        <v>25.72</v>
      </c>
      <c r="Q132">
        <v>11.48</v>
      </c>
      <c r="R132">
        <v>6.44</v>
      </c>
      <c r="S132" t="s">
        <v>263</v>
      </c>
      <c r="T132" t="s">
        <v>257</v>
      </c>
      <c r="U132">
        <v>10</v>
      </c>
      <c r="V132">
        <v>7352.34</v>
      </c>
      <c r="W132">
        <v>4999.3599999999997</v>
      </c>
      <c r="X132">
        <v>4974.28</v>
      </c>
      <c r="Y132">
        <v>0</v>
      </c>
      <c r="Z132">
        <v>0</v>
      </c>
      <c r="AA132">
        <v>35</v>
      </c>
      <c r="AB132">
        <v>50</v>
      </c>
      <c r="AC132">
        <v>5000</v>
      </c>
      <c r="AD132">
        <v>0</v>
      </c>
      <c r="AE132">
        <v>0</v>
      </c>
      <c r="AF132">
        <v>7359.62</v>
      </c>
      <c r="AG132">
        <v>7359.62</v>
      </c>
      <c r="AH132" s="14">
        <v>46265</v>
      </c>
      <c r="AI132" t="s">
        <v>258</v>
      </c>
      <c r="AJ132" s="13">
        <v>46262.213402777779</v>
      </c>
      <c r="AK132">
        <v>6066.68</v>
      </c>
      <c r="AL132" t="s">
        <v>259</v>
      </c>
      <c r="AM132" t="s">
        <v>260</v>
      </c>
      <c r="AN132">
        <v>1400</v>
      </c>
      <c r="AO132">
        <v>0</v>
      </c>
      <c r="AP132">
        <v>35</v>
      </c>
      <c r="AQ132">
        <v>85</v>
      </c>
      <c r="AR132">
        <v>35</v>
      </c>
      <c r="AS132">
        <v>2</v>
      </c>
      <c r="AT132">
        <v>23</v>
      </c>
      <c r="AU132">
        <v>1</v>
      </c>
      <c r="AV132">
        <v>0</v>
      </c>
      <c r="AW132">
        <v>10</v>
      </c>
      <c r="AX132">
        <v>1</v>
      </c>
      <c r="AY132">
        <v>10</v>
      </c>
      <c r="AZ132">
        <v>5</v>
      </c>
      <c r="BA132">
        <v>1</v>
      </c>
      <c r="BB132">
        <v>1440</v>
      </c>
      <c r="BC132">
        <v>0</v>
      </c>
      <c r="BD132">
        <v>0</v>
      </c>
      <c r="BE132">
        <v>14</v>
      </c>
      <c r="BF132">
        <v>25</v>
      </c>
      <c r="BG132">
        <v>3</v>
      </c>
      <c r="BH132">
        <v>8</v>
      </c>
      <c r="BI132">
        <v>3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0</v>
      </c>
      <c r="BQ132">
        <v>60</v>
      </c>
      <c r="BR132">
        <v>0</v>
      </c>
      <c r="BS132">
        <v>3</v>
      </c>
      <c r="BT132" t="s">
        <v>243</v>
      </c>
      <c r="BU132" t="s">
        <v>261</v>
      </c>
      <c r="BV132" t="b">
        <v>0</v>
      </c>
      <c r="BW132" t="s">
        <v>262</v>
      </c>
    </row>
    <row r="133" spans="1:75">
      <c r="A133" t="s">
        <v>243</v>
      </c>
      <c r="B133" t="s">
        <v>252</v>
      </c>
      <c r="C133">
        <v>1046</v>
      </c>
      <c r="D133" t="s">
        <v>253</v>
      </c>
      <c r="E133" t="s">
        <v>254</v>
      </c>
      <c r="F133">
        <v>5</v>
      </c>
      <c r="G133" s="13">
        <v>46265.450937499998</v>
      </c>
      <c r="H133" s="13">
        <v>46265.452118055553</v>
      </c>
      <c r="I133">
        <v>102</v>
      </c>
      <c r="J133" t="s">
        <v>264</v>
      </c>
      <c r="K133">
        <v>1</v>
      </c>
      <c r="L133">
        <v>0.04</v>
      </c>
      <c r="M133">
        <v>0.04</v>
      </c>
      <c r="N133">
        <v>1</v>
      </c>
      <c r="O133">
        <v>0.04</v>
      </c>
      <c r="P133">
        <v>3.88</v>
      </c>
      <c r="Q133">
        <v>6.96</v>
      </c>
      <c r="R133">
        <v>5.96</v>
      </c>
      <c r="S133" t="s">
        <v>256</v>
      </c>
      <c r="T133" t="s">
        <v>257</v>
      </c>
      <c r="U133">
        <v>10</v>
      </c>
      <c r="V133">
        <v>7358.98</v>
      </c>
      <c r="W133">
        <v>4999.3599999999997</v>
      </c>
      <c r="X133">
        <v>4996.12</v>
      </c>
      <c r="Y133">
        <v>0</v>
      </c>
      <c r="Z133">
        <v>0</v>
      </c>
      <c r="AA133">
        <v>35</v>
      </c>
      <c r="AB133">
        <v>50</v>
      </c>
      <c r="AC133">
        <v>5000</v>
      </c>
      <c r="AD133">
        <v>0</v>
      </c>
      <c r="AE133">
        <v>0</v>
      </c>
      <c r="AF133">
        <v>7365.18</v>
      </c>
      <c r="AG133">
        <v>7365.18</v>
      </c>
      <c r="AH133" s="14">
        <v>46265</v>
      </c>
      <c r="AI133" t="s">
        <v>258</v>
      </c>
      <c r="AJ133" s="13">
        <v>46262.213402777779</v>
      </c>
      <c r="AK133">
        <v>6066.68</v>
      </c>
      <c r="AL133" t="s">
        <v>259</v>
      </c>
      <c r="AM133" t="s">
        <v>260</v>
      </c>
      <c r="AN133">
        <v>1400</v>
      </c>
      <c r="AO133">
        <v>0</v>
      </c>
      <c r="AP133">
        <v>35</v>
      </c>
      <c r="AQ133">
        <v>85</v>
      </c>
      <c r="AR133">
        <v>35</v>
      </c>
      <c r="AS133">
        <v>2</v>
      </c>
      <c r="AT133">
        <v>23</v>
      </c>
      <c r="AU133">
        <v>1</v>
      </c>
      <c r="AV133">
        <v>0</v>
      </c>
      <c r="AW133">
        <v>10</v>
      </c>
      <c r="AX133">
        <v>1</v>
      </c>
      <c r="AY133">
        <v>10</v>
      </c>
      <c r="AZ133">
        <v>5</v>
      </c>
      <c r="BA133">
        <v>1</v>
      </c>
      <c r="BB133">
        <v>1440</v>
      </c>
      <c r="BC133">
        <v>0</v>
      </c>
      <c r="BD133">
        <v>0</v>
      </c>
      <c r="BE133">
        <v>14</v>
      </c>
      <c r="BF133">
        <v>25</v>
      </c>
      <c r="BG133">
        <v>3</v>
      </c>
      <c r="BH133">
        <v>8</v>
      </c>
      <c r="BI133">
        <v>3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0</v>
      </c>
      <c r="BQ133">
        <v>60</v>
      </c>
      <c r="BR133">
        <v>0</v>
      </c>
      <c r="BS133">
        <v>3</v>
      </c>
      <c r="BT133" t="s">
        <v>243</v>
      </c>
      <c r="BU133" t="s">
        <v>261</v>
      </c>
      <c r="BV133" t="b">
        <v>0</v>
      </c>
      <c r="BW133" t="s">
        <v>262</v>
      </c>
    </row>
    <row r="134" spans="1:75">
      <c r="A134" t="s">
        <v>243</v>
      </c>
      <c r="B134" t="s">
        <v>252</v>
      </c>
      <c r="C134">
        <v>1047</v>
      </c>
      <c r="D134" t="s">
        <v>253</v>
      </c>
      <c r="E134" t="s">
        <v>254</v>
      </c>
      <c r="F134">
        <v>5</v>
      </c>
      <c r="G134" s="13">
        <v>46265.457569444443</v>
      </c>
      <c r="H134" s="13">
        <v>46265.465960648151</v>
      </c>
      <c r="I134">
        <v>725</v>
      </c>
      <c r="J134" t="s">
        <v>264</v>
      </c>
      <c r="K134">
        <v>2</v>
      </c>
      <c r="L134">
        <v>0.08</v>
      </c>
      <c r="M134">
        <v>0.04</v>
      </c>
      <c r="N134">
        <v>2</v>
      </c>
      <c r="O134">
        <v>0.08</v>
      </c>
      <c r="P134">
        <v>33.479999999999997</v>
      </c>
      <c r="Q134">
        <v>10.56</v>
      </c>
      <c r="R134">
        <v>4.6399999999999997</v>
      </c>
      <c r="S134" t="s">
        <v>263</v>
      </c>
      <c r="T134" t="s">
        <v>257</v>
      </c>
      <c r="U134">
        <v>11</v>
      </c>
      <c r="V134">
        <v>7364.5</v>
      </c>
      <c r="W134">
        <v>4999.32</v>
      </c>
      <c r="X134">
        <v>4966.5200000000004</v>
      </c>
      <c r="Y134">
        <v>0</v>
      </c>
      <c r="Z134">
        <v>0</v>
      </c>
      <c r="AA134">
        <v>35</v>
      </c>
      <c r="AB134">
        <v>50</v>
      </c>
      <c r="AC134">
        <v>5000</v>
      </c>
      <c r="AD134">
        <v>0</v>
      </c>
      <c r="AE134">
        <v>0</v>
      </c>
      <c r="AF134">
        <v>7369.78</v>
      </c>
      <c r="AG134">
        <v>7369.78</v>
      </c>
      <c r="AH134" s="14">
        <v>46265</v>
      </c>
      <c r="AI134" t="s">
        <v>258</v>
      </c>
      <c r="AJ134" s="13">
        <v>46262.213402777779</v>
      </c>
      <c r="AK134">
        <v>6066.68</v>
      </c>
      <c r="AL134" t="s">
        <v>259</v>
      </c>
      <c r="AM134" t="s">
        <v>260</v>
      </c>
      <c r="AN134">
        <v>1400</v>
      </c>
      <c r="AO134">
        <v>0</v>
      </c>
      <c r="AP134">
        <v>35</v>
      </c>
      <c r="AQ134">
        <v>85</v>
      </c>
      <c r="AR134">
        <v>35</v>
      </c>
      <c r="AS134">
        <v>2</v>
      </c>
      <c r="AT134">
        <v>23</v>
      </c>
      <c r="AU134">
        <v>1</v>
      </c>
      <c r="AV134">
        <v>0</v>
      </c>
      <c r="AW134">
        <v>10</v>
      </c>
      <c r="AX134">
        <v>1</v>
      </c>
      <c r="AY134">
        <v>10</v>
      </c>
      <c r="AZ134">
        <v>5</v>
      </c>
      <c r="BA134">
        <v>1</v>
      </c>
      <c r="BB134">
        <v>1440</v>
      </c>
      <c r="BC134">
        <v>0</v>
      </c>
      <c r="BD134">
        <v>0</v>
      </c>
      <c r="BE134">
        <v>14</v>
      </c>
      <c r="BF134">
        <v>25</v>
      </c>
      <c r="BG134">
        <v>3</v>
      </c>
      <c r="BH134">
        <v>8</v>
      </c>
      <c r="BI134">
        <v>3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0</v>
      </c>
      <c r="BQ134">
        <v>60</v>
      </c>
      <c r="BR134">
        <v>0</v>
      </c>
      <c r="BS134">
        <v>3</v>
      </c>
      <c r="BT134" t="s">
        <v>243</v>
      </c>
      <c r="BU134" t="s">
        <v>261</v>
      </c>
      <c r="BV134" t="b">
        <v>0</v>
      </c>
      <c r="BW134" t="s">
        <v>262</v>
      </c>
    </row>
    <row r="135" spans="1:75">
      <c r="A135" t="s">
        <v>243</v>
      </c>
      <c r="B135" t="s">
        <v>252</v>
      </c>
      <c r="C135">
        <v>1048</v>
      </c>
      <c r="D135" t="s">
        <v>253</v>
      </c>
      <c r="E135" t="s">
        <v>254</v>
      </c>
      <c r="F135">
        <v>5</v>
      </c>
      <c r="G135" s="13">
        <v>46265.467094907406</v>
      </c>
      <c r="H135" s="13">
        <v>46265.467777777776</v>
      </c>
      <c r="I135">
        <v>59</v>
      </c>
      <c r="J135" t="s">
        <v>264</v>
      </c>
      <c r="K135">
        <v>1</v>
      </c>
      <c r="L135">
        <v>0.04</v>
      </c>
      <c r="M135">
        <v>0.04</v>
      </c>
      <c r="N135">
        <v>1</v>
      </c>
      <c r="O135">
        <v>0.04</v>
      </c>
      <c r="P135">
        <v>2.4</v>
      </c>
      <c r="Q135">
        <v>3.2</v>
      </c>
      <c r="R135">
        <v>3.2</v>
      </c>
      <c r="S135" t="s">
        <v>256</v>
      </c>
      <c r="T135" t="s">
        <v>257</v>
      </c>
      <c r="U135">
        <v>11</v>
      </c>
      <c r="V135">
        <v>7369.14</v>
      </c>
      <c r="W135">
        <v>4999.3599999999997</v>
      </c>
      <c r="X135">
        <v>4997.6000000000004</v>
      </c>
      <c r="Y135">
        <v>0</v>
      </c>
      <c r="Z135">
        <v>0</v>
      </c>
      <c r="AA135">
        <v>35</v>
      </c>
      <c r="AB135">
        <v>50</v>
      </c>
      <c r="AC135">
        <v>5000</v>
      </c>
      <c r="AD135">
        <v>0</v>
      </c>
      <c r="AE135">
        <v>0</v>
      </c>
      <c r="AF135">
        <v>7371.58</v>
      </c>
      <c r="AG135">
        <v>7371.58</v>
      </c>
      <c r="AH135" s="14">
        <v>46265</v>
      </c>
      <c r="AI135" t="s">
        <v>258</v>
      </c>
      <c r="AJ135" s="13">
        <v>46262.213402777779</v>
      </c>
      <c r="AK135">
        <v>6066.68</v>
      </c>
      <c r="AL135" t="s">
        <v>259</v>
      </c>
      <c r="AM135" t="s">
        <v>260</v>
      </c>
      <c r="AN135">
        <v>1400</v>
      </c>
      <c r="AO135">
        <v>0</v>
      </c>
      <c r="AP135">
        <v>35</v>
      </c>
      <c r="AQ135">
        <v>85</v>
      </c>
      <c r="AR135">
        <v>35</v>
      </c>
      <c r="AS135">
        <v>2</v>
      </c>
      <c r="AT135">
        <v>23</v>
      </c>
      <c r="AU135">
        <v>1</v>
      </c>
      <c r="AV135">
        <v>0</v>
      </c>
      <c r="AW135">
        <v>10</v>
      </c>
      <c r="AX135">
        <v>1</v>
      </c>
      <c r="AY135">
        <v>10</v>
      </c>
      <c r="AZ135">
        <v>5</v>
      </c>
      <c r="BA135">
        <v>1</v>
      </c>
      <c r="BB135">
        <v>1440</v>
      </c>
      <c r="BC135">
        <v>0</v>
      </c>
      <c r="BD135">
        <v>0</v>
      </c>
      <c r="BE135">
        <v>14</v>
      </c>
      <c r="BF135">
        <v>25</v>
      </c>
      <c r="BG135">
        <v>3</v>
      </c>
      <c r="BH135">
        <v>8</v>
      </c>
      <c r="BI135">
        <v>3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0</v>
      </c>
      <c r="BQ135">
        <v>60</v>
      </c>
      <c r="BR135">
        <v>0</v>
      </c>
      <c r="BS135">
        <v>3</v>
      </c>
      <c r="BT135" t="s">
        <v>243</v>
      </c>
      <c r="BU135" t="s">
        <v>261</v>
      </c>
      <c r="BV135" t="b">
        <v>0</v>
      </c>
      <c r="BW135" t="s">
        <v>262</v>
      </c>
    </row>
    <row r="136" spans="1:75">
      <c r="A136" t="s">
        <v>243</v>
      </c>
      <c r="B136" t="s">
        <v>252</v>
      </c>
      <c r="C136">
        <v>1049</v>
      </c>
      <c r="D136" t="s">
        <v>253</v>
      </c>
      <c r="E136" t="s">
        <v>254</v>
      </c>
      <c r="F136">
        <v>5</v>
      </c>
      <c r="G136" s="13">
        <v>46265.470185185186</v>
      </c>
      <c r="H136" s="13">
        <v>46265.476840277777</v>
      </c>
      <c r="I136">
        <v>575</v>
      </c>
      <c r="J136" t="s">
        <v>255</v>
      </c>
      <c r="K136">
        <v>1</v>
      </c>
      <c r="L136">
        <v>0.04</v>
      </c>
      <c r="M136">
        <v>0.04</v>
      </c>
      <c r="N136">
        <v>1</v>
      </c>
      <c r="O136">
        <v>0.04</v>
      </c>
      <c r="P136">
        <v>9.56</v>
      </c>
      <c r="Q136">
        <v>3.32</v>
      </c>
      <c r="R136">
        <v>2.4</v>
      </c>
      <c r="S136" t="s">
        <v>256</v>
      </c>
      <c r="T136" t="s">
        <v>257</v>
      </c>
      <c r="U136">
        <v>11</v>
      </c>
      <c r="V136">
        <v>7370.94</v>
      </c>
      <c r="W136">
        <v>4999.3599999999997</v>
      </c>
      <c r="X136">
        <v>4990.4399999999996</v>
      </c>
      <c r="Y136">
        <v>0</v>
      </c>
      <c r="Z136">
        <v>0</v>
      </c>
      <c r="AA136">
        <v>35</v>
      </c>
      <c r="AB136">
        <v>50</v>
      </c>
      <c r="AC136">
        <v>5000</v>
      </c>
      <c r="AD136">
        <v>0</v>
      </c>
      <c r="AE136">
        <v>0</v>
      </c>
      <c r="AF136">
        <v>7373.46</v>
      </c>
      <c r="AG136">
        <v>7373.46</v>
      </c>
      <c r="AH136" s="14">
        <v>46265</v>
      </c>
      <c r="AI136" t="s">
        <v>258</v>
      </c>
      <c r="AJ136" s="13">
        <v>46262.213402777779</v>
      </c>
      <c r="AK136">
        <v>6066.68</v>
      </c>
      <c r="AL136" t="s">
        <v>259</v>
      </c>
      <c r="AM136" t="s">
        <v>260</v>
      </c>
      <c r="AN136">
        <v>1400</v>
      </c>
      <c r="AO136">
        <v>0</v>
      </c>
      <c r="AP136">
        <v>35</v>
      </c>
      <c r="AQ136">
        <v>85</v>
      </c>
      <c r="AR136">
        <v>35</v>
      </c>
      <c r="AS136">
        <v>2</v>
      </c>
      <c r="AT136">
        <v>23</v>
      </c>
      <c r="AU136">
        <v>1</v>
      </c>
      <c r="AV136">
        <v>0</v>
      </c>
      <c r="AW136">
        <v>10</v>
      </c>
      <c r="AX136">
        <v>1</v>
      </c>
      <c r="AY136">
        <v>10</v>
      </c>
      <c r="AZ136">
        <v>5</v>
      </c>
      <c r="BA136">
        <v>1</v>
      </c>
      <c r="BB136">
        <v>1440</v>
      </c>
      <c r="BC136">
        <v>0</v>
      </c>
      <c r="BD136">
        <v>0</v>
      </c>
      <c r="BE136">
        <v>14</v>
      </c>
      <c r="BF136">
        <v>25</v>
      </c>
      <c r="BG136">
        <v>3</v>
      </c>
      <c r="BH136">
        <v>8</v>
      </c>
      <c r="BI136">
        <v>3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60</v>
      </c>
      <c r="BR136">
        <v>0</v>
      </c>
      <c r="BS136">
        <v>3</v>
      </c>
      <c r="BT136" t="s">
        <v>243</v>
      </c>
      <c r="BU136" t="s">
        <v>261</v>
      </c>
      <c r="BV136" t="b">
        <v>0</v>
      </c>
      <c r="BW136" t="s">
        <v>262</v>
      </c>
    </row>
    <row r="137" spans="1:75">
      <c r="A137" t="s">
        <v>243</v>
      </c>
      <c r="B137" t="s">
        <v>252</v>
      </c>
      <c r="C137">
        <v>1050</v>
      </c>
      <c r="D137" t="s">
        <v>253</v>
      </c>
      <c r="E137" t="s">
        <v>254</v>
      </c>
      <c r="F137">
        <v>5</v>
      </c>
      <c r="G137" s="13">
        <v>46265.478425925925</v>
      </c>
      <c r="H137" s="13">
        <v>46265.509560185186</v>
      </c>
      <c r="I137">
        <v>2690</v>
      </c>
      <c r="J137" t="s">
        <v>255</v>
      </c>
      <c r="K137">
        <v>2</v>
      </c>
      <c r="L137">
        <v>0.08</v>
      </c>
      <c r="M137">
        <v>0.04</v>
      </c>
      <c r="N137">
        <v>2</v>
      </c>
      <c r="O137">
        <v>0.08</v>
      </c>
      <c r="P137">
        <v>29.28</v>
      </c>
      <c r="Q137">
        <v>20.76</v>
      </c>
      <c r="R137">
        <v>15.08</v>
      </c>
      <c r="S137" t="s">
        <v>263</v>
      </c>
      <c r="T137" t="s">
        <v>257</v>
      </c>
      <c r="U137">
        <v>11</v>
      </c>
      <c r="V137">
        <v>7372.82</v>
      </c>
      <c r="W137">
        <v>4999.3599999999997</v>
      </c>
      <c r="X137">
        <v>4970.72</v>
      </c>
      <c r="Y137">
        <v>0</v>
      </c>
      <c r="Z137">
        <v>0</v>
      </c>
      <c r="AA137">
        <v>35</v>
      </c>
      <c r="AB137">
        <v>50</v>
      </c>
      <c r="AC137">
        <v>5000</v>
      </c>
      <c r="AD137">
        <v>0</v>
      </c>
      <c r="AE137">
        <v>0</v>
      </c>
      <c r="AF137">
        <v>7388.42</v>
      </c>
      <c r="AG137">
        <v>7388.42</v>
      </c>
      <c r="AH137" s="14">
        <v>46265</v>
      </c>
      <c r="AI137" t="s">
        <v>258</v>
      </c>
      <c r="AJ137" s="13">
        <v>46262.213402777779</v>
      </c>
      <c r="AK137">
        <v>6066.68</v>
      </c>
      <c r="AL137" t="s">
        <v>259</v>
      </c>
      <c r="AM137" t="s">
        <v>260</v>
      </c>
      <c r="AN137">
        <v>1400</v>
      </c>
      <c r="AO137">
        <v>0</v>
      </c>
      <c r="AP137">
        <v>35</v>
      </c>
      <c r="AQ137">
        <v>85</v>
      </c>
      <c r="AR137">
        <v>35</v>
      </c>
      <c r="AS137">
        <v>2</v>
      </c>
      <c r="AT137">
        <v>23</v>
      </c>
      <c r="AU137">
        <v>1</v>
      </c>
      <c r="AV137">
        <v>0</v>
      </c>
      <c r="AW137">
        <v>10</v>
      </c>
      <c r="AX137">
        <v>1</v>
      </c>
      <c r="AY137">
        <v>10</v>
      </c>
      <c r="AZ137">
        <v>5</v>
      </c>
      <c r="BA137">
        <v>1</v>
      </c>
      <c r="BB137">
        <v>1440</v>
      </c>
      <c r="BC137">
        <v>0</v>
      </c>
      <c r="BD137">
        <v>0</v>
      </c>
      <c r="BE137">
        <v>14</v>
      </c>
      <c r="BF137">
        <v>25</v>
      </c>
      <c r="BG137">
        <v>3</v>
      </c>
      <c r="BH137">
        <v>8</v>
      </c>
      <c r="BI137">
        <v>3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0</v>
      </c>
      <c r="BQ137">
        <v>60</v>
      </c>
      <c r="BR137">
        <v>0</v>
      </c>
      <c r="BS137">
        <v>3</v>
      </c>
      <c r="BT137" t="s">
        <v>243</v>
      </c>
      <c r="BU137" t="s">
        <v>261</v>
      </c>
      <c r="BV137" t="b">
        <v>0</v>
      </c>
      <c r="BW137" t="s">
        <v>262</v>
      </c>
    </row>
    <row r="138" spans="1:75">
      <c r="A138" t="s">
        <v>243</v>
      </c>
      <c r="B138" t="s">
        <v>252</v>
      </c>
      <c r="C138">
        <v>1051</v>
      </c>
      <c r="D138" t="s">
        <v>253</v>
      </c>
      <c r="E138" t="s">
        <v>254</v>
      </c>
      <c r="F138">
        <v>5</v>
      </c>
      <c r="G138" s="13">
        <v>46265.522870370369</v>
      </c>
      <c r="H138" s="13">
        <v>46265.523819444446</v>
      </c>
      <c r="I138">
        <v>82</v>
      </c>
      <c r="J138" t="s">
        <v>255</v>
      </c>
      <c r="K138">
        <v>1</v>
      </c>
      <c r="L138">
        <v>0.04</v>
      </c>
      <c r="M138">
        <v>0.04</v>
      </c>
      <c r="N138">
        <v>1</v>
      </c>
      <c r="O138">
        <v>0.04</v>
      </c>
      <c r="P138">
        <v>6.44</v>
      </c>
      <c r="Q138">
        <v>4.08</v>
      </c>
      <c r="R138">
        <v>4</v>
      </c>
      <c r="S138" t="s">
        <v>256</v>
      </c>
      <c r="T138" t="s">
        <v>257</v>
      </c>
      <c r="U138">
        <v>10</v>
      </c>
      <c r="V138">
        <v>7387.74</v>
      </c>
      <c r="W138">
        <v>4999.32</v>
      </c>
      <c r="X138">
        <v>4993.5600000000004</v>
      </c>
      <c r="Y138">
        <v>0</v>
      </c>
      <c r="Z138">
        <v>0</v>
      </c>
      <c r="AA138">
        <v>35</v>
      </c>
      <c r="AB138">
        <v>50</v>
      </c>
      <c r="AC138">
        <v>5000</v>
      </c>
      <c r="AD138">
        <v>0</v>
      </c>
      <c r="AE138">
        <v>0</v>
      </c>
      <c r="AF138">
        <v>7391.1</v>
      </c>
      <c r="AG138">
        <v>7391.1</v>
      </c>
      <c r="AH138" s="14">
        <v>46265</v>
      </c>
      <c r="AI138" t="s">
        <v>258</v>
      </c>
      <c r="AJ138" s="13">
        <v>46262.213402777779</v>
      </c>
      <c r="AK138">
        <v>6066.68</v>
      </c>
      <c r="AL138" t="s">
        <v>259</v>
      </c>
      <c r="AM138" t="s">
        <v>260</v>
      </c>
      <c r="AN138">
        <v>1400</v>
      </c>
      <c r="AO138">
        <v>0</v>
      </c>
      <c r="AP138">
        <v>35</v>
      </c>
      <c r="AQ138">
        <v>85</v>
      </c>
      <c r="AR138">
        <v>35</v>
      </c>
      <c r="AS138">
        <v>2</v>
      </c>
      <c r="AT138">
        <v>23</v>
      </c>
      <c r="AU138">
        <v>1</v>
      </c>
      <c r="AV138">
        <v>0</v>
      </c>
      <c r="AW138">
        <v>10</v>
      </c>
      <c r="AX138">
        <v>1</v>
      </c>
      <c r="AY138">
        <v>10</v>
      </c>
      <c r="AZ138">
        <v>5</v>
      </c>
      <c r="BA138">
        <v>1</v>
      </c>
      <c r="BB138">
        <v>1440</v>
      </c>
      <c r="BC138">
        <v>0</v>
      </c>
      <c r="BD138">
        <v>0</v>
      </c>
      <c r="BE138">
        <v>14</v>
      </c>
      <c r="BF138">
        <v>25</v>
      </c>
      <c r="BG138">
        <v>3</v>
      </c>
      <c r="BH138">
        <v>8</v>
      </c>
      <c r="BI138">
        <v>3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0</v>
      </c>
      <c r="BQ138">
        <v>60</v>
      </c>
      <c r="BR138">
        <v>0</v>
      </c>
      <c r="BS138">
        <v>3</v>
      </c>
      <c r="BT138" t="s">
        <v>243</v>
      </c>
      <c r="BU138" t="s">
        <v>261</v>
      </c>
      <c r="BV138" t="b">
        <v>0</v>
      </c>
      <c r="BW138" t="s">
        <v>262</v>
      </c>
    </row>
    <row r="139" spans="1:75">
      <c r="A139" t="s">
        <v>243</v>
      </c>
      <c r="B139" t="s">
        <v>252</v>
      </c>
      <c r="C139">
        <v>1052</v>
      </c>
      <c r="D139" t="s">
        <v>253</v>
      </c>
      <c r="E139" t="s">
        <v>254</v>
      </c>
      <c r="F139">
        <v>5</v>
      </c>
      <c r="G139" s="13">
        <v>46265.546122685184</v>
      </c>
      <c r="H139" s="13">
        <v>46265.546990740739</v>
      </c>
      <c r="I139">
        <v>75</v>
      </c>
      <c r="J139" t="s">
        <v>255</v>
      </c>
      <c r="K139">
        <v>1</v>
      </c>
      <c r="L139">
        <v>0.04</v>
      </c>
      <c r="M139">
        <v>0.04</v>
      </c>
      <c r="N139">
        <v>1</v>
      </c>
      <c r="O139">
        <v>0.04</v>
      </c>
      <c r="P139">
        <v>6.24</v>
      </c>
      <c r="Q139">
        <v>8.08</v>
      </c>
      <c r="R139">
        <v>6.92</v>
      </c>
      <c r="S139" t="s">
        <v>256</v>
      </c>
      <c r="T139" t="s">
        <v>257</v>
      </c>
      <c r="U139">
        <v>10</v>
      </c>
      <c r="V139">
        <v>7390.42</v>
      </c>
      <c r="W139">
        <v>4999.32</v>
      </c>
      <c r="X139">
        <v>4993.76</v>
      </c>
      <c r="Y139">
        <v>0</v>
      </c>
      <c r="Z139">
        <v>0</v>
      </c>
      <c r="AA139">
        <v>35</v>
      </c>
      <c r="AB139">
        <v>50</v>
      </c>
      <c r="AC139">
        <v>5000</v>
      </c>
      <c r="AD139">
        <v>0</v>
      </c>
      <c r="AE139">
        <v>0</v>
      </c>
      <c r="AF139">
        <v>7397.78</v>
      </c>
      <c r="AG139">
        <v>7397.78</v>
      </c>
      <c r="AH139" s="14">
        <v>46265</v>
      </c>
      <c r="AI139" t="s">
        <v>258</v>
      </c>
      <c r="AJ139" s="13">
        <v>46262.213402777779</v>
      </c>
      <c r="AK139">
        <v>6066.68</v>
      </c>
      <c r="AL139" t="s">
        <v>259</v>
      </c>
      <c r="AM139" t="s">
        <v>260</v>
      </c>
      <c r="AN139">
        <v>1400</v>
      </c>
      <c r="AO139">
        <v>0</v>
      </c>
      <c r="AP139">
        <v>35</v>
      </c>
      <c r="AQ139">
        <v>85</v>
      </c>
      <c r="AR139">
        <v>35</v>
      </c>
      <c r="AS139">
        <v>2</v>
      </c>
      <c r="AT139">
        <v>23</v>
      </c>
      <c r="AU139">
        <v>1</v>
      </c>
      <c r="AV139">
        <v>0</v>
      </c>
      <c r="AW139">
        <v>10</v>
      </c>
      <c r="AX139">
        <v>1</v>
      </c>
      <c r="AY139">
        <v>10</v>
      </c>
      <c r="AZ139">
        <v>5</v>
      </c>
      <c r="BA139">
        <v>1</v>
      </c>
      <c r="BB139">
        <v>1440</v>
      </c>
      <c r="BC139">
        <v>0</v>
      </c>
      <c r="BD139">
        <v>0</v>
      </c>
      <c r="BE139">
        <v>14</v>
      </c>
      <c r="BF139">
        <v>25</v>
      </c>
      <c r="BG139">
        <v>3</v>
      </c>
      <c r="BH139">
        <v>8</v>
      </c>
      <c r="BI139">
        <v>3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0</v>
      </c>
      <c r="BQ139">
        <v>60</v>
      </c>
      <c r="BR139">
        <v>0</v>
      </c>
      <c r="BS139">
        <v>3</v>
      </c>
      <c r="BT139" t="s">
        <v>243</v>
      </c>
      <c r="BU139" t="s">
        <v>261</v>
      </c>
      <c r="BV139" t="b">
        <v>0</v>
      </c>
      <c r="BW139" t="s">
        <v>262</v>
      </c>
    </row>
    <row r="140" spans="1:75">
      <c r="A140" t="s">
        <v>243</v>
      </c>
      <c r="B140" t="s">
        <v>252</v>
      </c>
      <c r="C140">
        <v>1053</v>
      </c>
      <c r="D140" t="s">
        <v>253</v>
      </c>
      <c r="E140" t="s">
        <v>254</v>
      </c>
      <c r="F140">
        <v>5</v>
      </c>
      <c r="G140" s="13">
        <v>46265.551087962966</v>
      </c>
      <c r="H140" s="13">
        <v>46265.551608796297</v>
      </c>
      <c r="I140">
        <v>45</v>
      </c>
      <c r="J140" t="s">
        <v>255</v>
      </c>
      <c r="K140">
        <v>1</v>
      </c>
      <c r="L140">
        <v>0.04</v>
      </c>
      <c r="M140">
        <v>0.04</v>
      </c>
      <c r="N140">
        <v>1</v>
      </c>
      <c r="O140">
        <v>0.04</v>
      </c>
      <c r="P140">
        <v>1.08</v>
      </c>
      <c r="Q140">
        <v>7</v>
      </c>
      <c r="R140">
        <v>7</v>
      </c>
      <c r="S140" t="s">
        <v>256</v>
      </c>
      <c r="T140" t="s">
        <v>257</v>
      </c>
      <c r="U140">
        <v>10</v>
      </c>
      <c r="V140">
        <v>7397.1</v>
      </c>
      <c r="W140">
        <v>4999.32</v>
      </c>
      <c r="X140">
        <v>4998.92</v>
      </c>
      <c r="Y140">
        <v>0</v>
      </c>
      <c r="Z140">
        <v>0</v>
      </c>
      <c r="AA140">
        <v>35</v>
      </c>
      <c r="AB140">
        <v>50</v>
      </c>
      <c r="AC140">
        <v>5000</v>
      </c>
      <c r="AD140">
        <v>0</v>
      </c>
      <c r="AE140">
        <v>0</v>
      </c>
      <c r="AF140">
        <v>7403.26</v>
      </c>
      <c r="AG140">
        <v>7403.26</v>
      </c>
      <c r="AH140" s="14">
        <v>46265</v>
      </c>
      <c r="AI140" t="s">
        <v>258</v>
      </c>
      <c r="AJ140" s="13">
        <v>46262.213402777779</v>
      </c>
      <c r="AK140">
        <v>6066.68</v>
      </c>
      <c r="AL140" t="s">
        <v>259</v>
      </c>
      <c r="AM140" t="s">
        <v>260</v>
      </c>
      <c r="AN140">
        <v>1400</v>
      </c>
      <c r="AO140">
        <v>0</v>
      </c>
      <c r="AP140">
        <v>35</v>
      </c>
      <c r="AQ140">
        <v>85</v>
      </c>
      <c r="AR140">
        <v>35</v>
      </c>
      <c r="AS140">
        <v>2</v>
      </c>
      <c r="AT140">
        <v>23</v>
      </c>
      <c r="AU140">
        <v>1</v>
      </c>
      <c r="AV140">
        <v>0</v>
      </c>
      <c r="AW140">
        <v>10</v>
      </c>
      <c r="AX140">
        <v>1</v>
      </c>
      <c r="AY140">
        <v>10</v>
      </c>
      <c r="AZ140">
        <v>5</v>
      </c>
      <c r="BA140">
        <v>1</v>
      </c>
      <c r="BB140">
        <v>1440</v>
      </c>
      <c r="BC140">
        <v>0</v>
      </c>
      <c r="BD140">
        <v>0</v>
      </c>
      <c r="BE140">
        <v>14</v>
      </c>
      <c r="BF140">
        <v>25</v>
      </c>
      <c r="BG140">
        <v>3</v>
      </c>
      <c r="BH140">
        <v>8</v>
      </c>
      <c r="BI140">
        <v>3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0</v>
      </c>
      <c r="BQ140">
        <v>60</v>
      </c>
      <c r="BR140">
        <v>0</v>
      </c>
      <c r="BS140">
        <v>3</v>
      </c>
      <c r="BT140" t="s">
        <v>243</v>
      </c>
      <c r="BU140" t="s">
        <v>261</v>
      </c>
      <c r="BV140" t="b">
        <v>0</v>
      </c>
      <c r="BW140" t="s">
        <v>262</v>
      </c>
    </row>
    <row r="141" spans="1:75">
      <c r="A141" t="s">
        <v>243</v>
      </c>
      <c r="B141" t="s">
        <v>252</v>
      </c>
      <c r="C141">
        <v>1054</v>
      </c>
      <c r="D141" t="s">
        <v>253</v>
      </c>
      <c r="E141" t="s">
        <v>254</v>
      </c>
      <c r="F141">
        <v>5</v>
      </c>
      <c r="G141" s="13">
        <v>46265.553229166668</v>
      </c>
      <c r="H141" s="13">
        <v>46265.55369212963</v>
      </c>
      <c r="I141">
        <v>40</v>
      </c>
      <c r="J141" t="s">
        <v>264</v>
      </c>
      <c r="K141">
        <v>1</v>
      </c>
      <c r="L141">
        <v>0.04</v>
      </c>
      <c r="M141">
        <v>0.04</v>
      </c>
      <c r="N141">
        <v>1</v>
      </c>
      <c r="O141">
        <v>0.04</v>
      </c>
      <c r="P141">
        <v>1.24</v>
      </c>
      <c r="Q141">
        <v>7.16</v>
      </c>
      <c r="R141">
        <v>5.96</v>
      </c>
      <c r="S141" t="s">
        <v>256</v>
      </c>
      <c r="T141" t="s">
        <v>257</v>
      </c>
      <c r="U141">
        <v>10</v>
      </c>
      <c r="V141">
        <v>7402.58</v>
      </c>
      <c r="W141">
        <v>4999.32</v>
      </c>
      <c r="X141">
        <v>4998.76</v>
      </c>
      <c r="Y141">
        <v>0</v>
      </c>
      <c r="Z141">
        <v>0</v>
      </c>
      <c r="AA141">
        <v>35</v>
      </c>
      <c r="AB141">
        <v>50</v>
      </c>
      <c r="AC141">
        <v>5000</v>
      </c>
      <c r="AD141">
        <v>0</v>
      </c>
      <c r="AE141">
        <v>0</v>
      </c>
      <c r="AF141">
        <v>7408.98</v>
      </c>
      <c r="AG141">
        <v>7408.98</v>
      </c>
      <c r="AH141" s="14">
        <v>46265</v>
      </c>
      <c r="AI141" t="s">
        <v>258</v>
      </c>
      <c r="AJ141" s="13">
        <v>46262.213402777779</v>
      </c>
      <c r="AK141">
        <v>6066.68</v>
      </c>
      <c r="AL141" t="s">
        <v>259</v>
      </c>
      <c r="AM141" t="s">
        <v>260</v>
      </c>
      <c r="AN141">
        <v>1400</v>
      </c>
      <c r="AO141">
        <v>0</v>
      </c>
      <c r="AP141">
        <v>35</v>
      </c>
      <c r="AQ141">
        <v>85</v>
      </c>
      <c r="AR141">
        <v>35</v>
      </c>
      <c r="AS141">
        <v>2</v>
      </c>
      <c r="AT141">
        <v>23</v>
      </c>
      <c r="AU141">
        <v>1</v>
      </c>
      <c r="AV141">
        <v>0</v>
      </c>
      <c r="AW141">
        <v>10</v>
      </c>
      <c r="AX141">
        <v>1</v>
      </c>
      <c r="AY141">
        <v>10</v>
      </c>
      <c r="AZ141">
        <v>5</v>
      </c>
      <c r="BA141">
        <v>1</v>
      </c>
      <c r="BB141">
        <v>1440</v>
      </c>
      <c r="BC141">
        <v>0</v>
      </c>
      <c r="BD141">
        <v>0</v>
      </c>
      <c r="BE141">
        <v>14</v>
      </c>
      <c r="BF141">
        <v>25</v>
      </c>
      <c r="BG141">
        <v>3</v>
      </c>
      <c r="BH141">
        <v>8</v>
      </c>
      <c r="BI141">
        <v>3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0</v>
      </c>
      <c r="BQ141">
        <v>60</v>
      </c>
      <c r="BR141">
        <v>0</v>
      </c>
      <c r="BS141">
        <v>3</v>
      </c>
      <c r="BT141" t="s">
        <v>243</v>
      </c>
      <c r="BU141" t="s">
        <v>261</v>
      </c>
      <c r="BV141" t="b">
        <v>0</v>
      </c>
      <c r="BW141" t="s">
        <v>262</v>
      </c>
    </row>
    <row r="142" spans="1:75">
      <c r="A142" t="s">
        <v>243</v>
      </c>
      <c r="B142" t="s">
        <v>252</v>
      </c>
      <c r="C142">
        <v>1055</v>
      </c>
      <c r="D142" t="s">
        <v>253</v>
      </c>
      <c r="E142" t="s">
        <v>254</v>
      </c>
      <c r="F142">
        <v>5</v>
      </c>
      <c r="G142" s="13">
        <v>46265.567835648151</v>
      </c>
      <c r="H142" s="13">
        <v>46265.576932870368</v>
      </c>
      <c r="I142">
        <v>786</v>
      </c>
      <c r="J142" t="s">
        <v>255</v>
      </c>
      <c r="K142">
        <v>1</v>
      </c>
      <c r="L142">
        <v>0.04</v>
      </c>
      <c r="M142">
        <v>0.04</v>
      </c>
      <c r="N142">
        <v>1</v>
      </c>
      <c r="O142">
        <v>0.04</v>
      </c>
      <c r="P142">
        <v>9.08</v>
      </c>
      <c r="Q142">
        <v>3.88</v>
      </c>
      <c r="R142">
        <v>2.6</v>
      </c>
      <c r="S142" t="s">
        <v>256</v>
      </c>
      <c r="T142" t="s">
        <v>257</v>
      </c>
      <c r="U142">
        <v>10</v>
      </c>
      <c r="V142">
        <v>7408.3</v>
      </c>
      <c r="W142">
        <v>4999.32</v>
      </c>
      <c r="X142">
        <v>4990.92</v>
      </c>
      <c r="Y142">
        <v>0</v>
      </c>
      <c r="Z142">
        <v>0</v>
      </c>
      <c r="AA142">
        <v>35</v>
      </c>
      <c r="AB142">
        <v>50</v>
      </c>
      <c r="AC142">
        <v>5000</v>
      </c>
      <c r="AD142">
        <v>0</v>
      </c>
      <c r="AE142">
        <v>0</v>
      </c>
      <c r="AF142">
        <v>7411.46</v>
      </c>
      <c r="AG142">
        <v>7411.46</v>
      </c>
      <c r="AH142" s="14">
        <v>46265</v>
      </c>
      <c r="AI142" t="s">
        <v>258</v>
      </c>
      <c r="AJ142" s="13">
        <v>46262.213402777779</v>
      </c>
      <c r="AK142">
        <v>6066.68</v>
      </c>
      <c r="AL142" t="s">
        <v>259</v>
      </c>
      <c r="AM142" t="s">
        <v>260</v>
      </c>
      <c r="AN142">
        <v>1400</v>
      </c>
      <c r="AO142">
        <v>0</v>
      </c>
      <c r="AP142">
        <v>35</v>
      </c>
      <c r="AQ142">
        <v>85</v>
      </c>
      <c r="AR142">
        <v>35</v>
      </c>
      <c r="AS142">
        <v>2</v>
      </c>
      <c r="AT142">
        <v>23</v>
      </c>
      <c r="AU142">
        <v>1</v>
      </c>
      <c r="AV142">
        <v>0</v>
      </c>
      <c r="AW142">
        <v>10</v>
      </c>
      <c r="AX142">
        <v>1</v>
      </c>
      <c r="AY142">
        <v>10</v>
      </c>
      <c r="AZ142">
        <v>5</v>
      </c>
      <c r="BA142">
        <v>1</v>
      </c>
      <c r="BB142">
        <v>1440</v>
      </c>
      <c r="BC142">
        <v>0</v>
      </c>
      <c r="BD142">
        <v>0</v>
      </c>
      <c r="BE142">
        <v>14</v>
      </c>
      <c r="BF142">
        <v>25</v>
      </c>
      <c r="BG142">
        <v>3</v>
      </c>
      <c r="BH142">
        <v>8</v>
      </c>
      <c r="BI142">
        <v>3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0</v>
      </c>
      <c r="BQ142">
        <v>60</v>
      </c>
      <c r="BR142">
        <v>0</v>
      </c>
      <c r="BS142">
        <v>3</v>
      </c>
      <c r="BT142" t="s">
        <v>243</v>
      </c>
      <c r="BU142" t="s">
        <v>261</v>
      </c>
      <c r="BV142" t="b">
        <v>0</v>
      </c>
      <c r="BW142" t="s">
        <v>262</v>
      </c>
    </row>
    <row r="143" spans="1:75">
      <c r="A143" t="s">
        <v>243</v>
      </c>
      <c r="B143" t="s">
        <v>252</v>
      </c>
      <c r="C143">
        <v>1056</v>
      </c>
      <c r="D143" t="s">
        <v>253</v>
      </c>
      <c r="E143" t="s">
        <v>254</v>
      </c>
      <c r="F143">
        <v>5</v>
      </c>
      <c r="G143" s="13">
        <v>46265.577789351853</v>
      </c>
      <c r="H143" s="13">
        <v>46265.578206018516</v>
      </c>
      <c r="I143">
        <v>36</v>
      </c>
      <c r="J143" t="s">
        <v>255</v>
      </c>
      <c r="K143">
        <v>1</v>
      </c>
      <c r="L143">
        <v>0.04</v>
      </c>
      <c r="M143">
        <v>0.04</v>
      </c>
      <c r="N143">
        <v>1</v>
      </c>
      <c r="O143">
        <v>0.04</v>
      </c>
      <c r="P143">
        <v>0.68</v>
      </c>
      <c r="Q143">
        <v>4.12</v>
      </c>
      <c r="R143">
        <v>2.84</v>
      </c>
      <c r="S143" t="s">
        <v>256</v>
      </c>
      <c r="T143" t="s">
        <v>257</v>
      </c>
      <c r="U143">
        <v>11</v>
      </c>
      <c r="V143">
        <v>7410.82</v>
      </c>
      <c r="W143">
        <v>4999.3599999999997</v>
      </c>
      <c r="X143">
        <v>4999.32</v>
      </c>
      <c r="Y143">
        <v>0</v>
      </c>
      <c r="Z143">
        <v>0</v>
      </c>
      <c r="AA143">
        <v>35</v>
      </c>
      <c r="AB143">
        <v>50</v>
      </c>
      <c r="AC143">
        <v>5000</v>
      </c>
      <c r="AD143">
        <v>0</v>
      </c>
      <c r="AE143">
        <v>0</v>
      </c>
      <c r="AF143">
        <v>7414.18</v>
      </c>
      <c r="AG143">
        <v>7414.18</v>
      </c>
      <c r="AH143" s="14">
        <v>46265</v>
      </c>
      <c r="AI143" t="s">
        <v>258</v>
      </c>
      <c r="AJ143" s="13">
        <v>46262.213402777779</v>
      </c>
      <c r="AK143">
        <v>6066.68</v>
      </c>
      <c r="AL143" t="s">
        <v>259</v>
      </c>
      <c r="AM143" t="s">
        <v>260</v>
      </c>
      <c r="AN143">
        <v>1400</v>
      </c>
      <c r="AO143">
        <v>0</v>
      </c>
      <c r="AP143">
        <v>35</v>
      </c>
      <c r="AQ143">
        <v>85</v>
      </c>
      <c r="AR143">
        <v>35</v>
      </c>
      <c r="AS143">
        <v>2</v>
      </c>
      <c r="AT143">
        <v>23</v>
      </c>
      <c r="AU143">
        <v>1</v>
      </c>
      <c r="AV143">
        <v>0</v>
      </c>
      <c r="AW143">
        <v>10</v>
      </c>
      <c r="AX143">
        <v>1</v>
      </c>
      <c r="AY143">
        <v>10</v>
      </c>
      <c r="AZ143">
        <v>5</v>
      </c>
      <c r="BA143">
        <v>1</v>
      </c>
      <c r="BB143">
        <v>1440</v>
      </c>
      <c r="BC143">
        <v>0</v>
      </c>
      <c r="BD143">
        <v>0</v>
      </c>
      <c r="BE143">
        <v>14</v>
      </c>
      <c r="BF143">
        <v>25</v>
      </c>
      <c r="BG143">
        <v>3</v>
      </c>
      <c r="BH143">
        <v>8</v>
      </c>
      <c r="BI143">
        <v>3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0</v>
      </c>
      <c r="BQ143">
        <v>60</v>
      </c>
      <c r="BR143">
        <v>0</v>
      </c>
      <c r="BS143">
        <v>3</v>
      </c>
      <c r="BT143" t="s">
        <v>243</v>
      </c>
      <c r="BU143" t="s">
        <v>261</v>
      </c>
      <c r="BV143" t="b">
        <v>0</v>
      </c>
      <c r="BW143" t="s">
        <v>262</v>
      </c>
    </row>
    <row r="144" spans="1:75">
      <c r="A144" t="s">
        <v>243</v>
      </c>
      <c r="B144" t="s">
        <v>252</v>
      </c>
      <c r="C144">
        <v>1057</v>
      </c>
      <c r="D144" t="s">
        <v>253</v>
      </c>
      <c r="E144" t="s">
        <v>254</v>
      </c>
      <c r="F144">
        <v>5</v>
      </c>
      <c r="G144" s="13">
        <v>46265.588877314818</v>
      </c>
      <c r="H144" s="13">
        <v>46265.59951388889</v>
      </c>
      <c r="I144">
        <v>919</v>
      </c>
      <c r="J144" t="s">
        <v>255</v>
      </c>
      <c r="K144">
        <v>2</v>
      </c>
      <c r="L144">
        <v>0.08</v>
      </c>
      <c r="M144">
        <v>0.04</v>
      </c>
      <c r="N144">
        <v>2</v>
      </c>
      <c r="O144">
        <v>0.08</v>
      </c>
      <c r="P144">
        <v>16.36</v>
      </c>
      <c r="Q144">
        <v>11.8</v>
      </c>
      <c r="R144">
        <v>5.4</v>
      </c>
      <c r="S144" t="s">
        <v>263</v>
      </c>
      <c r="T144" t="s">
        <v>257</v>
      </c>
      <c r="U144">
        <v>11</v>
      </c>
      <c r="V144">
        <v>7413.5</v>
      </c>
      <c r="W144">
        <v>4999.32</v>
      </c>
      <c r="X144">
        <v>4983.6400000000003</v>
      </c>
      <c r="Y144">
        <v>0</v>
      </c>
      <c r="Z144">
        <v>0</v>
      </c>
      <c r="AA144">
        <v>35</v>
      </c>
      <c r="AB144">
        <v>50</v>
      </c>
      <c r="AC144">
        <v>5000</v>
      </c>
      <c r="AD144">
        <v>0</v>
      </c>
      <c r="AE144">
        <v>0</v>
      </c>
      <c r="AF144">
        <v>7419.58</v>
      </c>
      <c r="AG144">
        <v>7419.58</v>
      </c>
      <c r="AH144" s="14">
        <v>46265</v>
      </c>
      <c r="AI144" t="s">
        <v>258</v>
      </c>
      <c r="AJ144" s="13">
        <v>46262.213402777779</v>
      </c>
      <c r="AK144">
        <v>6066.68</v>
      </c>
      <c r="AL144" t="s">
        <v>259</v>
      </c>
      <c r="AM144" t="s">
        <v>260</v>
      </c>
      <c r="AN144">
        <v>1400</v>
      </c>
      <c r="AO144">
        <v>0</v>
      </c>
      <c r="AP144">
        <v>35</v>
      </c>
      <c r="AQ144">
        <v>85</v>
      </c>
      <c r="AR144">
        <v>35</v>
      </c>
      <c r="AS144">
        <v>2</v>
      </c>
      <c r="AT144">
        <v>23</v>
      </c>
      <c r="AU144">
        <v>1</v>
      </c>
      <c r="AV144">
        <v>0</v>
      </c>
      <c r="AW144">
        <v>10</v>
      </c>
      <c r="AX144">
        <v>1</v>
      </c>
      <c r="AY144">
        <v>10</v>
      </c>
      <c r="AZ144">
        <v>5</v>
      </c>
      <c r="BA144">
        <v>1</v>
      </c>
      <c r="BB144">
        <v>1440</v>
      </c>
      <c r="BC144">
        <v>0</v>
      </c>
      <c r="BD144">
        <v>0</v>
      </c>
      <c r="BE144">
        <v>14</v>
      </c>
      <c r="BF144">
        <v>25</v>
      </c>
      <c r="BG144">
        <v>3</v>
      </c>
      <c r="BH144">
        <v>8</v>
      </c>
      <c r="BI144">
        <v>3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0</v>
      </c>
      <c r="BQ144">
        <v>60</v>
      </c>
      <c r="BR144">
        <v>0</v>
      </c>
      <c r="BS144">
        <v>3</v>
      </c>
      <c r="BT144" t="s">
        <v>243</v>
      </c>
      <c r="BU144" t="s">
        <v>261</v>
      </c>
      <c r="BV144" t="b">
        <v>0</v>
      </c>
      <c r="BW144" t="s">
        <v>262</v>
      </c>
    </row>
    <row r="145" spans="1:75">
      <c r="A145" t="s">
        <v>243</v>
      </c>
      <c r="B145" t="s">
        <v>252</v>
      </c>
      <c r="C145">
        <v>1058</v>
      </c>
      <c r="D145" t="s">
        <v>253</v>
      </c>
      <c r="E145" t="s">
        <v>254</v>
      </c>
      <c r="F145">
        <v>5</v>
      </c>
      <c r="G145" s="13">
        <v>46265.602465277778</v>
      </c>
      <c r="H145" s="13">
        <v>46265.603472222225</v>
      </c>
      <c r="I145">
        <v>87</v>
      </c>
      <c r="J145" t="s">
        <v>255</v>
      </c>
      <c r="K145">
        <v>1</v>
      </c>
      <c r="L145">
        <v>0.04</v>
      </c>
      <c r="M145">
        <v>0.04</v>
      </c>
      <c r="N145">
        <v>1</v>
      </c>
      <c r="O145">
        <v>0.04</v>
      </c>
      <c r="P145">
        <v>5.08</v>
      </c>
      <c r="Q145">
        <v>8.9600000000000009</v>
      </c>
      <c r="R145">
        <v>8.0399999999999991</v>
      </c>
      <c r="S145" t="s">
        <v>256</v>
      </c>
      <c r="T145" t="s">
        <v>257</v>
      </c>
      <c r="U145">
        <v>10</v>
      </c>
      <c r="V145">
        <v>7418.94</v>
      </c>
      <c r="W145">
        <v>4999.3599999999997</v>
      </c>
      <c r="X145">
        <v>4994.92</v>
      </c>
      <c r="Y145">
        <v>0</v>
      </c>
      <c r="Z145">
        <v>0</v>
      </c>
      <c r="AA145">
        <v>35</v>
      </c>
      <c r="AB145">
        <v>50</v>
      </c>
      <c r="AC145">
        <v>5000</v>
      </c>
      <c r="AD145">
        <v>0</v>
      </c>
      <c r="AE145">
        <v>0</v>
      </c>
      <c r="AF145">
        <v>7427.14</v>
      </c>
      <c r="AG145">
        <v>7427.14</v>
      </c>
      <c r="AH145" s="14">
        <v>46265</v>
      </c>
      <c r="AI145" t="s">
        <v>258</v>
      </c>
      <c r="AJ145" s="13">
        <v>46262.213402777779</v>
      </c>
      <c r="AK145">
        <v>6066.68</v>
      </c>
      <c r="AL145" t="s">
        <v>259</v>
      </c>
      <c r="AM145" t="s">
        <v>260</v>
      </c>
      <c r="AN145">
        <v>1400</v>
      </c>
      <c r="AO145">
        <v>0</v>
      </c>
      <c r="AP145">
        <v>35</v>
      </c>
      <c r="AQ145">
        <v>85</v>
      </c>
      <c r="AR145">
        <v>35</v>
      </c>
      <c r="AS145">
        <v>2</v>
      </c>
      <c r="AT145">
        <v>23</v>
      </c>
      <c r="AU145">
        <v>1</v>
      </c>
      <c r="AV145">
        <v>0</v>
      </c>
      <c r="AW145">
        <v>10</v>
      </c>
      <c r="AX145">
        <v>1</v>
      </c>
      <c r="AY145">
        <v>10</v>
      </c>
      <c r="AZ145">
        <v>5</v>
      </c>
      <c r="BA145">
        <v>1</v>
      </c>
      <c r="BB145">
        <v>1440</v>
      </c>
      <c r="BC145">
        <v>0</v>
      </c>
      <c r="BD145">
        <v>0</v>
      </c>
      <c r="BE145">
        <v>14</v>
      </c>
      <c r="BF145">
        <v>25</v>
      </c>
      <c r="BG145">
        <v>3</v>
      </c>
      <c r="BH145">
        <v>8</v>
      </c>
      <c r="BI145">
        <v>3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0</v>
      </c>
      <c r="BQ145">
        <v>60</v>
      </c>
      <c r="BR145">
        <v>0</v>
      </c>
      <c r="BS145">
        <v>3</v>
      </c>
      <c r="BT145" t="s">
        <v>243</v>
      </c>
      <c r="BU145" t="s">
        <v>261</v>
      </c>
      <c r="BV145" t="b">
        <v>0</v>
      </c>
      <c r="BW145" t="s">
        <v>262</v>
      </c>
    </row>
    <row r="146" spans="1:75">
      <c r="A146" t="s">
        <v>243</v>
      </c>
      <c r="B146" t="s">
        <v>252</v>
      </c>
      <c r="C146">
        <v>1059</v>
      </c>
      <c r="D146" t="s">
        <v>253</v>
      </c>
      <c r="E146" t="s">
        <v>254</v>
      </c>
      <c r="F146">
        <v>5</v>
      </c>
      <c r="G146" s="13">
        <v>46265.60696759259</v>
      </c>
      <c r="H146" s="13">
        <v>46265.607476851852</v>
      </c>
      <c r="I146">
        <v>44</v>
      </c>
      <c r="J146" t="s">
        <v>264</v>
      </c>
      <c r="K146">
        <v>1</v>
      </c>
      <c r="L146">
        <v>0.04</v>
      </c>
      <c r="M146">
        <v>0.04</v>
      </c>
      <c r="N146">
        <v>1</v>
      </c>
      <c r="O146">
        <v>0.04</v>
      </c>
      <c r="P146">
        <v>0.64</v>
      </c>
      <c r="Q146">
        <v>3.32</v>
      </c>
      <c r="R146">
        <v>3.32</v>
      </c>
      <c r="S146" t="s">
        <v>256</v>
      </c>
      <c r="T146" t="s">
        <v>257</v>
      </c>
      <c r="U146">
        <v>11</v>
      </c>
      <c r="V146">
        <v>7426.5</v>
      </c>
      <c r="W146">
        <v>4999.3599999999997</v>
      </c>
      <c r="X146">
        <v>4999.3599999999997</v>
      </c>
      <c r="Y146">
        <v>0</v>
      </c>
      <c r="Z146">
        <v>0</v>
      </c>
      <c r="AA146">
        <v>35</v>
      </c>
      <c r="AB146">
        <v>50</v>
      </c>
      <c r="AC146">
        <v>5000</v>
      </c>
      <c r="AD146">
        <v>0</v>
      </c>
      <c r="AE146">
        <v>0</v>
      </c>
      <c r="AF146">
        <v>7429.06</v>
      </c>
      <c r="AG146">
        <v>7429.06</v>
      </c>
      <c r="AH146" s="14">
        <v>46265</v>
      </c>
      <c r="AI146" t="s">
        <v>258</v>
      </c>
      <c r="AJ146" s="13">
        <v>46262.213402777779</v>
      </c>
      <c r="AK146">
        <v>6066.68</v>
      </c>
      <c r="AL146" t="s">
        <v>259</v>
      </c>
      <c r="AM146" t="s">
        <v>260</v>
      </c>
      <c r="AN146">
        <v>1400</v>
      </c>
      <c r="AO146">
        <v>0</v>
      </c>
      <c r="AP146">
        <v>35</v>
      </c>
      <c r="AQ146">
        <v>85</v>
      </c>
      <c r="AR146">
        <v>35</v>
      </c>
      <c r="AS146">
        <v>2</v>
      </c>
      <c r="AT146">
        <v>23</v>
      </c>
      <c r="AU146">
        <v>1</v>
      </c>
      <c r="AV146">
        <v>0</v>
      </c>
      <c r="AW146">
        <v>10</v>
      </c>
      <c r="AX146">
        <v>1</v>
      </c>
      <c r="AY146">
        <v>10</v>
      </c>
      <c r="AZ146">
        <v>5</v>
      </c>
      <c r="BA146">
        <v>1</v>
      </c>
      <c r="BB146">
        <v>1440</v>
      </c>
      <c r="BC146">
        <v>0</v>
      </c>
      <c r="BD146">
        <v>0</v>
      </c>
      <c r="BE146">
        <v>14</v>
      </c>
      <c r="BF146">
        <v>25</v>
      </c>
      <c r="BG146">
        <v>3</v>
      </c>
      <c r="BH146">
        <v>8</v>
      </c>
      <c r="BI146">
        <v>3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0</v>
      </c>
      <c r="BQ146">
        <v>60</v>
      </c>
      <c r="BR146">
        <v>0</v>
      </c>
      <c r="BS146">
        <v>3</v>
      </c>
      <c r="BT146" t="s">
        <v>243</v>
      </c>
      <c r="BU146" t="s">
        <v>261</v>
      </c>
      <c r="BV146" t="b">
        <v>0</v>
      </c>
      <c r="BW146" t="s">
        <v>262</v>
      </c>
    </row>
    <row r="147" spans="1:75">
      <c r="A147" t="s">
        <v>243</v>
      </c>
      <c r="B147" t="s">
        <v>252</v>
      </c>
      <c r="C147">
        <v>1060</v>
      </c>
      <c r="D147" t="s">
        <v>253</v>
      </c>
      <c r="E147" t="s">
        <v>254</v>
      </c>
      <c r="F147">
        <v>5</v>
      </c>
      <c r="G147" s="13">
        <v>46265.610138888886</v>
      </c>
      <c r="H147" s="13">
        <v>46265.611041666663</v>
      </c>
      <c r="I147">
        <v>78</v>
      </c>
      <c r="J147" t="s">
        <v>264</v>
      </c>
      <c r="K147">
        <v>1</v>
      </c>
      <c r="L147">
        <v>0.04</v>
      </c>
      <c r="M147">
        <v>0.04</v>
      </c>
      <c r="N147">
        <v>1</v>
      </c>
      <c r="O147">
        <v>0.04</v>
      </c>
      <c r="P147">
        <v>2.64</v>
      </c>
      <c r="Q147">
        <v>5.12</v>
      </c>
      <c r="R147">
        <v>4.04</v>
      </c>
      <c r="S147" t="s">
        <v>256</v>
      </c>
      <c r="T147" t="s">
        <v>257</v>
      </c>
      <c r="U147">
        <v>10</v>
      </c>
      <c r="V147">
        <v>7428.42</v>
      </c>
      <c r="W147">
        <v>4999.3599999999997</v>
      </c>
      <c r="X147">
        <v>4997.3599999999997</v>
      </c>
      <c r="Y147">
        <v>0</v>
      </c>
      <c r="Z147">
        <v>0</v>
      </c>
      <c r="AA147">
        <v>35</v>
      </c>
      <c r="AB147">
        <v>50</v>
      </c>
      <c r="AC147">
        <v>5000</v>
      </c>
      <c r="AD147">
        <v>0</v>
      </c>
      <c r="AE147">
        <v>0</v>
      </c>
      <c r="AF147">
        <v>7432.78</v>
      </c>
      <c r="AG147">
        <v>7432.78</v>
      </c>
      <c r="AH147" s="14">
        <v>46265</v>
      </c>
      <c r="AI147" t="s">
        <v>258</v>
      </c>
      <c r="AJ147" s="13">
        <v>46262.213402777779</v>
      </c>
      <c r="AK147">
        <v>6066.68</v>
      </c>
      <c r="AL147" t="s">
        <v>259</v>
      </c>
      <c r="AM147" t="s">
        <v>260</v>
      </c>
      <c r="AN147">
        <v>1400</v>
      </c>
      <c r="AO147">
        <v>0</v>
      </c>
      <c r="AP147">
        <v>35</v>
      </c>
      <c r="AQ147">
        <v>85</v>
      </c>
      <c r="AR147">
        <v>35</v>
      </c>
      <c r="AS147">
        <v>2</v>
      </c>
      <c r="AT147">
        <v>23</v>
      </c>
      <c r="AU147">
        <v>1</v>
      </c>
      <c r="AV147">
        <v>0</v>
      </c>
      <c r="AW147">
        <v>10</v>
      </c>
      <c r="AX147">
        <v>1</v>
      </c>
      <c r="AY147">
        <v>10</v>
      </c>
      <c r="AZ147">
        <v>5</v>
      </c>
      <c r="BA147">
        <v>1</v>
      </c>
      <c r="BB147">
        <v>1440</v>
      </c>
      <c r="BC147">
        <v>0</v>
      </c>
      <c r="BD147">
        <v>0</v>
      </c>
      <c r="BE147">
        <v>14</v>
      </c>
      <c r="BF147">
        <v>25</v>
      </c>
      <c r="BG147">
        <v>3</v>
      </c>
      <c r="BH147">
        <v>8</v>
      </c>
      <c r="BI147">
        <v>3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0</v>
      </c>
      <c r="BQ147">
        <v>60</v>
      </c>
      <c r="BR147">
        <v>0</v>
      </c>
      <c r="BS147">
        <v>3</v>
      </c>
      <c r="BT147" t="s">
        <v>243</v>
      </c>
      <c r="BU147" t="s">
        <v>261</v>
      </c>
      <c r="BV147" t="b">
        <v>0</v>
      </c>
      <c r="BW147" t="s">
        <v>262</v>
      </c>
    </row>
    <row r="148" spans="1:75">
      <c r="A148" t="s">
        <v>243</v>
      </c>
      <c r="B148" t="s">
        <v>252</v>
      </c>
      <c r="C148">
        <v>1061</v>
      </c>
      <c r="D148" t="s">
        <v>253</v>
      </c>
      <c r="E148" t="s">
        <v>254</v>
      </c>
      <c r="F148">
        <v>5</v>
      </c>
      <c r="G148" s="13">
        <v>46265.612453703703</v>
      </c>
      <c r="H148" s="13">
        <v>46265.612974537034</v>
      </c>
      <c r="I148">
        <v>45</v>
      </c>
      <c r="J148" t="s">
        <v>264</v>
      </c>
      <c r="K148">
        <v>1</v>
      </c>
      <c r="L148">
        <v>0.04</v>
      </c>
      <c r="M148">
        <v>0.04</v>
      </c>
      <c r="N148">
        <v>1</v>
      </c>
      <c r="O148">
        <v>0.04</v>
      </c>
      <c r="P148">
        <v>0.68</v>
      </c>
      <c r="Q148">
        <v>4.16</v>
      </c>
      <c r="R148">
        <v>3.36</v>
      </c>
      <c r="S148" t="s">
        <v>256</v>
      </c>
      <c r="T148" t="s">
        <v>257</v>
      </c>
      <c r="U148">
        <v>10</v>
      </c>
      <c r="V148">
        <v>7432.14</v>
      </c>
      <c r="W148">
        <v>4999.3599999999997</v>
      </c>
      <c r="X148">
        <v>4999.32</v>
      </c>
      <c r="Y148">
        <v>0</v>
      </c>
      <c r="Z148">
        <v>0</v>
      </c>
      <c r="AA148">
        <v>35</v>
      </c>
      <c r="AB148">
        <v>50</v>
      </c>
      <c r="AC148">
        <v>5000</v>
      </c>
      <c r="AD148">
        <v>0</v>
      </c>
      <c r="AE148">
        <v>0</v>
      </c>
      <c r="AF148">
        <v>7435.54</v>
      </c>
      <c r="AG148">
        <v>7435.54</v>
      </c>
      <c r="AH148" s="14">
        <v>46265</v>
      </c>
      <c r="AI148" t="s">
        <v>258</v>
      </c>
      <c r="AJ148" s="13">
        <v>46262.213402777779</v>
      </c>
      <c r="AK148">
        <v>6066.68</v>
      </c>
      <c r="AL148" t="s">
        <v>259</v>
      </c>
      <c r="AM148" t="s">
        <v>260</v>
      </c>
      <c r="AN148">
        <v>1400</v>
      </c>
      <c r="AO148">
        <v>0</v>
      </c>
      <c r="AP148">
        <v>35</v>
      </c>
      <c r="AQ148">
        <v>85</v>
      </c>
      <c r="AR148">
        <v>35</v>
      </c>
      <c r="AS148">
        <v>2</v>
      </c>
      <c r="AT148">
        <v>23</v>
      </c>
      <c r="AU148">
        <v>1</v>
      </c>
      <c r="AV148">
        <v>0</v>
      </c>
      <c r="AW148">
        <v>10</v>
      </c>
      <c r="AX148">
        <v>1</v>
      </c>
      <c r="AY148">
        <v>10</v>
      </c>
      <c r="AZ148">
        <v>5</v>
      </c>
      <c r="BA148">
        <v>1</v>
      </c>
      <c r="BB148">
        <v>1440</v>
      </c>
      <c r="BC148">
        <v>0</v>
      </c>
      <c r="BD148">
        <v>0</v>
      </c>
      <c r="BE148">
        <v>14</v>
      </c>
      <c r="BF148">
        <v>25</v>
      </c>
      <c r="BG148">
        <v>3</v>
      </c>
      <c r="BH148">
        <v>8</v>
      </c>
      <c r="BI148">
        <v>3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0</v>
      </c>
      <c r="BQ148">
        <v>60</v>
      </c>
      <c r="BR148">
        <v>0</v>
      </c>
      <c r="BS148">
        <v>3</v>
      </c>
      <c r="BT148" t="s">
        <v>243</v>
      </c>
      <c r="BU148" t="s">
        <v>261</v>
      </c>
      <c r="BV148" t="b">
        <v>0</v>
      </c>
      <c r="BW148" t="s">
        <v>262</v>
      </c>
    </row>
    <row r="149" spans="1:75">
      <c r="A149" t="s">
        <v>243</v>
      </c>
      <c r="B149" t="s">
        <v>252</v>
      </c>
      <c r="C149">
        <v>1062</v>
      </c>
      <c r="D149" t="s">
        <v>253</v>
      </c>
      <c r="E149" t="s">
        <v>254</v>
      </c>
      <c r="F149">
        <v>5</v>
      </c>
      <c r="G149" s="13">
        <v>46265.627418981479</v>
      </c>
      <c r="H149" s="13">
        <v>46265.629861111112</v>
      </c>
      <c r="I149">
        <v>211</v>
      </c>
      <c r="J149" t="s">
        <v>255</v>
      </c>
      <c r="K149">
        <v>1</v>
      </c>
      <c r="L149">
        <v>0.04</v>
      </c>
      <c r="M149">
        <v>0.04</v>
      </c>
      <c r="N149">
        <v>1</v>
      </c>
      <c r="O149">
        <v>0.04</v>
      </c>
      <c r="P149">
        <v>5.04</v>
      </c>
      <c r="Q149">
        <v>7.52</v>
      </c>
      <c r="R149">
        <v>7.04</v>
      </c>
      <c r="S149" t="s">
        <v>256</v>
      </c>
      <c r="T149" t="s">
        <v>257</v>
      </c>
      <c r="U149">
        <v>10</v>
      </c>
      <c r="V149">
        <v>7434.9</v>
      </c>
      <c r="W149">
        <v>4999.3599999999997</v>
      </c>
      <c r="X149">
        <v>4994.96</v>
      </c>
      <c r="Y149">
        <v>0</v>
      </c>
      <c r="Z149">
        <v>0</v>
      </c>
      <c r="AA149">
        <v>35</v>
      </c>
      <c r="AB149">
        <v>50</v>
      </c>
      <c r="AC149">
        <v>5000</v>
      </c>
      <c r="AD149">
        <v>0</v>
      </c>
      <c r="AE149">
        <v>0</v>
      </c>
      <c r="AF149">
        <v>7441.66</v>
      </c>
      <c r="AG149">
        <v>7441.66</v>
      </c>
      <c r="AH149" s="14">
        <v>46265</v>
      </c>
      <c r="AI149" t="s">
        <v>258</v>
      </c>
      <c r="AJ149" s="13">
        <v>46262.213402777779</v>
      </c>
      <c r="AK149">
        <v>6066.68</v>
      </c>
      <c r="AL149" t="s">
        <v>259</v>
      </c>
      <c r="AM149" t="s">
        <v>260</v>
      </c>
      <c r="AN149">
        <v>1400</v>
      </c>
      <c r="AO149">
        <v>0</v>
      </c>
      <c r="AP149">
        <v>35</v>
      </c>
      <c r="AQ149">
        <v>85</v>
      </c>
      <c r="AR149">
        <v>35</v>
      </c>
      <c r="AS149">
        <v>2</v>
      </c>
      <c r="AT149">
        <v>23</v>
      </c>
      <c r="AU149">
        <v>1</v>
      </c>
      <c r="AV149">
        <v>0</v>
      </c>
      <c r="AW149">
        <v>10</v>
      </c>
      <c r="AX149">
        <v>1</v>
      </c>
      <c r="AY149">
        <v>10</v>
      </c>
      <c r="AZ149">
        <v>5</v>
      </c>
      <c r="BA149">
        <v>1</v>
      </c>
      <c r="BB149">
        <v>1440</v>
      </c>
      <c r="BC149">
        <v>0</v>
      </c>
      <c r="BD149">
        <v>0</v>
      </c>
      <c r="BE149">
        <v>14</v>
      </c>
      <c r="BF149">
        <v>25</v>
      </c>
      <c r="BG149">
        <v>3</v>
      </c>
      <c r="BH149">
        <v>8</v>
      </c>
      <c r="BI149">
        <v>3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0</v>
      </c>
      <c r="BQ149">
        <v>60</v>
      </c>
      <c r="BR149">
        <v>0</v>
      </c>
      <c r="BS149">
        <v>3</v>
      </c>
      <c r="BT149" t="s">
        <v>243</v>
      </c>
      <c r="BU149" t="s">
        <v>261</v>
      </c>
      <c r="BV149" t="b">
        <v>0</v>
      </c>
      <c r="BW149" t="s">
        <v>262</v>
      </c>
    </row>
    <row r="150" spans="1:75">
      <c r="A150" t="s">
        <v>243</v>
      </c>
      <c r="B150" t="s">
        <v>252</v>
      </c>
      <c r="C150">
        <v>1063</v>
      </c>
      <c r="D150" t="s">
        <v>253</v>
      </c>
      <c r="E150" t="s">
        <v>254</v>
      </c>
      <c r="F150">
        <v>5</v>
      </c>
      <c r="G150" s="13">
        <v>46265.630173611113</v>
      </c>
      <c r="H150" s="13">
        <v>46265.759548611109</v>
      </c>
      <c r="I150">
        <v>11178</v>
      </c>
      <c r="J150" t="s">
        <v>255</v>
      </c>
      <c r="K150">
        <v>24</v>
      </c>
      <c r="L150">
        <v>0.96</v>
      </c>
      <c r="M150">
        <v>0.04</v>
      </c>
      <c r="N150">
        <v>24</v>
      </c>
      <c r="O150">
        <v>0.96</v>
      </c>
      <c r="P150">
        <v>1486.24</v>
      </c>
      <c r="Q150">
        <v>63</v>
      </c>
      <c r="R150">
        <v>63</v>
      </c>
      <c r="S150" t="s">
        <v>263</v>
      </c>
      <c r="T150" t="s">
        <v>257</v>
      </c>
      <c r="U150">
        <v>11</v>
      </c>
      <c r="V150">
        <v>7440.98</v>
      </c>
      <c r="W150">
        <v>4999.32</v>
      </c>
      <c r="X150">
        <v>3513.76</v>
      </c>
      <c r="Y150">
        <v>0</v>
      </c>
      <c r="Z150">
        <v>0</v>
      </c>
      <c r="AA150">
        <v>35</v>
      </c>
      <c r="AB150">
        <v>50</v>
      </c>
      <c r="AC150">
        <v>5000</v>
      </c>
      <c r="AD150">
        <v>0</v>
      </c>
      <c r="AE150">
        <v>0</v>
      </c>
      <c r="AF150">
        <v>7455.78</v>
      </c>
      <c r="AG150">
        <v>7455.78</v>
      </c>
      <c r="AH150" s="14">
        <v>46265</v>
      </c>
      <c r="AI150" t="s">
        <v>258</v>
      </c>
      <c r="AJ150" s="13">
        <v>46262.213402777779</v>
      </c>
      <c r="AK150">
        <v>6066.68</v>
      </c>
      <c r="AL150" t="s">
        <v>259</v>
      </c>
      <c r="AM150" t="s">
        <v>260</v>
      </c>
      <c r="AN150">
        <v>1400</v>
      </c>
      <c r="AO150">
        <v>0</v>
      </c>
      <c r="AP150">
        <v>35</v>
      </c>
      <c r="AQ150">
        <v>85</v>
      </c>
      <c r="AR150">
        <v>35</v>
      </c>
      <c r="AS150">
        <v>2</v>
      </c>
      <c r="AT150">
        <v>23</v>
      </c>
      <c r="AU150">
        <v>1</v>
      </c>
      <c r="AV150">
        <v>0</v>
      </c>
      <c r="AW150">
        <v>10</v>
      </c>
      <c r="AX150">
        <v>1</v>
      </c>
      <c r="AY150">
        <v>10</v>
      </c>
      <c r="AZ150">
        <v>5</v>
      </c>
      <c r="BA150">
        <v>1</v>
      </c>
      <c r="BB150">
        <v>1440</v>
      </c>
      <c r="BC150">
        <v>0</v>
      </c>
      <c r="BD150">
        <v>0</v>
      </c>
      <c r="BE150">
        <v>14</v>
      </c>
      <c r="BF150">
        <v>25</v>
      </c>
      <c r="BG150">
        <v>3</v>
      </c>
      <c r="BH150">
        <v>8</v>
      </c>
      <c r="BI150">
        <v>3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0</v>
      </c>
      <c r="BQ150">
        <v>60</v>
      </c>
      <c r="BR150">
        <v>0</v>
      </c>
      <c r="BS150">
        <v>3</v>
      </c>
      <c r="BT150" t="s">
        <v>243</v>
      </c>
      <c r="BU150" t="s">
        <v>261</v>
      </c>
      <c r="BV150" t="b">
        <v>0</v>
      </c>
      <c r="BW150" t="s">
        <v>262</v>
      </c>
    </row>
    <row r="151" spans="1:75">
      <c r="A151" t="s">
        <v>243</v>
      </c>
      <c r="B151" t="s">
        <v>252</v>
      </c>
      <c r="C151">
        <v>1064</v>
      </c>
      <c r="D151" t="s">
        <v>253</v>
      </c>
      <c r="E151" t="s">
        <v>254</v>
      </c>
      <c r="F151">
        <v>5</v>
      </c>
      <c r="G151" s="13">
        <v>46265.760810185187</v>
      </c>
      <c r="H151" s="13">
        <v>46265.762245370373</v>
      </c>
      <c r="I151">
        <v>124</v>
      </c>
      <c r="J151" t="s">
        <v>264</v>
      </c>
      <c r="K151">
        <v>1</v>
      </c>
      <c r="L151">
        <v>0.04</v>
      </c>
      <c r="M151">
        <v>0.04</v>
      </c>
      <c r="N151">
        <v>1</v>
      </c>
      <c r="O151">
        <v>0.04</v>
      </c>
      <c r="P151">
        <v>9.44</v>
      </c>
      <c r="Q151">
        <v>16.920000000000002</v>
      </c>
      <c r="R151">
        <v>16.920000000000002</v>
      </c>
      <c r="S151" t="s">
        <v>256</v>
      </c>
      <c r="T151" t="s">
        <v>257</v>
      </c>
      <c r="U151">
        <v>10</v>
      </c>
      <c r="V151">
        <v>7455.14</v>
      </c>
      <c r="W151">
        <v>4999.3599999999997</v>
      </c>
      <c r="X151">
        <v>4990.5600000000004</v>
      </c>
      <c r="Y151">
        <v>0</v>
      </c>
      <c r="Z151">
        <v>0</v>
      </c>
      <c r="AA151">
        <v>35</v>
      </c>
      <c r="AB151">
        <v>50</v>
      </c>
      <c r="AC151">
        <v>5000</v>
      </c>
      <c r="AD151">
        <v>0</v>
      </c>
      <c r="AE151">
        <v>0</v>
      </c>
      <c r="AF151">
        <v>7471.3</v>
      </c>
      <c r="AG151">
        <v>7471.3</v>
      </c>
      <c r="AH151" s="14">
        <v>46265</v>
      </c>
      <c r="AI151" t="s">
        <v>258</v>
      </c>
      <c r="AJ151" s="13">
        <v>46262.213402777779</v>
      </c>
      <c r="AK151">
        <v>6066.68</v>
      </c>
      <c r="AL151" t="s">
        <v>259</v>
      </c>
      <c r="AM151" t="s">
        <v>260</v>
      </c>
      <c r="AN151">
        <v>1400</v>
      </c>
      <c r="AO151">
        <v>0</v>
      </c>
      <c r="AP151">
        <v>35</v>
      </c>
      <c r="AQ151">
        <v>85</v>
      </c>
      <c r="AR151">
        <v>35</v>
      </c>
      <c r="AS151">
        <v>2</v>
      </c>
      <c r="AT151">
        <v>23</v>
      </c>
      <c r="AU151">
        <v>1</v>
      </c>
      <c r="AV151">
        <v>0</v>
      </c>
      <c r="AW151">
        <v>10</v>
      </c>
      <c r="AX151">
        <v>1</v>
      </c>
      <c r="AY151">
        <v>10</v>
      </c>
      <c r="AZ151">
        <v>5</v>
      </c>
      <c r="BA151">
        <v>1</v>
      </c>
      <c r="BB151">
        <v>1440</v>
      </c>
      <c r="BC151">
        <v>0</v>
      </c>
      <c r="BD151">
        <v>0</v>
      </c>
      <c r="BE151">
        <v>14</v>
      </c>
      <c r="BF151">
        <v>25</v>
      </c>
      <c r="BG151">
        <v>3</v>
      </c>
      <c r="BH151">
        <v>8</v>
      </c>
      <c r="BI151">
        <v>3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0</v>
      </c>
      <c r="BQ151">
        <v>60</v>
      </c>
      <c r="BR151">
        <v>0</v>
      </c>
      <c r="BS151">
        <v>3</v>
      </c>
      <c r="BT151" t="s">
        <v>243</v>
      </c>
      <c r="BU151" t="s">
        <v>261</v>
      </c>
      <c r="BV151" t="b">
        <v>0</v>
      </c>
      <c r="BW151" t="s">
        <v>262</v>
      </c>
    </row>
    <row r="152" spans="1:75">
      <c r="A152" t="s">
        <v>243</v>
      </c>
      <c r="B152" t="s">
        <v>252</v>
      </c>
      <c r="C152">
        <v>1065</v>
      </c>
      <c r="D152" t="s">
        <v>253</v>
      </c>
      <c r="E152" t="s">
        <v>254</v>
      </c>
      <c r="F152">
        <v>5</v>
      </c>
      <c r="G152" s="13">
        <v>46265.765034722222</v>
      </c>
      <c r="H152" s="13">
        <v>46265.765150462961</v>
      </c>
      <c r="I152">
        <v>10</v>
      </c>
      <c r="J152" t="s">
        <v>255</v>
      </c>
      <c r="K152">
        <v>1</v>
      </c>
      <c r="L152">
        <v>0.04</v>
      </c>
      <c r="M152">
        <v>0.04</v>
      </c>
      <c r="N152">
        <v>1</v>
      </c>
      <c r="O152">
        <v>0.04</v>
      </c>
      <c r="P152">
        <v>0.64</v>
      </c>
      <c r="Q152">
        <v>7.44</v>
      </c>
      <c r="R152">
        <v>7.24</v>
      </c>
      <c r="S152" t="s">
        <v>256</v>
      </c>
      <c r="T152" t="s">
        <v>257</v>
      </c>
      <c r="U152">
        <v>10</v>
      </c>
      <c r="V152">
        <v>7470.66</v>
      </c>
      <c r="W152">
        <v>4999.3599999999997</v>
      </c>
      <c r="X152">
        <v>4999.3599999999997</v>
      </c>
      <c r="Y152">
        <v>0</v>
      </c>
      <c r="Z152">
        <v>0</v>
      </c>
      <c r="AA152">
        <v>35</v>
      </c>
      <c r="AB152">
        <v>50</v>
      </c>
      <c r="AC152">
        <v>5000</v>
      </c>
      <c r="AD152">
        <v>0</v>
      </c>
      <c r="AE152">
        <v>0</v>
      </c>
      <c r="AF152">
        <v>7477.34</v>
      </c>
      <c r="AG152">
        <v>7477.34</v>
      </c>
      <c r="AH152" s="14">
        <v>46265</v>
      </c>
      <c r="AI152" t="s">
        <v>258</v>
      </c>
      <c r="AJ152" s="13">
        <v>46262.213402777779</v>
      </c>
      <c r="AK152">
        <v>6066.68</v>
      </c>
      <c r="AL152" t="s">
        <v>259</v>
      </c>
      <c r="AM152" t="s">
        <v>260</v>
      </c>
      <c r="AN152">
        <v>1400</v>
      </c>
      <c r="AO152">
        <v>0</v>
      </c>
      <c r="AP152">
        <v>35</v>
      </c>
      <c r="AQ152">
        <v>85</v>
      </c>
      <c r="AR152">
        <v>35</v>
      </c>
      <c r="AS152">
        <v>2</v>
      </c>
      <c r="AT152">
        <v>23</v>
      </c>
      <c r="AU152">
        <v>1</v>
      </c>
      <c r="AV152">
        <v>0</v>
      </c>
      <c r="AW152">
        <v>10</v>
      </c>
      <c r="AX152">
        <v>1</v>
      </c>
      <c r="AY152">
        <v>10</v>
      </c>
      <c r="AZ152">
        <v>5</v>
      </c>
      <c r="BA152">
        <v>1</v>
      </c>
      <c r="BB152">
        <v>1440</v>
      </c>
      <c r="BC152">
        <v>0</v>
      </c>
      <c r="BD152">
        <v>0</v>
      </c>
      <c r="BE152">
        <v>14</v>
      </c>
      <c r="BF152">
        <v>25</v>
      </c>
      <c r="BG152">
        <v>3</v>
      </c>
      <c r="BH152">
        <v>8</v>
      </c>
      <c r="BI152">
        <v>3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0</v>
      </c>
      <c r="BQ152">
        <v>60</v>
      </c>
      <c r="BR152">
        <v>0</v>
      </c>
      <c r="BS152">
        <v>3</v>
      </c>
      <c r="BT152" t="s">
        <v>243</v>
      </c>
      <c r="BU152" t="s">
        <v>261</v>
      </c>
      <c r="BV152" t="b">
        <v>0</v>
      </c>
      <c r="BW152" t="s">
        <v>262</v>
      </c>
    </row>
    <row r="153" spans="1:75">
      <c r="A153" t="s">
        <v>243</v>
      </c>
      <c r="B153" t="s">
        <v>252</v>
      </c>
      <c r="C153">
        <v>1066</v>
      </c>
      <c r="D153" t="s">
        <v>253</v>
      </c>
      <c r="E153" t="s">
        <v>254</v>
      </c>
      <c r="F153">
        <v>5</v>
      </c>
      <c r="G153" s="13">
        <v>46265.769918981481</v>
      </c>
      <c r="H153" s="13">
        <v>46265.783877314818</v>
      </c>
      <c r="I153">
        <v>1206</v>
      </c>
      <c r="J153" t="s">
        <v>255</v>
      </c>
      <c r="K153">
        <v>4</v>
      </c>
      <c r="L153">
        <v>0.16</v>
      </c>
      <c r="M153">
        <v>0.04</v>
      </c>
      <c r="N153">
        <v>4</v>
      </c>
      <c r="O153">
        <v>0.16</v>
      </c>
      <c r="P153">
        <v>79.2</v>
      </c>
      <c r="Q153">
        <v>11.32</v>
      </c>
      <c r="R153">
        <v>-2.92</v>
      </c>
      <c r="S153" t="s">
        <v>263</v>
      </c>
      <c r="T153" t="s">
        <v>256</v>
      </c>
      <c r="U153">
        <v>10</v>
      </c>
      <c r="V153">
        <v>7476.7</v>
      </c>
      <c r="W153">
        <v>4999.3599999999997</v>
      </c>
      <c r="X153">
        <v>4920.8</v>
      </c>
      <c r="Y153">
        <v>0</v>
      </c>
      <c r="Z153">
        <v>0</v>
      </c>
      <c r="AA153">
        <v>35</v>
      </c>
      <c r="AB153">
        <v>50</v>
      </c>
      <c r="AC153">
        <v>5000</v>
      </c>
      <c r="AD153">
        <v>0</v>
      </c>
      <c r="AE153">
        <v>0</v>
      </c>
      <c r="AF153">
        <v>7474.3</v>
      </c>
      <c r="AG153">
        <v>7474.3</v>
      </c>
      <c r="AH153" s="14">
        <v>46265</v>
      </c>
      <c r="AI153" t="s">
        <v>258</v>
      </c>
      <c r="AJ153" s="13">
        <v>46262.213402777779</v>
      </c>
      <c r="AK153">
        <v>6066.68</v>
      </c>
      <c r="AL153" t="s">
        <v>259</v>
      </c>
      <c r="AM153" t="s">
        <v>260</v>
      </c>
      <c r="AN153">
        <v>1400</v>
      </c>
      <c r="AO153">
        <v>0</v>
      </c>
      <c r="AP153">
        <v>35</v>
      </c>
      <c r="AQ153">
        <v>85</v>
      </c>
      <c r="AR153">
        <v>35</v>
      </c>
      <c r="AS153">
        <v>2</v>
      </c>
      <c r="AT153">
        <v>23</v>
      </c>
      <c r="AU153">
        <v>1</v>
      </c>
      <c r="AV153">
        <v>0</v>
      </c>
      <c r="AW153">
        <v>10</v>
      </c>
      <c r="AX153">
        <v>1</v>
      </c>
      <c r="AY153">
        <v>10</v>
      </c>
      <c r="AZ153">
        <v>5</v>
      </c>
      <c r="BA153">
        <v>1</v>
      </c>
      <c r="BB153">
        <v>1440</v>
      </c>
      <c r="BC153">
        <v>0</v>
      </c>
      <c r="BD153">
        <v>0</v>
      </c>
      <c r="BE153">
        <v>14</v>
      </c>
      <c r="BF153">
        <v>25</v>
      </c>
      <c r="BG153">
        <v>3</v>
      </c>
      <c r="BH153">
        <v>8</v>
      </c>
      <c r="BI153">
        <v>3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0</v>
      </c>
      <c r="BQ153">
        <v>60</v>
      </c>
      <c r="BR153">
        <v>0</v>
      </c>
      <c r="BS153">
        <v>3</v>
      </c>
      <c r="BT153" t="s">
        <v>243</v>
      </c>
      <c r="BU153" t="s">
        <v>261</v>
      </c>
      <c r="BV153" t="b">
        <v>0</v>
      </c>
      <c r="BW153" t="s">
        <v>262</v>
      </c>
    </row>
    <row r="154" spans="1:75">
      <c r="A154" t="s">
        <v>243</v>
      </c>
      <c r="B154" t="s">
        <v>252</v>
      </c>
      <c r="C154">
        <v>1067</v>
      </c>
      <c r="D154" t="s">
        <v>253</v>
      </c>
      <c r="E154" t="s">
        <v>254</v>
      </c>
      <c r="F154">
        <v>5</v>
      </c>
      <c r="G154" s="13">
        <v>46265.786597222221</v>
      </c>
      <c r="H154" s="13">
        <v>46265.788078703707</v>
      </c>
      <c r="I154">
        <v>128</v>
      </c>
      <c r="J154" t="s">
        <v>264</v>
      </c>
      <c r="K154">
        <v>1</v>
      </c>
      <c r="L154">
        <v>0.04</v>
      </c>
      <c r="M154">
        <v>0.04</v>
      </c>
      <c r="N154">
        <v>1</v>
      </c>
      <c r="O154">
        <v>0.04</v>
      </c>
      <c r="P154">
        <v>9.0399999999999991</v>
      </c>
      <c r="Q154">
        <v>5.44</v>
      </c>
      <c r="R154">
        <v>4.84</v>
      </c>
      <c r="S154" t="s">
        <v>256</v>
      </c>
      <c r="T154" t="s">
        <v>257</v>
      </c>
      <c r="U154">
        <v>10</v>
      </c>
      <c r="V154">
        <v>7473.62</v>
      </c>
      <c r="W154">
        <v>4999.32</v>
      </c>
      <c r="X154">
        <v>4990.96</v>
      </c>
      <c r="Y154">
        <v>0</v>
      </c>
      <c r="Z154">
        <v>0</v>
      </c>
      <c r="AA154">
        <v>35</v>
      </c>
      <c r="AB154">
        <v>50</v>
      </c>
      <c r="AC154">
        <v>5000</v>
      </c>
      <c r="AD154">
        <v>0</v>
      </c>
      <c r="AE154">
        <v>0</v>
      </c>
      <c r="AF154">
        <v>7478.34</v>
      </c>
      <c r="AG154">
        <v>7478.34</v>
      </c>
      <c r="AH154" s="14">
        <v>46265</v>
      </c>
      <c r="AI154" t="s">
        <v>258</v>
      </c>
      <c r="AJ154" s="13">
        <v>46262.213402777779</v>
      </c>
      <c r="AK154">
        <v>6066.68</v>
      </c>
      <c r="AL154" t="s">
        <v>259</v>
      </c>
      <c r="AM154" t="s">
        <v>260</v>
      </c>
      <c r="AN154">
        <v>1400</v>
      </c>
      <c r="AO154">
        <v>0</v>
      </c>
      <c r="AP154">
        <v>35</v>
      </c>
      <c r="AQ154">
        <v>85</v>
      </c>
      <c r="AR154">
        <v>35</v>
      </c>
      <c r="AS154">
        <v>2</v>
      </c>
      <c r="AT154">
        <v>23</v>
      </c>
      <c r="AU154">
        <v>1</v>
      </c>
      <c r="AV154">
        <v>0</v>
      </c>
      <c r="AW154">
        <v>10</v>
      </c>
      <c r="AX154">
        <v>1</v>
      </c>
      <c r="AY154">
        <v>10</v>
      </c>
      <c r="AZ154">
        <v>5</v>
      </c>
      <c r="BA154">
        <v>1</v>
      </c>
      <c r="BB154">
        <v>1440</v>
      </c>
      <c r="BC154">
        <v>0</v>
      </c>
      <c r="BD154">
        <v>0</v>
      </c>
      <c r="BE154">
        <v>14</v>
      </c>
      <c r="BF154">
        <v>25</v>
      </c>
      <c r="BG154">
        <v>3</v>
      </c>
      <c r="BH154">
        <v>8</v>
      </c>
      <c r="BI154">
        <v>3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0</v>
      </c>
      <c r="BQ154">
        <v>60</v>
      </c>
      <c r="BR154">
        <v>0</v>
      </c>
      <c r="BS154">
        <v>3</v>
      </c>
      <c r="BT154" t="s">
        <v>243</v>
      </c>
      <c r="BU154" t="s">
        <v>261</v>
      </c>
      <c r="BV154" t="b">
        <v>0</v>
      </c>
      <c r="BW154" t="s">
        <v>262</v>
      </c>
    </row>
    <row r="155" spans="1:75">
      <c r="A155" t="s">
        <v>243</v>
      </c>
      <c r="B155" t="s">
        <v>252</v>
      </c>
      <c r="C155">
        <v>1068</v>
      </c>
      <c r="D155" t="s">
        <v>253</v>
      </c>
      <c r="E155" t="s">
        <v>254</v>
      </c>
      <c r="F155">
        <v>5</v>
      </c>
      <c r="G155" s="13">
        <v>46265.789803240739</v>
      </c>
      <c r="H155" s="13">
        <v>46265.834386574075</v>
      </c>
      <c r="I155">
        <v>3852</v>
      </c>
      <c r="J155" t="s">
        <v>264</v>
      </c>
      <c r="K155">
        <v>6</v>
      </c>
      <c r="L155">
        <v>0.24</v>
      </c>
      <c r="M155">
        <v>0.04</v>
      </c>
      <c r="N155">
        <v>6</v>
      </c>
      <c r="O155">
        <v>0.24</v>
      </c>
      <c r="P155">
        <v>106.64</v>
      </c>
      <c r="Q155">
        <v>25.76</v>
      </c>
      <c r="R155">
        <v>18.079999999999998</v>
      </c>
      <c r="S155" t="s">
        <v>263</v>
      </c>
      <c r="T155" t="s">
        <v>257</v>
      </c>
      <c r="U155">
        <v>11</v>
      </c>
      <c r="V155">
        <v>7477.7</v>
      </c>
      <c r="W155">
        <v>4999.3599999999997</v>
      </c>
      <c r="X155">
        <v>4893.3599999999997</v>
      </c>
      <c r="Y155">
        <v>0</v>
      </c>
      <c r="Z155">
        <v>0</v>
      </c>
      <c r="AA155">
        <v>35</v>
      </c>
      <c r="AB155">
        <v>50</v>
      </c>
      <c r="AC155">
        <v>5000</v>
      </c>
      <c r="AD155">
        <v>0</v>
      </c>
      <c r="AE155">
        <v>0</v>
      </c>
      <c r="AF155">
        <v>7496.26</v>
      </c>
      <c r="AG155">
        <v>7496.26</v>
      </c>
      <c r="AH155" s="14">
        <v>46265</v>
      </c>
      <c r="AI155" t="s">
        <v>258</v>
      </c>
      <c r="AJ155" s="13">
        <v>46262.213402777779</v>
      </c>
      <c r="AK155">
        <v>6066.68</v>
      </c>
      <c r="AL155" t="s">
        <v>259</v>
      </c>
      <c r="AM155" t="s">
        <v>260</v>
      </c>
      <c r="AN155">
        <v>1400</v>
      </c>
      <c r="AO155">
        <v>0</v>
      </c>
      <c r="AP155">
        <v>35</v>
      </c>
      <c r="AQ155">
        <v>85</v>
      </c>
      <c r="AR155">
        <v>35</v>
      </c>
      <c r="AS155">
        <v>2</v>
      </c>
      <c r="AT155">
        <v>23</v>
      </c>
      <c r="AU155">
        <v>1</v>
      </c>
      <c r="AV155">
        <v>0</v>
      </c>
      <c r="AW155">
        <v>10</v>
      </c>
      <c r="AX155">
        <v>1</v>
      </c>
      <c r="AY155">
        <v>10</v>
      </c>
      <c r="AZ155">
        <v>5</v>
      </c>
      <c r="BA155">
        <v>1</v>
      </c>
      <c r="BB155">
        <v>1440</v>
      </c>
      <c r="BC155">
        <v>0</v>
      </c>
      <c r="BD155">
        <v>0</v>
      </c>
      <c r="BE155">
        <v>14</v>
      </c>
      <c r="BF155">
        <v>25</v>
      </c>
      <c r="BG155">
        <v>3</v>
      </c>
      <c r="BH155">
        <v>8</v>
      </c>
      <c r="BI155">
        <v>3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0</v>
      </c>
      <c r="BQ155">
        <v>60</v>
      </c>
      <c r="BR155">
        <v>0</v>
      </c>
      <c r="BS155">
        <v>3</v>
      </c>
      <c r="BT155" t="s">
        <v>243</v>
      </c>
      <c r="BU155" t="s">
        <v>261</v>
      </c>
      <c r="BV155" t="b">
        <v>0</v>
      </c>
      <c r="BW155" t="s">
        <v>262</v>
      </c>
    </row>
    <row r="156" spans="1:75">
      <c r="A156" t="s">
        <v>243</v>
      </c>
      <c r="B156" t="s">
        <v>252</v>
      </c>
      <c r="C156">
        <v>1069</v>
      </c>
      <c r="D156" t="s">
        <v>253</v>
      </c>
      <c r="E156" t="s">
        <v>254</v>
      </c>
      <c r="F156">
        <v>5</v>
      </c>
      <c r="G156" s="13">
        <v>46265.842592592591</v>
      </c>
      <c r="H156" s="13">
        <v>46265.858310185184</v>
      </c>
      <c r="I156">
        <v>1358</v>
      </c>
      <c r="J156" t="s">
        <v>255</v>
      </c>
      <c r="K156">
        <v>3</v>
      </c>
      <c r="L156">
        <v>0.12</v>
      </c>
      <c r="M156">
        <v>0.04</v>
      </c>
      <c r="N156">
        <v>3</v>
      </c>
      <c r="O156">
        <v>0.12</v>
      </c>
      <c r="P156">
        <v>34.64</v>
      </c>
      <c r="Q156">
        <v>15.72</v>
      </c>
      <c r="R156">
        <v>10.44</v>
      </c>
      <c r="S156" t="s">
        <v>263</v>
      </c>
      <c r="T156" t="s">
        <v>257</v>
      </c>
      <c r="U156">
        <v>10</v>
      </c>
      <c r="V156">
        <v>7495.62</v>
      </c>
      <c r="W156">
        <v>4999.3599999999997</v>
      </c>
      <c r="X156">
        <v>4965.3599999999997</v>
      </c>
      <c r="Y156">
        <v>0</v>
      </c>
      <c r="Z156">
        <v>0</v>
      </c>
      <c r="AA156">
        <v>35</v>
      </c>
      <c r="AB156">
        <v>50</v>
      </c>
      <c r="AC156">
        <v>5000</v>
      </c>
      <c r="AD156">
        <v>0</v>
      </c>
      <c r="AE156">
        <v>0</v>
      </c>
      <c r="AF156">
        <v>7510.78</v>
      </c>
      <c r="AG156">
        <v>7510.78</v>
      </c>
      <c r="AH156" s="14">
        <v>46265</v>
      </c>
      <c r="AI156" t="s">
        <v>258</v>
      </c>
      <c r="AJ156" s="13">
        <v>46262.213402777779</v>
      </c>
      <c r="AK156">
        <v>6066.68</v>
      </c>
      <c r="AL156" t="s">
        <v>259</v>
      </c>
      <c r="AM156" t="s">
        <v>260</v>
      </c>
      <c r="AN156">
        <v>1400</v>
      </c>
      <c r="AO156">
        <v>0</v>
      </c>
      <c r="AP156">
        <v>35</v>
      </c>
      <c r="AQ156">
        <v>85</v>
      </c>
      <c r="AR156">
        <v>35</v>
      </c>
      <c r="AS156">
        <v>2</v>
      </c>
      <c r="AT156">
        <v>23</v>
      </c>
      <c r="AU156">
        <v>1</v>
      </c>
      <c r="AV156">
        <v>0</v>
      </c>
      <c r="AW156">
        <v>10</v>
      </c>
      <c r="AX156">
        <v>1</v>
      </c>
      <c r="AY156">
        <v>10</v>
      </c>
      <c r="AZ156">
        <v>5</v>
      </c>
      <c r="BA156">
        <v>1</v>
      </c>
      <c r="BB156">
        <v>1440</v>
      </c>
      <c r="BC156">
        <v>0</v>
      </c>
      <c r="BD156">
        <v>0</v>
      </c>
      <c r="BE156">
        <v>14</v>
      </c>
      <c r="BF156">
        <v>25</v>
      </c>
      <c r="BG156">
        <v>3</v>
      </c>
      <c r="BH156">
        <v>8</v>
      </c>
      <c r="BI156">
        <v>3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0</v>
      </c>
      <c r="BQ156">
        <v>60</v>
      </c>
      <c r="BR156">
        <v>0</v>
      </c>
      <c r="BS156">
        <v>3</v>
      </c>
      <c r="BT156" t="s">
        <v>243</v>
      </c>
      <c r="BU156" t="s">
        <v>261</v>
      </c>
      <c r="BV156" t="b">
        <v>0</v>
      </c>
      <c r="BW156" t="s">
        <v>262</v>
      </c>
    </row>
    <row r="157" spans="1:75">
      <c r="A157" t="s">
        <v>243</v>
      </c>
      <c r="B157" t="s">
        <v>252</v>
      </c>
      <c r="C157">
        <v>1070</v>
      </c>
      <c r="D157" t="s">
        <v>253</v>
      </c>
      <c r="E157" t="s">
        <v>254</v>
      </c>
      <c r="F157">
        <v>5</v>
      </c>
      <c r="G157" s="13">
        <v>46265.863819444443</v>
      </c>
      <c r="H157" s="13">
        <v>46265.864884259259</v>
      </c>
      <c r="I157">
        <v>92</v>
      </c>
      <c r="J157" t="s">
        <v>255</v>
      </c>
      <c r="K157">
        <v>1</v>
      </c>
      <c r="L157">
        <v>0.04</v>
      </c>
      <c r="M157">
        <v>0.04</v>
      </c>
      <c r="N157">
        <v>1</v>
      </c>
      <c r="O157">
        <v>0.04</v>
      </c>
      <c r="P157">
        <v>1.92</v>
      </c>
      <c r="Q157">
        <v>3.24</v>
      </c>
      <c r="R157">
        <v>1.84</v>
      </c>
      <c r="S157" t="s">
        <v>256</v>
      </c>
      <c r="T157" t="s">
        <v>257</v>
      </c>
      <c r="U157">
        <v>11</v>
      </c>
      <c r="V157">
        <v>7510.1</v>
      </c>
      <c r="W157">
        <v>4999.32</v>
      </c>
      <c r="X157">
        <v>4998.08</v>
      </c>
      <c r="Y157">
        <v>0</v>
      </c>
      <c r="Z157">
        <v>0</v>
      </c>
      <c r="AA157">
        <v>35</v>
      </c>
      <c r="AB157">
        <v>50</v>
      </c>
      <c r="AC157">
        <v>5000</v>
      </c>
      <c r="AD157">
        <v>0</v>
      </c>
      <c r="AE157">
        <v>0</v>
      </c>
      <c r="AF157">
        <v>7512.62</v>
      </c>
      <c r="AG157">
        <v>7512.62</v>
      </c>
      <c r="AH157" s="14">
        <v>46265</v>
      </c>
      <c r="AI157" t="s">
        <v>258</v>
      </c>
      <c r="AJ157" s="13">
        <v>46262.213402777779</v>
      </c>
      <c r="AK157">
        <v>6066.68</v>
      </c>
      <c r="AL157" t="s">
        <v>259</v>
      </c>
      <c r="AM157" t="s">
        <v>260</v>
      </c>
      <c r="AN157">
        <v>1400</v>
      </c>
      <c r="AO157">
        <v>0</v>
      </c>
      <c r="AP157">
        <v>35</v>
      </c>
      <c r="AQ157">
        <v>85</v>
      </c>
      <c r="AR157">
        <v>35</v>
      </c>
      <c r="AS157">
        <v>2</v>
      </c>
      <c r="AT157">
        <v>23</v>
      </c>
      <c r="AU157">
        <v>1</v>
      </c>
      <c r="AV157">
        <v>0</v>
      </c>
      <c r="AW157">
        <v>10</v>
      </c>
      <c r="AX157">
        <v>1</v>
      </c>
      <c r="AY157">
        <v>10</v>
      </c>
      <c r="AZ157">
        <v>5</v>
      </c>
      <c r="BA157">
        <v>1</v>
      </c>
      <c r="BB157">
        <v>1440</v>
      </c>
      <c r="BC157">
        <v>0</v>
      </c>
      <c r="BD157">
        <v>0</v>
      </c>
      <c r="BE157">
        <v>14</v>
      </c>
      <c r="BF157">
        <v>25</v>
      </c>
      <c r="BG157">
        <v>3</v>
      </c>
      <c r="BH157">
        <v>8</v>
      </c>
      <c r="BI157">
        <v>3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0</v>
      </c>
      <c r="BQ157">
        <v>60</v>
      </c>
      <c r="BR157">
        <v>0</v>
      </c>
      <c r="BS157">
        <v>3</v>
      </c>
      <c r="BT157" t="s">
        <v>243</v>
      </c>
      <c r="BU157" t="s">
        <v>261</v>
      </c>
      <c r="BV157" t="b">
        <v>0</v>
      </c>
      <c r="BW157" t="s">
        <v>262</v>
      </c>
    </row>
    <row r="158" spans="1:75">
      <c r="A158" t="s">
        <v>243</v>
      </c>
      <c r="B158" t="s">
        <v>252</v>
      </c>
      <c r="C158">
        <v>1071</v>
      </c>
      <c r="D158" t="s">
        <v>253</v>
      </c>
      <c r="E158" t="s">
        <v>254</v>
      </c>
      <c r="F158">
        <v>5</v>
      </c>
      <c r="G158" s="13">
        <v>46265.866863425923</v>
      </c>
      <c r="H158" s="13">
        <v>46265.933067129627</v>
      </c>
      <c r="I158">
        <v>5720</v>
      </c>
      <c r="J158" t="s">
        <v>255</v>
      </c>
      <c r="K158">
        <v>4</v>
      </c>
      <c r="L158">
        <v>0.16</v>
      </c>
      <c r="M158">
        <v>0.04</v>
      </c>
      <c r="N158">
        <v>4</v>
      </c>
      <c r="O158">
        <v>0.16</v>
      </c>
      <c r="P158">
        <v>54.88</v>
      </c>
      <c r="Q158">
        <v>26.32</v>
      </c>
      <c r="R158">
        <v>19.440000000000001</v>
      </c>
      <c r="S158" t="s">
        <v>263</v>
      </c>
      <c r="T158" t="s">
        <v>257</v>
      </c>
      <c r="U158">
        <v>11</v>
      </c>
      <c r="V158">
        <v>7511.98</v>
      </c>
      <c r="W158">
        <v>4999.3599999999997</v>
      </c>
      <c r="X158">
        <v>4945.12</v>
      </c>
      <c r="Y158">
        <v>0</v>
      </c>
      <c r="Z158">
        <v>0</v>
      </c>
      <c r="AA158">
        <v>35</v>
      </c>
      <c r="AB158">
        <v>50</v>
      </c>
      <c r="AC158">
        <v>5000</v>
      </c>
      <c r="AD158">
        <v>0</v>
      </c>
      <c r="AE158">
        <v>0</v>
      </c>
      <c r="AF158">
        <v>7531.74</v>
      </c>
      <c r="AG158">
        <v>7531.74</v>
      </c>
      <c r="AH158" s="14">
        <v>46265</v>
      </c>
      <c r="AI158" t="s">
        <v>258</v>
      </c>
      <c r="AJ158" s="13">
        <v>46262.213402777779</v>
      </c>
      <c r="AK158">
        <v>6066.68</v>
      </c>
      <c r="AL158" t="s">
        <v>259</v>
      </c>
      <c r="AM158" t="s">
        <v>260</v>
      </c>
      <c r="AN158">
        <v>1400</v>
      </c>
      <c r="AO158">
        <v>0</v>
      </c>
      <c r="AP158">
        <v>35</v>
      </c>
      <c r="AQ158">
        <v>85</v>
      </c>
      <c r="AR158">
        <v>35</v>
      </c>
      <c r="AS158">
        <v>2</v>
      </c>
      <c r="AT158">
        <v>23</v>
      </c>
      <c r="AU158">
        <v>1</v>
      </c>
      <c r="AV158">
        <v>0</v>
      </c>
      <c r="AW158">
        <v>10</v>
      </c>
      <c r="AX158">
        <v>1</v>
      </c>
      <c r="AY158">
        <v>10</v>
      </c>
      <c r="AZ158">
        <v>5</v>
      </c>
      <c r="BA158">
        <v>1</v>
      </c>
      <c r="BB158">
        <v>1440</v>
      </c>
      <c r="BC158">
        <v>0</v>
      </c>
      <c r="BD158">
        <v>0</v>
      </c>
      <c r="BE158">
        <v>14</v>
      </c>
      <c r="BF158">
        <v>25</v>
      </c>
      <c r="BG158">
        <v>3</v>
      </c>
      <c r="BH158">
        <v>8</v>
      </c>
      <c r="BI158">
        <v>3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0</v>
      </c>
      <c r="BQ158">
        <v>60</v>
      </c>
      <c r="BR158">
        <v>0</v>
      </c>
      <c r="BS158">
        <v>3</v>
      </c>
      <c r="BT158" t="s">
        <v>243</v>
      </c>
      <c r="BU158" t="s">
        <v>261</v>
      </c>
      <c r="BV158" t="b">
        <v>0</v>
      </c>
      <c r="BW158" t="s">
        <v>262</v>
      </c>
    </row>
    <row r="159" spans="1:75">
      <c r="A159" t="s">
        <v>243</v>
      </c>
      <c r="B159" t="s">
        <v>252</v>
      </c>
      <c r="C159">
        <v>1072</v>
      </c>
      <c r="D159" t="s">
        <v>253</v>
      </c>
      <c r="E159" t="s">
        <v>254</v>
      </c>
      <c r="F159">
        <v>5</v>
      </c>
      <c r="G159" s="13">
        <v>46265.935185185182</v>
      </c>
      <c r="H159" s="13">
        <v>46266.166967592595</v>
      </c>
      <c r="I159">
        <v>20026</v>
      </c>
      <c r="J159" t="s">
        <v>264</v>
      </c>
      <c r="K159">
        <v>12</v>
      </c>
      <c r="L159">
        <v>0.48</v>
      </c>
      <c r="M159">
        <v>0.04</v>
      </c>
      <c r="N159">
        <v>12</v>
      </c>
      <c r="O159">
        <v>0.48</v>
      </c>
      <c r="P159">
        <v>409.07</v>
      </c>
      <c r="Q159">
        <v>18.690000000000001</v>
      </c>
      <c r="R159">
        <v>1.57</v>
      </c>
      <c r="S159" t="s">
        <v>263</v>
      </c>
      <c r="T159" t="s">
        <v>257</v>
      </c>
      <c r="U159">
        <v>11</v>
      </c>
      <c r="V159">
        <v>7531.06</v>
      </c>
      <c r="W159">
        <v>4999.32</v>
      </c>
      <c r="X159">
        <v>4590.93</v>
      </c>
      <c r="Y159">
        <v>0</v>
      </c>
      <c r="Z159">
        <v>0</v>
      </c>
      <c r="AA159">
        <v>35</v>
      </c>
      <c r="AB159">
        <v>50</v>
      </c>
      <c r="AC159">
        <v>5000</v>
      </c>
      <c r="AD159">
        <v>0</v>
      </c>
      <c r="AE159">
        <v>0</v>
      </c>
      <c r="AF159">
        <v>7562.43</v>
      </c>
      <c r="AG159">
        <v>7562.43</v>
      </c>
      <c r="AH159" s="14">
        <v>46265</v>
      </c>
      <c r="AI159" t="s">
        <v>258</v>
      </c>
      <c r="AJ159" s="13">
        <v>46262.213402777779</v>
      </c>
      <c r="AK159">
        <v>6066.68</v>
      </c>
      <c r="AL159" t="s">
        <v>259</v>
      </c>
      <c r="AM159" t="s">
        <v>260</v>
      </c>
      <c r="AN159">
        <v>1400</v>
      </c>
      <c r="AO159">
        <v>0</v>
      </c>
      <c r="AP159">
        <v>35</v>
      </c>
      <c r="AQ159">
        <v>85</v>
      </c>
      <c r="AR159">
        <v>35</v>
      </c>
      <c r="AS159">
        <v>2</v>
      </c>
      <c r="AT159">
        <v>23</v>
      </c>
      <c r="AU159">
        <v>1</v>
      </c>
      <c r="AV159">
        <v>0</v>
      </c>
      <c r="AW159">
        <v>10</v>
      </c>
      <c r="AX159">
        <v>1</v>
      </c>
      <c r="AY159">
        <v>10</v>
      </c>
      <c r="AZ159">
        <v>5</v>
      </c>
      <c r="BA159">
        <v>1</v>
      </c>
      <c r="BB159">
        <v>1440</v>
      </c>
      <c r="BC159">
        <v>0</v>
      </c>
      <c r="BD159">
        <v>0</v>
      </c>
      <c r="BE159">
        <v>14</v>
      </c>
      <c r="BF159">
        <v>25</v>
      </c>
      <c r="BG159">
        <v>3</v>
      </c>
      <c r="BH159">
        <v>8</v>
      </c>
      <c r="BI159">
        <v>3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0</v>
      </c>
      <c r="BQ159">
        <v>60</v>
      </c>
      <c r="BR159">
        <v>0</v>
      </c>
      <c r="BS159">
        <v>3</v>
      </c>
      <c r="BT159" t="s">
        <v>243</v>
      </c>
      <c r="BU159" t="s">
        <v>261</v>
      </c>
      <c r="BV159" t="b">
        <v>0</v>
      </c>
      <c r="BW159" t="s">
        <v>262</v>
      </c>
    </row>
    <row r="160" spans="1:75">
      <c r="A160" t="s">
        <v>243</v>
      </c>
      <c r="B160" t="s">
        <v>252</v>
      </c>
      <c r="C160">
        <v>1073</v>
      </c>
      <c r="D160" t="s">
        <v>253</v>
      </c>
      <c r="E160" t="s">
        <v>254</v>
      </c>
      <c r="F160">
        <v>5</v>
      </c>
      <c r="G160" s="13">
        <v>46266.171296296299</v>
      </c>
      <c r="H160" s="13">
        <v>46266.174270833333</v>
      </c>
      <c r="I160">
        <v>257</v>
      </c>
      <c r="J160" t="s">
        <v>264</v>
      </c>
      <c r="K160">
        <v>1</v>
      </c>
      <c r="L160">
        <v>0.04</v>
      </c>
      <c r="M160">
        <v>0.04</v>
      </c>
      <c r="N160">
        <v>1</v>
      </c>
      <c r="O160">
        <v>0.04</v>
      </c>
      <c r="P160">
        <v>11.52</v>
      </c>
      <c r="Q160">
        <v>5.64</v>
      </c>
      <c r="R160">
        <v>4.88</v>
      </c>
      <c r="S160" t="s">
        <v>256</v>
      </c>
      <c r="T160" t="s">
        <v>257</v>
      </c>
      <c r="U160">
        <v>15</v>
      </c>
      <c r="V160">
        <v>7561.59</v>
      </c>
      <c r="W160">
        <v>4999.16</v>
      </c>
      <c r="X160">
        <v>4988.4799999999996</v>
      </c>
      <c r="Y160">
        <v>0</v>
      </c>
      <c r="Z160">
        <v>0</v>
      </c>
      <c r="AA160">
        <v>35</v>
      </c>
      <c r="AB160">
        <v>50</v>
      </c>
      <c r="AC160">
        <v>5000</v>
      </c>
      <c r="AD160">
        <v>0</v>
      </c>
      <c r="AE160">
        <v>0</v>
      </c>
      <c r="AF160">
        <v>7566.67</v>
      </c>
      <c r="AG160">
        <v>7566.67</v>
      </c>
      <c r="AH160" s="14">
        <v>46266</v>
      </c>
      <c r="AI160" t="s">
        <v>258</v>
      </c>
      <c r="AJ160" s="13">
        <v>46262.213402777779</v>
      </c>
      <c r="AK160">
        <v>6066.68</v>
      </c>
      <c r="AL160" t="s">
        <v>259</v>
      </c>
      <c r="AM160" t="s">
        <v>260</v>
      </c>
      <c r="AN160">
        <v>1400</v>
      </c>
      <c r="AO160">
        <v>0</v>
      </c>
      <c r="AP160">
        <v>35</v>
      </c>
      <c r="AQ160">
        <v>85</v>
      </c>
      <c r="AR160">
        <v>35</v>
      </c>
      <c r="AS160">
        <v>2</v>
      </c>
      <c r="AT160">
        <v>23</v>
      </c>
      <c r="AU160">
        <v>1</v>
      </c>
      <c r="AV160">
        <v>0</v>
      </c>
      <c r="AW160">
        <v>10</v>
      </c>
      <c r="AX160">
        <v>1</v>
      </c>
      <c r="AY160">
        <v>10</v>
      </c>
      <c r="AZ160">
        <v>5</v>
      </c>
      <c r="BA160">
        <v>1</v>
      </c>
      <c r="BB160">
        <v>1440</v>
      </c>
      <c r="BC160">
        <v>0</v>
      </c>
      <c r="BD160">
        <v>0</v>
      </c>
      <c r="BE160">
        <v>14</v>
      </c>
      <c r="BF160">
        <v>25</v>
      </c>
      <c r="BG160">
        <v>3</v>
      </c>
      <c r="BH160">
        <v>8</v>
      </c>
      <c r="BI160">
        <v>3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0</v>
      </c>
      <c r="BQ160">
        <v>60</v>
      </c>
      <c r="BR160">
        <v>0</v>
      </c>
      <c r="BS160">
        <v>3</v>
      </c>
      <c r="BT160" t="s">
        <v>243</v>
      </c>
      <c r="BU160" t="s">
        <v>261</v>
      </c>
      <c r="BV160" t="b">
        <v>0</v>
      </c>
      <c r="BW160" t="s">
        <v>262</v>
      </c>
    </row>
    <row r="161" spans="1:75">
      <c r="A161" t="s">
        <v>243</v>
      </c>
      <c r="B161" t="s">
        <v>252</v>
      </c>
      <c r="C161">
        <v>1074</v>
      </c>
      <c r="D161" t="s">
        <v>253</v>
      </c>
      <c r="E161" t="s">
        <v>254</v>
      </c>
      <c r="F161">
        <v>5</v>
      </c>
      <c r="G161" s="13">
        <v>46266.175879629627</v>
      </c>
      <c r="H161" s="13">
        <v>46266.197974537034</v>
      </c>
      <c r="I161">
        <v>1909</v>
      </c>
      <c r="J161" t="s">
        <v>255</v>
      </c>
      <c r="K161">
        <v>5</v>
      </c>
      <c r="L161">
        <v>0.2</v>
      </c>
      <c r="M161">
        <v>0.04</v>
      </c>
      <c r="N161">
        <v>5</v>
      </c>
      <c r="O161">
        <v>0.2</v>
      </c>
      <c r="P161">
        <v>96.32</v>
      </c>
      <c r="Q161">
        <v>11.52</v>
      </c>
      <c r="R161">
        <v>5.12</v>
      </c>
      <c r="S161" t="s">
        <v>263</v>
      </c>
      <c r="T161" t="s">
        <v>257</v>
      </c>
      <c r="U161">
        <v>10</v>
      </c>
      <c r="V161">
        <v>7565.99</v>
      </c>
      <c r="W161">
        <v>4999.32</v>
      </c>
      <c r="X161">
        <v>4903.68</v>
      </c>
      <c r="Y161">
        <v>0</v>
      </c>
      <c r="Z161">
        <v>0</v>
      </c>
      <c r="AA161">
        <v>35</v>
      </c>
      <c r="AB161">
        <v>50</v>
      </c>
      <c r="AC161">
        <v>5000</v>
      </c>
      <c r="AD161">
        <v>0</v>
      </c>
      <c r="AE161">
        <v>0</v>
      </c>
      <c r="AF161">
        <v>7571.71</v>
      </c>
      <c r="AG161">
        <v>7571.71</v>
      </c>
      <c r="AH161" s="14">
        <v>46266</v>
      </c>
      <c r="AI161" t="s">
        <v>258</v>
      </c>
      <c r="AJ161" s="13">
        <v>46262.213402777779</v>
      </c>
      <c r="AK161">
        <v>6066.68</v>
      </c>
      <c r="AL161" t="s">
        <v>259</v>
      </c>
      <c r="AM161" t="s">
        <v>260</v>
      </c>
      <c r="AN161">
        <v>1400</v>
      </c>
      <c r="AO161">
        <v>0</v>
      </c>
      <c r="AP161">
        <v>35</v>
      </c>
      <c r="AQ161">
        <v>85</v>
      </c>
      <c r="AR161">
        <v>35</v>
      </c>
      <c r="AS161">
        <v>2</v>
      </c>
      <c r="AT161">
        <v>23</v>
      </c>
      <c r="AU161">
        <v>1</v>
      </c>
      <c r="AV161">
        <v>0</v>
      </c>
      <c r="AW161">
        <v>10</v>
      </c>
      <c r="AX161">
        <v>1</v>
      </c>
      <c r="AY161">
        <v>10</v>
      </c>
      <c r="AZ161">
        <v>5</v>
      </c>
      <c r="BA161">
        <v>1</v>
      </c>
      <c r="BB161">
        <v>1440</v>
      </c>
      <c r="BC161">
        <v>0</v>
      </c>
      <c r="BD161">
        <v>0</v>
      </c>
      <c r="BE161">
        <v>14</v>
      </c>
      <c r="BF161">
        <v>25</v>
      </c>
      <c r="BG161">
        <v>3</v>
      </c>
      <c r="BH161">
        <v>8</v>
      </c>
      <c r="BI161">
        <v>3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0</v>
      </c>
      <c r="BQ161">
        <v>60</v>
      </c>
      <c r="BR161">
        <v>0</v>
      </c>
      <c r="BS161">
        <v>3</v>
      </c>
      <c r="BT161" t="s">
        <v>243</v>
      </c>
      <c r="BU161" t="s">
        <v>261</v>
      </c>
      <c r="BV161" t="b">
        <v>0</v>
      </c>
      <c r="BW161" t="s">
        <v>262</v>
      </c>
    </row>
    <row r="162" spans="1:75">
      <c r="A162" t="s">
        <v>243</v>
      </c>
      <c r="B162" t="s">
        <v>252</v>
      </c>
      <c r="C162">
        <v>1075</v>
      </c>
      <c r="D162" t="s">
        <v>253</v>
      </c>
      <c r="E162" t="s">
        <v>254</v>
      </c>
      <c r="F162">
        <v>5</v>
      </c>
      <c r="G162" s="13">
        <v>46266.201018518521</v>
      </c>
      <c r="H162" s="13">
        <v>46266.20107638889</v>
      </c>
      <c r="I162">
        <v>5</v>
      </c>
      <c r="J162" t="s">
        <v>264</v>
      </c>
      <c r="K162">
        <v>1</v>
      </c>
      <c r="L162">
        <v>0.04</v>
      </c>
      <c r="M162">
        <v>0.04</v>
      </c>
      <c r="N162">
        <v>1</v>
      </c>
      <c r="O162">
        <v>0.04</v>
      </c>
      <c r="P162">
        <v>0.72</v>
      </c>
      <c r="Q162">
        <v>3.24</v>
      </c>
      <c r="R162">
        <v>1.88</v>
      </c>
      <c r="S162" t="s">
        <v>256</v>
      </c>
      <c r="T162" t="s">
        <v>257</v>
      </c>
      <c r="U162">
        <v>11</v>
      </c>
      <c r="V162">
        <v>7571.07</v>
      </c>
      <c r="W162">
        <v>4999.3599999999997</v>
      </c>
      <c r="X162">
        <v>4999.28</v>
      </c>
      <c r="Y162">
        <v>0</v>
      </c>
      <c r="Z162">
        <v>0</v>
      </c>
      <c r="AA162">
        <v>35</v>
      </c>
      <c r="AB162">
        <v>50</v>
      </c>
      <c r="AC162">
        <v>5000</v>
      </c>
      <c r="AD162">
        <v>0</v>
      </c>
      <c r="AE162">
        <v>0</v>
      </c>
      <c r="AF162">
        <v>7573.55</v>
      </c>
      <c r="AG162">
        <v>7573.55</v>
      </c>
      <c r="AH162" s="14">
        <v>46266</v>
      </c>
      <c r="AI162" t="s">
        <v>258</v>
      </c>
      <c r="AJ162" s="13">
        <v>46262.213402777779</v>
      </c>
      <c r="AK162">
        <v>6066.68</v>
      </c>
      <c r="AL162" t="s">
        <v>259</v>
      </c>
      <c r="AM162" t="s">
        <v>260</v>
      </c>
      <c r="AN162">
        <v>1400</v>
      </c>
      <c r="AO162">
        <v>0</v>
      </c>
      <c r="AP162">
        <v>35</v>
      </c>
      <c r="AQ162">
        <v>85</v>
      </c>
      <c r="AR162">
        <v>35</v>
      </c>
      <c r="AS162">
        <v>2</v>
      </c>
      <c r="AT162">
        <v>23</v>
      </c>
      <c r="AU162">
        <v>1</v>
      </c>
      <c r="AV162">
        <v>0</v>
      </c>
      <c r="AW162">
        <v>10</v>
      </c>
      <c r="AX162">
        <v>1</v>
      </c>
      <c r="AY162">
        <v>10</v>
      </c>
      <c r="AZ162">
        <v>5</v>
      </c>
      <c r="BA162">
        <v>1</v>
      </c>
      <c r="BB162">
        <v>1440</v>
      </c>
      <c r="BC162">
        <v>0</v>
      </c>
      <c r="BD162">
        <v>0</v>
      </c>
      <c r="BE162">
        <v>14</v>
      </c>
      <c r="BF162">
        <v>25</v>
      </c>
      <c r="BG162">
        <v>3</v>
      </c>
      <c r="BH162">
        <v>8</v>
      </c>
      <c r="BI162">
        <v>3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0</v>
      </c>
      <c r="BQ162">
        <v>60</v>
      </c>
      <c r="BR162">
        <v>0</v>
      </c>
      <c r="BS162">
        <v>3</v>
      </c>
      <c r="BT162" t="s">
        <v>243</v>
      </c>
      <c r="BU162" t="s">
        <v>261</v>
      </c>
      <c r="BV162" t="b">
        <v>0</v>
      </c>
      <c r="BW162" t="s">
        <v>262</v>
      </c>
    </row>
    <row r="163" spans="1:75">
      <c r="A163" t="s">
        <v>243</v>
      </c>
      <c r="B163" t="s">
        <v>252</v>
      </c>
      <c r="C163">
        <v>1076</v>
      </c>
      <c r="D163" t="s">
        <v>253</v>
      </c>
      <c r="E163" t="s">
        <v>254</v>
      </c>
      <c r="F163">
        <v>5</v>
      </c>
      <c r="G163" s="13">
        <v>46266.204212962963</v>
      </c>
      <c r="H163" s="13">
        <v>46266.225486111114</v>
      </c>
      <c r="I163">
        <v>1838</v>
      </c>
      <c r="J163" t="s">
        <v>264</v>
      </c>
      <c r="K163">
        <v>4</v>
      </c>
      <c r="L163">
        <v>0.16</v>
      </c>
      <c r="M163">
        <v>0.04</v>
      </c>
      <c r="N163">
        <v>4</v>
      </c>
      <c r="O163">
        <v>0.16</v>
      </c>
      <c r="P163">
        <v>59.6</v>
      </c>
      <c r="Q163">
        <v>16.84</v>
      </c>
      <c r="R163">
        <v>11.72</v>
      </c>
      <c r="S163" t="s">
        <v>263</v>
      </c>
      <c r="T163" t="s">
        <v>257</v>
      </c>
      <c r="U163">
        <v>10</v>
      </c>
      <c r="V163">
        <v>7572.91</v>
      </c>
      <c r="W163">
        <v>4999.3599999999997</v>
      </c>
      <c r="X163">
        <v>4940.3999999999996</v>
      </c>
      <c r="Y163">
        <v>0</v>
      </c>
      <c r="Z163">
        <v>0</v>
      </c>
      <c r="AA163">
        <v>35</v>
      </c>
      <c r="AB163">
        <v>50</v>
      </c>
      <c r="AC163">
        <v>5000</v>
      </c>
      <c r="AD163">
        <v>0</v>
      </c>
      <c r="AE163">
        <v>0</v>
      </c>
      <c r="AF163">
        <v>7585.27</v>
      </c>
      <c r="AG163">
        <v>7585.27</v>
      </c>
      <c r="AH163" s="14">
        <v>46266</v>
      </c>
      <c r="AI163" t="s">
        <v>258</v>
      </c>
      <c r="AJ163" s="13">
        <v>46262.213402777779</v>
      </c>
      <c r="AK163">
        <v>6066.68</v>
      </c>
      <c r="AL163" t="s">
        <v>259</v>
      </c>
      <c r="AM163" t="s">
        <v>260</v>
      </c>
      <c r="AN163">
        <v>1400</v>
      </c>
      <c r="AO163">
        <v>0</v>
      </c>
      <c r="AP163">
        <v>35</v>
      </c>
      <c r="AQ163">
        <v>85</v>
      </c>
      <c r="AR163">
        <v>35</v>
      </c>
      <c r="AS163">
        <v>2</v>
      </c>
      <c r="AT163">
        <v>23</v>
      </c>
      <c r="AU163">
        <v>1</v>
      </c>
      <c r="AV163">
        <v>0</v>
      </c>
      <c r="AW163">
        <v>10</v>
      </c>
      <c r="AX163">
        <v>1</v>
      </c>
      <c r="AY163">
        <v>10</v>
      </c>
      <c r="AZ163">
        <v>5</v>
      </c>
      <c r="BA163">
        <v>1</v>
      </c>
      <c r="BB163">
        <v>1440</v>
      </c>
      <c r="BC163">
        <v>0</v>
      </c>
      <c r="BD163">
        <v>0</v>
      </c>
      <c r="BE163">
        <v>14</v>
      </c>
      <c r="BF163">
        <v>25</v>
      </c>
      <c r="BG163">
        <v>3</v>
      </c>
      <c r="BH163">
        <v>8</v>
      </c>
      <c r="BI163">
        <v>3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0</v>
      </c>
      <c r="BQ163">
        <v>60</v>
      </c>
      <c r="BR163">
        <v>0</v>
      </c>
      <c r="BS163">
        <v>3</v>
      </c>
      <c r="BT163" t="s">
        <v>243</v>
      </c>
      <c r="BU163" t="s">
        <v>261</v>
      </c>
      <c r="BV163" t="b">
        <v>0</v>
      </c>
      <c r="BW163" t="s">
        <v>262</v>
      </c>
    </row>
    <row r="164" spans="1:75">
      <c r="A164" t="s">
        <v>243</v>
      </c>
      <c r="B164" t="s">
        <v>252</v>
      </c>
      <c r="C164">
        <v>1077</v>
      </c>
      <c r="D164" t="s">
        <v>253</v>
      </c>
      <c r="E164" t="s">
        <v>254</v>
      </c>
      <c r="F164">
        <v>5</v>
      </c>
      <c r="G164" s="13">
        <v>46266.229583333334</v>
      </c>
      <c r="H164" s="13">
        <v>46266.230150462965</v>
      </c>
      <c r="I164">
        <v>49</v>
      </c>
      <c r="J164" t="s">
        <v>264</v>
      </c>
      <c r="K164">
        <v>1</v>
      </c>
      <c r="L164">
        <v>0.04</v>
      </c>
      <c r="M164">
        <v>0.04</v>
      </c>
      <c r="N164">
        <v>1</v>
      </c>
      <c r="O164">
        <v>0.04</v>
      </c>
      <c r="P164">
        <v>4.12</v>
      </c>
      <c r="Q164">
        <v>7.88</v>
      </c>
      <c r="R164">
        <v>6.44</v>
      </c>
      <c r="S164" t="s">
        <v>256</v>
      </c>
      <c r="T164" t="s">
        <v>257</v>
      </c>
      <c r="U164">
        <v>11</v>
      </c>
      <c r="V164">
        <v>7584.63</v>
      </c>
      <c r="W164">
        <v>4999.3599999999997</v>
      </c>
      <c r="X164">
        <v>4995.88</v>
      </c>
      <c r="Y164">
        <v>0</v>
      </c>
      <c r="Z164">
        <v>0</v>
      </c>
      <c r="AA164">
        <v>35</v>
      </c>
      <c r="AB164">
        <v>50</v>
      </c>
      <c r="AC164">
        <v>5000</v>
      </c>
      <c r="AD164">
        <v>0</v>
      </c>
      <c r="AE164">
        <v>0</v>
      </c>
      <c r="AF164">
        <v>7591.75</v>
      </c>
      <c r="AG164">
        <v>7591.75</v>
      </c>
      <c r="AH164" s="14">
        <v>46266</v>
      </c>
      <c r="AI164" t="s">
        <v>258</v>
      </c>
      <c r="AJ164" s="13">
        <v>46262.213402777779</v>
      </c>
      <c r="AK164">
        <v>6066.68</v>
      </c>
      <c r="AL164" t="s">
        <v>259</v>
      </c>
      <c r="AM164" t="s">
        <v>260</v>
      </c>
      <c r="AN164">
        <v>1400</v>
      </c>
      <c r="AO164">
        <v>0</v>
      </c>
      <c r="AP164">
        <v>35</v>
      </c>
      <c r="AQ164">
        <v>85</v>
      </c>
      <c r="AR164">
        <v>35</v>
      </c>
      <c r="AS164">
        <v>2</v>
      </c>
      <c r="AT164">
        <v>23</v>
      </c>
      <c r="AU164">
        <v>1</v>
      </c>
      <c r="AV164">
        <v>0</v>
      </c>
      <c r="AW164">
        <v>10</v>
      </c>
      <c r="AX164">
        <v>1</v>
      </c>
      <c r="AY164">
        <v>10</v>
      </c>
      <c r="AZ164">
        <v>5</v>
      </c>
      <c r="BA164">
        <v>1</v>
      </c>
      <c r="BB164">
        <v>1440</v>
      </c>
      <c r="BC164">
        <v>0</v>
      </c>
      <c r="BD164">
        <v>0</v>
      </c>
      <c r="BE164">
        <v>14</v>
      </c>
      <c r="BF164">
        <v>25</v>
      </c>
      <c r="BG164">
        <v>3</v>
      </c>
      <c r="BH164">
        <v>8</v>
      </c>
      <c r="BI164">
        <v>3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0</v>
      </c>
      <c r="BQ164">
        <v>60</v>
      </c>
      <c r="BR164">
        <v>0</v>
      </c>
      <c r="BS164">
        <v>3</v>
      </c>
      <c r="BT164" t="s">
        <v>243</v>
      </c>
      <c r="BU164" t="s">
        <v>261</v>
      </c>
      <c r="BV164" t="b">
        <v>0</v>
      </c>
      <c r="BW164" t="s">
        <v>262</v>
      </c>
    </row>
    <row r="165" spans="1:75">
      <c r="A165" t="s">
        <v>243</v>
      </c>
      <c r="B165" t="s">
        <v>252</v>
      </c>
      <c r="C165">
        <v>1078</v>
      </c>
      <c r="D165" t="s">
        <v>253</v>
      </c>
      <c r="E165" t="s">
        <v>254</v>
      </c>
      <c r="F165">
        <v>5</v>
      </c>
      <c r="G165" s="13">
        <v>46266.233275462961</v>
      </c>
      <c r="H165" s="13">
        <v>46266.234664351854</v>
      </c>
      <c r="I165">
        <v>120</v>
      </c>
      <c r="J165" t="s">
        <v>264</v>
      </c>
      <c r="K165">
        <v>1</v>
      </c>
      <c r="L165">
        <v>0.04</v>
      </c>
      <c r="M165">
        <v>0.04</v>
      </c>
      <c r="N165">
        <v>1</v>
      </c>
      <c r="O165">
        <v>0.04</v>
      </c>
      <c r="P165">
        <v>3.64</v>
      </c>
      <c r="Q165">
        <v>6.24</v>
      </c>
      <c r="R165">
        <v>5.08</v>
      </c>
      <c r="S165" t="s">
        <v>256</v>
      </c>
      <c r="T165" t="s">
        <v>257</v>
      </c>
      <c r="U165">
        <v>10</v>
      </c>
      <c r="V165">
        <v>7590.79</v>
      </c>
      <c r="W165">
        <v>4999.04</v>
      </c>
      <c r="X165">
        <v>4996.3599999999997</v>
      </c>
      <c r="Y165">
        <v>0</v>
      </c>
      <c r="Z165">
        <v>0</v>
      </c>
      <c r="AA165">
        <v>35</v>
      </c>
      <c r="AB165">
        <v>50</v>
      </c>
      <c r="AC165">
        <v>5000</v>
      </c>
      <c r="AD165">
        <v>0</v>
      </c>
      <c r="AE165">
        <v>0</v>
      </c>
      <c r="AF165">
        <v>7596.51</v>
      </c>
      <c r="AG165">
        <v>7596.51</v>
      </c>
      <c r="AH165" s="14">
        <v>46266</v>
      </c>
      <c r="AI165" t="s">
        <v>258</v>
      </c>
      <c r="AJ165" s="13">
        <v>46262.213402777779</v>
      </c>
      <c r="AK165">
        <v>6066.68</v>
      </c>
      <c r="AL165" t="s">
        <v>259</v>
      </c>
      <c r="AM165" t="s">
        <v>260</v>
      </c>
      <c r="AN165">
        <v>1400</v>
      </c>
      <c r="AO165">
        <v>0</v>
      </c>
      <c r="AP165">
        <v>35</v>
      </c>
      <c r="AQ165">
        <v>85</v>
      </c>
      <c r="AR165">
        <v>35</v>
      </c>
      <c r="AS165">
        <v>2</v>
      </c>
      <c r="AT165">
        <v>23</v>
      </c>
      <c r="AU165">
        <v>1</v>
      </c>
      <c r="AV165">
        <v>0</v>
      </c>
      <c r="AW165">
        <v>10</v>
      </c>
      <c r="AX165">
        <v>1</v>
      </c>
      <c r="AY165">
        <v>10</v>
      </c>
      <c r="AZ165">
        <v>5</v>
      </c>
      <c r="BA165">
        <v>1</v>
      </c>
      <c r="BB165">
        <v>1440</v>
      </c>
      <c r="BC165">
        <v>0</v>
      </c>
      <c r="BD165">
        <v>0</v>
      </c>
      <c r="BE165">
        <v>14</v>
      </c>
      <c r="BF165">
        <v>25</v>
      </c>
      <c r="BG165">
        <v>3</v>
      </c>
      <c r="BH165">
        <v>8</v>
      </c>
      <c r="BI165">
        <v>3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60</v>
      </c>
      <c r="BR165">
        <v>0</v>
      </c>
      <c r="BS165">
        <v>3</v>
      </c>
      <c r="BT165" t="s">
        <v>243</v>
      </c>
      <c r="BU165" t="s">
        <v>261</v>
      </c>
      <c r="BV165" t="b">
        <v>0</v>
      </c>
      <c r="BW165" t="s">
        <v>262</v>
      </c>
    </row>
    <row r="166" spans="1:75">
      <c r="A166" t="s">
        <v>243</v>
      </c>
      <c r="B166" t="s">
        <v>252</v>
      </c>
      <c r="C166">
        <v>1079</v>
      </c>
      <c r="D166" t="s">
        <v>253</v>
      </c>
      <c r="E166" t="s">
        <v>254</v>
      </c>
      <c r="F166">
        <v>5</v>
      </c>
      <c r="G166" s="13">
        <v>46266.237812500003</v>
      </c>
      <c r="H166" s="13">
        <v>46266.242418981485</v>
      </c>
      <c r="I166">
        <v>398</v>
      </c>
      <c r="J166" t="s">
        <v>255</v>
      </c>
      <c r="K166">
        <v>2</v>
      </c>
      <c r="L166">
        <v>0.08</v>
      </c>
      <c r="M166">
        <v>0.04</v>
      </c>
      <c r="N166">
        <v>2</v>
      </c>
      <c r="O166">
        <v>0.08</v>
      </c>
      <c r="P166">
        <v>35.880000000000003</v>
      </c>
      <c r="Q166">
        <v>15.96</v>
      </c>
      <c r="R166">
        <v>10.92</v>
      </c>
      <c r="S166" t="s">
        <v>263</v>
      </c>
      <c r="T166" t="s">
        <v>257</v>
      </c>
      <c r="U166">
        <v>11</v>
      </c>
      <c r="V166">
        <v>7595.87</v>
      </c>
      <c r="W166">
        <v>4999.3599999999997</v>
      </c>
      <c r="X166">
        <v>4964.12</v>
      </c>
      <c r="Y166">
        <v>0</v>
      </c>
      <c r="Z166">
        <v>0</v>
      </c>
      <c r="AA166">
        <v>35</v>
      </c>
      <c r="AB166">
        <v>50</v>
      </c>
      <c r="AC166">
        <v>5000</v>
      </c>
      <c r="AD166">
        <v>0</v>
      </c>
      <c r="AE166">
        <v>0</v>
      </c>
      <c r="AF166">
        <v>7607.67</v>
      </c>
      <c r="AG166">
        <v>7607.67</v>
      </c>
      <c r="AH166" s="14">
        <v>46266</v>
      </c>
      <c r="AI166" t="s">
        <v>258</v>
      </c>
      <c r="AJ166" s="13">
        <v>46262.213402777779</v>
      </c>
      <c r="AK166">
        <v>6066.68</v>
      </c>
      <c r="AL166" t="s">
        <v>259</v>
      </c>
      <c r="AM166" t="s">
        <v>260</v>
      </c>
      <c r="AN166">
        <v>1400</v>
      </c>
      <c r="AO166">
        <v>0</v>
      </c>
      <c r="AP166">
        <v>35</v>
      </c>
      <c r="AQ166">
        <v>85</v>
      </c>
      <c r="AR166">
        <v>35</v>
      </c>
      <c r="AS166">
        <v>2</v>
      </c>
      <c r="AT166">
        <v>23</v>
      </c>
      <c r="AU166">
        <v>1</v>
      </c>
      <c r="AV166">
        <v>0</v>
      </c>
      <c r="AW166">
        <v>10</v>
      </c>
      <c r="AX166">
        <v>1</v>
      </c>
      <c r="AY166">
        <v>10</v>
      </c>
      <c r="AZ166">
        <v>5</v>
      </c>
      <c r="BA166">
        <v>1</v>
      </c>
      <c r="BB166">
        <v>1440</v>
      </c>
      <c r="BC166">
        <v>0</v>
      </c>
      <c r="BD166">
        <v>0</v>
      </c>
      <c r="BE166">
        <v>14</v>
      </c>
      <c r="BF166">
        <v>25</v>
      </c>
      <c r="BG166">
        <v>3</v>
      </c>
      <c r="BH166">
        <v>8</v>
      </c>
      <c r="BI166">
        <v>3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0</v>
      </c>
      <c r="BQ166">
        <v>60</v>
      </c>
      <c r="BR166">
        <v>0</v>
      </c>
      <c r="BS166">
        <v>3</v>
      </c>
      <c r="BT166" t="s">
        <v>243</v>
      </c>
      <c r="BU166" t="s">
        <v>261</v>
      </c>
      <c r="BV166" t="b">
        <v>0</v>
      </c>
      <c r="BW166" t="s">
        <v>262</v>
      </c>
    </row>
    <row r="167" spans="1:75">
      <c r="A167" t="s">
        <v>243</v>
      </c>
      <c r="B167" t="s">
        <v>252</v>
      </c>
      <c r="C167">
        <v>1080</v>
      </c>
      <c r="D167" t="s">
        <v>253</v>
      </c>
      <c r="E167" t="s">
        <v>254</v>
      </c>
      <c r="F167">
        <v>5</v>
      </c>
      <c r="G167" s="13">
        <v>46266.24554398148</v>
      </c>
      <c r="H167" s="13">
        <v>46266.245833333334</v>
      </c>
      <c r="I167">
        <v>25</v>
      </c>
      <c r="J167" t="s">
        <v>255</v>
      </c>
      <c r="K167">
        <v>1</v>
      </c>
      <c r="L167">
        <v>0.04</v>
      </c>
      <c r="M167">
        <v>0.04</v>
      </c>
      <c r="N167">
        <v>1</v>
      </c>
      <c r="O167">
        <v>0.04</v>
      </c>
      <c r="P167">
        <v>0.8</v>
      </c>
      <c r="Q167">
        <v>8.56</v>
      </c>
      <c r="R167">
        <v>7.64</v>
      </c>
      <c r="S167" t="s">
        <v>256</v>
      </c>
      <c r="T167" t="s">
        <v>257</v>
      </c>
      <c r="U167">
        <v>11</v>
      </c>
      <c r="V167">
        <v>7607.03</v>
      </c>
      <c r="W167">
        <v>4999.3599999999997</v>
      </c>
      <c r="X167">
        <v>4999.2</v>
      </c>
      <c r="Y167">
        <v>0</v>
      </c>
      <c r="Z167">
        <v>0</v>
      </c>
      <c r="AA167">
        <v>35</v>
      </c>
      <c r="AB167">
        <v>50</v>
      </c>
      <c r="AC167">
        <v>5000</v>
      </c>
      <c r="AD167">
        <v>0</v>
      </c>
      <c r="AE167">
        <v>0</v>
      </c>
      <c r="AF167">
        <v>7614.83</v>
      </c>
      <c r="AG167">
        <v>7614.83</v>
      </c>
      <c r="AH167" s="14">
        <v>46266</v>
      </c>
      <c r="AI167" t="s">
        <v>258</v>
      </c>
      <c r="AJ167" s="13">
        <v>46262.213402777779</v>
      </c>
      <c r="AK167">
        <v>6066.68</v>
      </c>
      <c r="AL167" t="s">
        <v>259</v>
      </c>
      <c r="AM167" t="s">
        <v>260</v>
      </c>
      <c r="AN167">
        <v>1400</v>
      </c>
      <c r="AO167">
        <v>0</v>
      </c>
      <c r="AP167">
        <v>35</v>
      </c>
      <c r="AQ167">
        <v>85</v>
      </c>
      <c r="AR167">
        <v>35</v>
      </c>
      <c r="AS167">
        <v>2</v>
      </c>
      <c r="AT167">
        <v>23</v>
      </c>
      <c r="AU167">
        <v>1</v>
      </c>
      <c r="AV167">
        <v>0</v>
      </c>
      <c r="AW167">
        <v>10</v>
      </c>
      <c r="AX167">
        <v>1</v>
      </c>
      <c r="AY167">
        <v>10</v>
      </c>
      <c r="AZ167">
        <v>5</v>
      </c>
      <c r="BA167">
        <v>1</v>
      </c>
      <c r="BB167">
        <v>1440</v>
      </c>
      <c r="BC167">
        <v>0</v>
      </c>
      <c r="BD167">
        <v>0</v>
      </c>
      <c r="BE167">
        <v>14</v>
      </c>
      <c r="BF167">
        <v>25</v>
      </c>
      <c r="BG167">
        <v>3</v>
      </c>
      <c r="BH167">
        <v>8</v>
      </c>
      <c r="BI167">
        <v>3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0</v>
      </c>
      <c r="BQ167">
        <v>60</v>
      </c>
      <c r="BR167">
        <v>0</v>
      </c>
      <c r="BS167">
        <v>3</v>
      </c>
      <c r="BT167" t="s">
        <v>243</v>
      </c>
      <c r="BU167" t="s">
        <v>261</v>
      </c>
      <c r="BV167" t="b">
        <v>0</v>
      </c>
      <c r="BW167" t="s">
        <v>262</v>
      </c>
    </row>
    <row r="168" spans="1:75">
      <c r="A168" t="s">
        <v>243</v>
      </c>
      <c r="B168" t="s">
        <v>252</v>
      </c>
      <c r="C168">
        <v>1081</v>
      </c>
      <c r="D168" t="s">
        <v>253</v>
      </c>
      <c r="E168" t="s">
        <v>254</v>
      </c>
      <c r="F168">
        <v>5</v>
      </c>
      <c r="G168" s="13">
        <v>46266.249594907407</v>
      </c>
      <c r="H168" s="13">
        <v>46266.2500462963</v>
      </c>
      <c r="I168">
        <v>39</v>
      </c>
      <c r="J168" t="s">
        <v>255</v>
      </c>
      <c r="K168">
        <v>1</v>
      </c>
      <c r="L168">
        <v>0.04</v>
      </c>
      <c r="M168">
        <v>0.04</v>
      </c>
      <c r="N168">
        <v>1</v>
      </c>
      <c r="O168">
        <v>0.04</v>
      </c>
      <c r="P168">
        <v>0.96</v>
      </c>
      <c r="Q168">
        <v>5.56</v>
      </c>
      <c r="R168">
        <v>5.56</v>
      </c>
      <c r="S168" t="s">
        <v>256</v>
      </c>
      <c r="T168" t="s">
        <v>257</v>
      </c>
      <c r="U168">
        <v>10</v>
      </c>
      <c r="V168">
        <v>7614.19</v>
      </c>
      <c r="W168">
        <v>4999.3599999999997</v>
      </c>
      <c r="X168">
        <v>4999.04</v>
      </c>
      <c r="Y168">
        <v>0</v>
      </c>
      <c r="Z168">
        <v>0</v>
      </c>
      <c r="AA168">
        <v>35</v>
      </c>
      <c r="AB168">
        <v>50</v>
      </c>
      <c r="AC168">
        <v>5000</v>
      </c>
      <c r="AD168">
        <v>0</v>
      </c>
      <c r="AE168">
        <v>0</v>
      </c>
      <c r="AF168">
        <v>7618.99</v>
      </c>
      <c r="AG168">
        <v>7618.99</v>
      </c>
      <c r="AH168" s="14">
        <v>46266</v>
      </c>
      <c r="AI168" t="s">
        <v>258</v>
      </c>
      <c r="AJ168" s="13">
        <v>46262.213402777779</v>
      </c>
      <c r="AK168">
        <v>6066.68</v>
      </c>
      <c r="AL168" t="s">
        <v>259</v>
      </c>
      <c r="AM168" t="s">
        <v>260</v>
      </c>
      <c r="AN168">
        <v>1400</v>
      </c>
      <c r="AO168">
        <v>0</v>
      </c>
      <c r="AP168">
        <v>35</v>
      </c>
      <c r="AQ168">
        <v>85</v>
      </c>
      <c r="AR168">
        <v>35</v>
      </c>
      <c r="AS168">
        <v>2</v>
      </c>
      <c r="AT168">
        <v>23</v>
      </c>
      <c r="AU168">
        <v>1</v>
      </c>
      <c r="AV168">
        <v>0</v>
      </c>
      <c r="AW168">
        <v>10</v>
      </c>
      <c r="AX168">
        <v>1</v>
      </c>
      <c r="AY168">
        <v>10</v>
      </c>
      <c r="AZ168">
        <v>5</v>
      </c>
      <c r="BA168">
        <v>1</v>
      </c>
      <c r="BB168">
        <v>1440</v>
      </c>
      <c r="BC168">
        <v>0</v>
      </c>
      <c r="BD168">
        <v>0</v>
      </c>
      <c r="BE168">
        <v>14</v>
      </c>
      <c r="BF168">
        <v>25</v>
      </c>
      <c r="BG168">
        <v>3</v>
      </c>
      <c r="BH168">
        <v>8</v>
      </c>
      <c r="BI168">
        <v>3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0</v>
      </c>
      <c r="BQ168">
        <v>60</v>
      </c>
      <c r="BR168">
        <v>0</v>
      </c>
      <c r="BS168">
        <v>3</v>
      </c>
      <c r="BT168" t="s">
        <v>243</v>
      </c>
      <c r="BU168" t="s">
        <v>261</v>
      </c>
      <c r="BV168" t="b">
        <v>0</v>
      </c>
      <c r="BW168" t="s">
        <v>262</v>
      </c>
    </row>
    <row r="169" spans="1:75">
      <c r="A169" t="s">
        <v>243</v>
      </c>
      <c r="B169" t="s">
        <v>252</v>
      </c>
      <c r="C169">
        <v>1082</v>
      </c>
      <c r="D169" t="s">
        <v>253</v>
      </c>
      <c r="E169" t="s">
        <v>254</v>
      </c>
      <c r="F169">
        <v>5</v>
      </c>
      <c r="G169" s="13">
        <v>46266.251793981479</v>
      </c>
      <c r="H169" s="13">
        <v>46266.252812500003</v>
      </c>
      <c r="I169">
        <v>88</v>
      </c>
      <c r="J169" t="s">
        <v>264</v>
      </c>
      <c r="K169">
        <v>1</v>
      </c>
      <c r="L169">
        <v>0.04</v>
      </c>
      <c r="M169">
        <v>0.04</v>
      </c>
      <c r="N169">
        <v>1</v>
      </c>
      <c r="O169">
        <v>0.04</v>
      </c>
      <c r="P169">
        <v>4.6399999999999997</v>
      </c>
      <c r="Q169">
        <v>3.44</v>
      </c>
      <c r="R169">
        <v>2.8</v>
      </c>
      <c r="S169" t="s">
        <v>256</v>
      </c>
      <c r="T169" t="s">
        <v>257</v>
      </c>
      <c r="U169">
        <v>10</v>
      </c>
      <c r="V169">
        <v>7618.31</v>
      </c>
      <c r="W169">
        <v>4999.32</v>
      </c>
      <c r="X169">
        <v>4995.3599999999997</v>
      </c>
      <c r="Y169">
        <v>0</v>
      </c>
      <c r="Z169">
        <v>0</v>
      </c>
      <c r="AA169">
        <v>35</v>
      </c>
      <c r="AB169">
        <v>50</v>
      </c>
      <c r="AC169">
        <v>5000</v>
      </c>
      <c r="AD169">
        <v>0</v>
      </c>
      <c r="AE169">
        <v>0</v>
      </c>
      <c r="AF169">
        <v>7621.03</v>
      </c>
      <c r="AG169">
        <v>7621.03</v>
      </c>
      <c r="AH169" s="14">
        <v>46266</v>
      </c>
      <c r="AI169" t="s">
        <v>258</v>
      </c>
      <c r="AJ169" s="13">
        <v>46262.213402777779</v>
      </c>
      <c r="AK169">
        <v>6066.68</v>
      </c>
      <c r="AL169" t="s">
        <v>259</v>
      </c>
      <c r="AM169" t="s">
        <v>260</v>
      </c>
      <c r="AN169">
        <v>1400</v>
      </c>
      <c r="AO169">
        <v>0</v>
      </c>
      <c r="AP169">
        <v>35</v>
      </c>
      <c r="AQ169">
        <v>85</v>
      </c>
      <c r="AR169">
        <v>35</v>
      </c>
      <c r="AS169">
        <v>2</v>
      </c>
      <c r="AT169">
        <v>23</v>
      </c>
      <c r="AU169">
        <v>1</v>
      </c>
      <c r="AV169">
        <v>0</v>
      </c>
      <c r="AW169">
        <v>10</v>
      </c>
      <c r="AX169">
        <v>1</v>
      </c>
      <c r="AY169">
        <v>10</v>
      </c>
      <c r="AZ169">
        <v>5</v>
      </c>
      <c r="BA169">
        <v>1</v>
      </c>
      <c r="BB169">
        <v>1440</v>
      </c>
      <c r="BC169">
        <v>0</v>
      </c>
      <c r="BD169">
        <v>0</v>
      </c>
      <c r="BE169">
        <v>14</v>
      </c>
      <c r="BF169">
        <v>25</v>
      </c>
      <c r="BG169">
        <v>3</v>
      </c>
      <c r="BH169">
        <v>8</v>
      </c>
      <c r="BI169">
        <v>3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0</v>
      </c>
      <c r="BQ169">
        <v>60</v>
      </c>
      <c r="BR169">
        <v>0</v>
      </c>
      <c r="BS169">
        <v>3</v>
      </c>
      <c r="BT169" t="s">
        <v>243</v>
      </c>
      <c r="BU169" t="s">
        <v>261</v>
      </c>
      <c r="BV169" t="b">
        <v>0</v>
      </c>
      <c r="BW169" t="s">
        <v>262</v>
      </c>
    </row>
    <row r="170" spans="1:75">
      <c r="A170" t="s">
        <v>243</v>
      </c>
      <c r="B170" t="s">
        <v>252</v>
      </c>
      <c r="C170">
        <v>1083</v>
      </c>
      <c r="D170" t="s">
        <v>253</v>
      </c>
      <c r="E170" t="s">
        <v>254</v>
      </c>
      <c r="F170">
        <v>5</v>
      </c>
      <c r="G170" s="13">
        <v>46266.259629629632</v>
      </c>
      <c r="H170" s="13">
        <v>46266.263009259259</v>
      </c>
      <c r="I170">
        <v>292</v>
      </c>
      <c r="J170" t="s">
        <v>264</v>
      </c>
      <c r="K170">
        <v>1</v>
      </c>
      <c r="L170">
        <v>0.04</v>
      </c>
      <c r="M170">
        <v>0.04</v>
      </c>
      <c r="N170">
        <v>1</v>
      </c>
      <c r="O170">
        <v>0.04</v>
      </c>
      <c r="P170">
        <v>8.0399999999999991</v>
      </c>
      <c r="Q170">
        <v>3.96</v>
      </c>
      <c r="R170">
        <v>2.64</v>
      </c>
      <c r="S170" t="s">
        <v>256</v>
      </c>
      <c r="T170" t="s">
        <v>257</v>
      </c>
      <c r="U170">
        <v>11</v>
      </c>
      <c r="V170">
        <v>7620.39</v>
      </c>
      <c r="W170">
        <v>4999.3599999999997</v>
      </c>
      <c r="X170">
        <v>4991.96</v>
      </c>
      <c r="Y170">
        <v>0</v>
      </c>
      <c r="Z170">
        <v>0</v>
      </c>
      <c r="AA170">
        <v>35</v>
      </c>
      <c r="AB170">
        <v>50</v>
      </c>
      <c r="AC170">
        <v>5000</v>
      </c>
      <c r="AD170">
        <v>0</v>
      </c>
      <c r="AE170">
        <v>0</v>
      </c>
      <c r="AF170">
        <v>7623.59</v>
      </c>
      <c r="AG170">
        <v>7623.59</v>
      </c>
      <c r="AH170" s="14">
        <v>46266</v>
      </c>
      <c r="AI170" t="s">
        <v>258</v>
      </c>
      <c r="AJ170" s="13">
        <v>46262.213402777779</v>
      </c>
      <c r="AK170">
        <v>6066.68</v>
      </c>
      <c r="AL170" t="s">
        <v>259</v>
      </c>
      <c r="AM170" t="s">
        <v>260</v>
      </c>
      <c r="AN170">
        <v>1400</v>
      </c>
      <c r="AO170">
        <v>0</v>
      </c>
      <c r="AP170">
        <v>35</v>
      </c>
      <c r="AQ170">
        <v>85</v>
      </c>
      <c r="AR170">
        <v>35</v>
      </c>
      <c r="AS170">
        <v>2</v>
      </c>
      <c r="AT170">
        <v>23</v>
      </c>
      <c r="AU170">
        <v>1</v>
      </c>
      <c r="AV170">
        <v>0</v>
      </c>
      <c r="AW170">
        <v>10</v>
      </c>
      <c r="AX170">
        <v>1</v>
      </c>
      <c r="AY170">
        <v>10</v>
      </c>
      <c r="AZ170">
        <v>5</v>
      </c>
      <c r="BA170">
        <v>1</v>
      </c>
      <c r="BB170">
        <v>1440</v>
      </c>
      <c r="BC170">
        <v>0</v>
      </c>
      <c r="BD170">
        <v>0</v>
      </c>
      <c r="BE170">
        <v>14</v>
      </c>
      <c r="BF170">
        <v>25</v>
      </c>
      <c r="BG170">
        <v>3</v>
      </c>
      <c r="BH170">
        <v>8</v>
      </c>
      <c r="BI170">
        <v>3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0</v>
      </c>
      <c r="BQ170">
        <v>60</v>
      </c>
      <c r="BR170">
        <v>0</v>
      </c>
      <c r="BS170">
        <v>3</v>
      </c>
      <c r="BT170" t="s">
        <v>243</v>
      </c>
      <c r="BU170" t="s">
        <v>261</v>
      </c>
      <c r="BV170" t="b">
        <v>0</v>
      </c>
      <c r="BW170" t="s">
        <v>262</v>
      </c>
    </row>
    <row r="171" spans="1:75">
      <c r="A171" t="s">
        <v>243</v>
      </c>
      <c r="B171" t="s">
        <v>252</v>
      </c>
      <c r="C171">
        <v>1084</v>
      </c>
      <c r="D171" t="s">
        <v>253</v>
      </c>
      <c r="E171" t="s">
        <v>254</v>
      </c>
      <c r="F171">
        <v>5</v>
      </c>
      <c r="G171" s="13">
        <v>46266.263738425929</v>
      </c>
      <c r="H171" s="13">
        <v>46266.264039351852</v>
      </c>
      <c r="I171">
        <v>26</v>
      </c>
      <c r="J171" t="s">
        <v>264</v>
      </c>
      <c r="K171">
        <v>1</v>
      </c>
      <c r="L171">
        <v>0.04</v>
      </c>
      <c r="M171">
        <v>0.04</v>
      </c>
      <c r="N171">
        <v>1</v>
      </c>
      <c r="O171">
        <v>0.04</v>
      </c>
      <c r="P171">
        <v>0.64</v>
      </c>
      <c r="Q171">
        <v>3.52</v>
      </c>
      <c r="R171">
        <v>2.3199999999999998</v>
      </c>
      <c r="S171" t="s">
        <v>256</v>
      </c>
      <c r="T171" t="s">
        <v>257</v>
      </c>
      <c r="U171">
        <v>11</v>
      </c>
      <c r="V171">
        <v>7622.95</v>
      </c>
      <c r="W171">
        <v>4999.3599999999997</v>
      </c>
      <c r="X171">
        <v>4999.3599999999997</v>
      </c>
      <c r="Y171">
        <v>0</v>
      </c>
      <c r="Z171">
        <v>0</v>
      </c>
      <c r="AA171">
        <v>35</v>
      </c>
      <c r="AB171">
        <v>50</v>
      </c>
      <c r="AC171">
        <v>5000</v>
      </c>
      <c r="AD171">
        <v>0</v>
      </c>
      <c r="AE171">
        <v>0</v>
      </c>
      <c r="AF171">
        <v>7625.67</v>
      </c>
      <c r="AG171">
        <v>7625.67</v>
      </c>
      <c r="AH171" s="14">
        <v>46266</v>
      </c>
      <c r="AI171" t="s">
        <v>258</v>
      </c>
      <c r="AJ171" s="13">
        <v>46262.213402777779</v>
      </c>
      <c r="AK171">
        <v>6066.68</v>
      </c>
      <c r="AL171" t="s">
        <v>259</v>
      </c>
      <c r="AM171" t="s">
        <v>260</v>
      </c>
      <c r="AN171">
        <v>1400</v>
      </c>
      <c r="AO171">
        <v>0</v>
      </c>
      <c r="AP171">
        <v>35</v>
      </c>
      <c r="AQ171">
        <v>85</v>
      </c>
      <c r="AR171">
        <v>35</v>
      </c>
      <c r="AS171">
        <v>2</v>
      </c>
      <c r="AT171">
        <v>23</v>
      </c>
      <c r="AU171">
        <v>1</v>
      </c>
      <c r="AV171">
        <v>0</v>
      </c>
      <c r="AW171">
        <v>10</v>
      </c>
      <c r="AX171">
        <v>1</v>
      </c>
      <c r="AY171">
        <v>10</v>
      </c>
      <c r="AZ171">
        <v>5</v>
      </c>
      <c r="BA171">
        <v>1</v>
      </c>
      <c r="BB171">
        <v>1440</v>
      </c>
      <c r="BC171">
        <v>0</v>
      </c>
      <c r="BD171">
        <v>0</v>
      </c>
      <c r="BE171">
        <v>14</v>
      </c>
      <c r="BF171">
        <v>25</v>
      </c>
      <c r="BG171">
        <v>3</v>
      </c>
      <c r="BH171">
        <v>8</v>
      </c>
      <c r="BI171">
        <v>3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0</v>
      </c>
      <c r="BQ171">
        <v>60</v>
      </c>
      <c r="BR171">
        <v>0</v>
      </c>
      <c r="BS171">
        <v>3</v>
      </c>
      <c r="BT171" t="s">
        <v>243</v>
      </c>
      <c r="BU171" t="s">
        <v>261</v>
      </c>
      <c r="BV171" t="b">
        <v>0</v>
      </c>
      <c r="BW171" t="s">
        <v>262</v>
      </c>
    </row>
    <row r="172" spans="1:75">
      <c r="A172" t="s">
        <v>243</v>
      </c>
      <c r="B172" t="s">
        <v>252</v>
      </c>
      <c r="C172">
        <v>1085</v>
      </c>
      <c r="D172" t="s">
        <v>253</v>
      </c>
      <c r="E172" t="s">
        <v>254</v>
      </c>
      <c r="F172">
        <v>5</v>
      </c>
      <c r="G172" s="13">
        <v>46266.265428240738</v>
      </c>
      <c r="H172" s="13">
        <v>46266.267997685187</v>
      </c>
      <c r="I172">
        <v>222</v>
      </c>
      <c r="J172" t="s">
        <v>264</v>
      </c>
      <c r="K172">
        <v>1</v>
      </c>
      <c r="L172">
        <v>0.04</v>
      </c>
      <c r="M172">
        <v>0.04</v>
      </c>
      <c r="N172">
        <v>1</v>
      </c>
      <c r="O172">
        <v>0.04</v>
      </c>
      <c r="P172">
        <v>6.76</v>
      </c>
      <c r="Q172">
        <v>4.88</v>
      </c>
      <c r="R172">
        <v>3.44</v>
      </c>
      <c r="S172" t="s">
        <v>256</v>
      </c>
      <c r="T172" t="s">
        <v>257</v>
      </c>
      <c r="U172">
        <v>11</v>
      </c>
      <c r="V172">
        <v>7624.99</v>
      </c>
      <c r="W172">
        <v>4999.32</v>
      </c>
      <c r="X172">
        <v>4993.24</v>
      </c>
      <c r="Y172">
        <v>0</v>
      </c>
      <c r="Z172">
        <v>0</v>
      </c>
      <c r="AA172">
        <v>35</v>
      </c>
      <c r="AB172">
        <v>50</v>
      </c>
      <c r="AC172">
        <v>5000</v>
      </c>
      <c r="AD172">
        <v>0</v>
      </c>
      <c r="AE172">
        <v>0</v>
      </c>
      <c r="AF172">
        <v>7629.15</v>
      </c>
      <c r="AG172">
        <v>7629.15</v>
      </c>
      <c r="AH172" s="14">
        <v>46266</v>
      </c>
      <c r="AI172" t="s">
        <v>258</v>
      </c>
      <c r="AJ172" s="13">
        <v>46262.213402777779</v>
      </c>
      <c r="AK172">
        <v>6066.68</v>
      </c>
      <c r="AL172" t="s">
        <v>259</v>
      </c>
      <c r="AM172" t="s">
        <v>260</v>
      </c>
      <c r="AN172">
        <v>1400</v>
      </c>
      <c r="AO172">
        <v>0</v>
      </c>
      <c r="AP172">
        <v>35</v>
      </c>
      <c r="AQ172">
        <v>85</v>
      </c>
      <c r="AR172">
        <v>35</v>
      </c>
      <c r="AS172">
        <v>2</v>
      </c>
      <c r="AT172">
        <v>23</v>
      </c>
      <c r="AU172">
        <v>1</v>
      </c>
      <c r="AV172">
        <v>0</v>
      </c>
      <c r="AW172">
        <v>10</v>
      </c>
      <c r="AX172">
        <v>1</v>
      </c>
      <c r="AY172">
        <v>10</v>
      </c>
      <c r="AZ172">
        <v>5</v>
      </c>
      <c r="BA172">
        <v>1</v>
      </c>
      <c r="BB172">
        <v>1440</v>
      </c>
      <c r="BC172">
        <v>0</v>
      </c>
      <c r="BD172">
        <v>0</v>
      </c>
      <c r="BE172">
        <v>14</v>
      </c>
      <c r="BF172">
        <v>25</v>
      </c>
      <c r="BG172">
        <v>3</v>
      </c>
      <c r="BH172">
        <v>8</v>
      </c>
      <c r="BI172">
        <v>3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0</v>
      </c>
      <c r="BQ172">
        <v>60</v>
      </c>
      <c r="BR172">
        <v>0</v>
      </c>
      <c r="BS172">
        <v>3</v>
      </c>
      <c r="BT172" t="s">
        <v>243</v>
      </c>
      <c r="BU172" t="s">
        <v>261</v>
      </c>
      <c r="BV172" t="b">
        <v>0</v>
      </c>
      <c r="BW172" t="s">
        <v>262</v>
      </c>
    </row>
    <row r="173" spans="1:75">
      <c r="A173" t="s">
        <v>243</v>
      </c>
      <c r="B173" t="s">
        <v>252</v>
      </c>
      <c r="C173">
        <v>1086</v>
      </c>
      <c r="D173" t="s">
        <v>253</v>
      </c>
      <c r="E173" t="s">
        <v>254</v>
      </c>
      <c r="F173">
        <v>5</v>
      </c>
      <c r="G173" s="13">
        <v>46266.269131944442</v>
      </c>
      <c r="H173" s="13">
        <v>46266.26934027778</v>
      </c>
      <c r="I173">
        <v>18</v>
      </c>
      <c r="J173" t="s">
        <v>255</v>
      </c>
      <c r="K173">
        <v>1</v>
      </c>
      <c r="L173">
        <v>0.04</v>
      </c>
      <c r="M173">
        <v>0.04</v>
      </c>
      <c r="N173">
        <v>1</v>
      </c>
      <c r="O173">
        <v>0.04</v>
      </c>
      <c r="P173">
        <v>0.68</v>
      </c>
      <c r="Q173">
        <v>3.28</v>
      </c>
      <c r="R173">
        <v>1.96</v>
      </c>
      <c r="S173" t="s">
        <v>256</v>
      </c>
      <c r="T173" t="s">
        <v>257</v>
      </c>
      <c r="U173">
        <v>11</v>
      </c>
      <c r="V173">
        <v>7628.47</v>
      </c>
      <c r="W173">
        <v>4999.32</v>
      </c>
      <c r="X173">
        <v>4999.32</v>
      </c>
      <c r="Y173">
        <v>0</v>
      </c>
      <c r="Z173">
        <v>0</v>
      </c>
      <c r="AA173">
        <v>35</v>
      </c>
      <c r="AB173">
        <v>50</v>
      </c>
      <c r="AC173">
        <v>5000</v>
      </c>
      <c r="AD173">
        <v>0</v>
      </c>
      <c r="AE173">
        <v>0</v>
      </c>
      <c r="AF173">
        <v>7631.03</v>
      </c>
      <c r="AG173">
        <v>7631.03</v>
      </c>
      <c r="AH173" s="14">
        <v>46266</v>
      </c>
      <c r="AI173" t="s">
        <v>258</v>
      </c>
      <c r="AJ173" s="13">
        <v>46262.213402777779</v>
      </c>
      <c r="AK173">
        <v>6066.68</v>
      </c>
      <c r="AL173" t="s">
        <v>259</v>
      </c>
      <c r="AM173" t="s">
        <v>260</v>
      </c>
      <c r="AN173">
        <v>1400</v>
      </c>
      <c r="AO173">
        <v>0</v>
      </c>
      <c r="AP173">
        <v>35</v>
      </c>
      <c r="AQ173">
        <v>85</v>
      </c>
      <c r="AR173">
        <v>35</v>
      </c>
      <c r="AS173">
        <v>2</v>
      </c>
      <c r="AT173">
        <v>23</v>
      </c>
      <c r="AU173">
        <v>1</v>
      </c>
      <c r="AV173">
        <v>0</v>
      </c>
      <c r="AW173">
        <v>10</v>
      </c>
      <c r="AX173">
        <v>1</v>
      </c>
      <c r="AY173">
        <v>10</v>
      </c>
      <c r="AZ173">
        <v>5</v>
      </c>
      <c r="BA173">
        <v>1</v>
      </c>
      <c r="BB173">
        <v>1440</v>
      </c>
      <c r="BC173">
        <v>0</v>
      </c>
      <c r="BD173">
        <v>0</v>
      </c>
      <c r="BE173">
        <v>14</v>
      </c>
      <c r="BF173">
        <v>25</v>
      </c>
      <c r="BG173">
        <v>3</v>
      </c>
      <c r="BH173">
        <v>8</v>
      </c>
      <c r="BI173">
        <v>3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0</v>
      </c>
      <c r="BQ173">
        <v>60</v>
      </c>
      <c r="BR173">
        <v>0</v>
      </c>
      <c r="BS173">
        <v>3</v>
      </c>
      <c r="BT173" t="s">
        <v>243</v>
      </c>
      <c r="BU173" t="s">
        <v>261</v>
      </c>
      <c r="BV173" t="b">
        <v>0</v>
      </c>
      <c r="BW173" t="s">
        <v>262</v>
      </c>
    </row>
    <row r="174" spans="1:75">
      <c r="A174" t="s">
        <v>243</v>
      </c>
      <c r="B174" t="s">
        <v>252</v>
      </c>
      <c r="C174">
        <v>1087</v>
      </c>
      <c r="D174" t="s">
        <v>253</v>
      </c>
      <c r="E174" t="s">
        <v>254</v>
      </c>
      <c r="F174">
        <v>5</v>
      </c>
      <c r="G174" s="13">
        <v>46266.276666666665</v>
      </c>
      <c r="H174" s="13">
        <v>46266.277916666666</v>
      </c>
      <c r="I174">
        <v>108</v>
      </c>
      <c r="J174" t="s">
        <v>255</v>
      </c>
      <c r="K174">
        <v>1</v>
      </c>
      <c r="L174">
        <v>0.04</v>
      </c>
      <c r="M174">
        <v>0.04</v>
      </c>
      <c r="N174">
        <v>1</v>
      </c>
      <c r="O174">
        <v>0.04</v>
      </c>
      <c r="P174">
        <v>7.24</v>
      </c>
      <c r="Q174">
        <v>4.4000000000000004</v>
      </c>
      <c r="R174">
        <v>3.08</v>
      </c>
      <c r="S174" t="s">
        <v>256</v>
      </c>
      <c r="T174" t="s">
        <v>257</v>
      </c>
      <c r="U174">
        <v>11</v>
      </c>
      <c r="V174">
        <v>7630.35</v>
      </c>
      <c r="W174">
        <v>4999.32</v>
      </c>
      <c r="X174">
        <v>4992.76</v>
      </c>
      <c r="Y174">
        <v>0</v>
      </c>
      <c r="Z174">
        <v>0</v>
      </c>
      <c r="AA174">
        <v>35</v>
      </c>
      <c r="AB174">
        <v>50</v>
      </c>
      <c r="AC174">
        <v>5000</v>
      </c>
      <c r="AD174">
        <v>0</v>
      </c>
      <c r="AE174">
        <v>0</v>
      </c>
      <c r="AF174">
        <v>7634.03</v>
      </c>
      <c r="AG174">
        <v>7634.03</v>
      </c>
      <c r="AH174" s="14">
        <v>46266</v>
      </c>
      <c r="AI174" t="s">
        <v>258</v>
      </c>
      <c r="AJ174" s="13">
        <v>46262.213402777779</v>
      </c>
      <c r="AK174">
        <v>6066.68</v>
      </c>
      <c r="AL174" t="s">
        <v>259</v>
      </c>
      <c r="AM174" t="s">
        <v>260</v>
      </c>
      <c r="AN174">
        <v>1400</v>
      </c>
      <c r="AO174">
        <v>0</v>
      </c>
      <c r="AP174">
        <v>35</v>
      </c>
      <c r="AQ174">
        <v>85</v>
      </c>
      <c r="AR174">
        <v>35</v>
      </c>
      <c r="AS174">
        <v>2</v>
      </c>
      <c r="AT174">
        <v>23</v>
      </c>
      <c r="AU174">
        <v>1</v>
      </c>
      <c r="AV174">
        <v>0</v>
      </c>
      <c r="AW174">
        <v>10</v>
      </c>
      <c r="AX174">
        <v>1</v>
      </c>
      <c r="AY174">
        <v>10</v>
      </c>
      <c r="AZ174">
        <v>5</v>
      </c>
      <c r="BA174">
        <v>1</v>
      </c>
      <c r="BB174">
        <v>1440</v>
      </c>
      <c r="BC174">
        <v>0</v>
      </c>
      <c r="BD174">
        <v>0</v>
      </c>
      <c r="BE174">
        <v>14</v>
      </c>
      <c r="BF174">
        <v>25</v>
      </c>
      <c r="BG174">
        <v>3</v>
      </c>
      <c r="BH174">
        <v>8</v>
      </c>
      <c r="BI174">
        <v>3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0</v>
      </c>
      <c r="BQ174">
        <v>60</v>
      </c>
      <c r="BR174">
        <v>0</v>
      </c>
      <c r="BS174">
        <v>3</v>
      </c>
      <c r="BT174" t="s">
        <v>243</v>
      </c>
      <c r="BU174" t="s">
        <v>261</v>
      </c>
      <c r="BV174" t="b">
        <v>0</v>
      </c>
      <c r="BW174" t="s">
        <v>262</v>
      </c>
    </row>
    <row r="175" spans="1:75">
      <c r="A175" t="s">
        <v>243</v>
      </c>
      <c r="B175" t="s">
        <v>252</v>
      </c>
      <c r="C175">
        <v>1088</v>
      </c>
      <c r="D175" t="s">
        <v>253</v>
      </c>
      <c r="E175" t="s">
        <v>254</v>
      </c>
      <c r="F175">
        <v>5</v>
      </c>
      <c r="G175" s="13">
        <v>46266.284490740742</v>
      </c>
      <c r="H175" s="13">
        <v>46266.355115740742</v>
      </c>
      <c r="I175">
        <v>6102</v>
      </c>
      <c r="J175" t="s">
        <v>255</v>
      </c>
      <c r="K175">
        <v>6</v>
      </c>
      <c r="L175">
        <v>0.24</v>
      </c>
      <c r="M175">
        <v>0.04</v>
      </c>
      <c r="N175">
        <v>6</v>
      </c>
      <c r="O175">
        <v>0.24</v>
      </c>
      <c r="P175">
        <v>168.44</v>
      </c>
      <c r="Q175">
        <v>42.56</v>
      </c>
      <c r="R175">
        <v>37.04</v>
      </c>
      <c r="S175" t="s">
        <v>263</v>
      </c>
      <c r="T175" t="s">
        <v>257</v>
      </c>
      <c r="U175">
        <v>15</v>
      </c>
      <c r="V175">
        <v>7633.39</v>
      </c>
      <c r="W175">
        <v>4999.3599999999997</v>
      </c>
      <c r="X175">
        <v>4831.5600000000004</v>
      </c>
      <c r="Y175">
        <v>0</v>
      </c>
      <c r="Z175">
        <v>0</v>
      </c>
      <c r="AA175">
        <v>35</v>
      </c>
      <c r="AB175">
        <v>50</v>
      </c>
      <c r="AC175">
        <v>5000</v>
      </c>
      <c r="AD175">
        <v>0</v>
      </c>
      <c r="AE175">
        <v>0</v>
      </c>
      <c r="AF175">
        <v>7670.75</v>
      </c>
      <c r="AG175">
        <v>7670.75</v>
      </c>
      <c r="AH175" s="14">
        <v>46266</v>
      </c>
      <c r="AI175" t="s">
        <v>258</v>
      </c>
      <c r="AJ175" s="13">
        <v>46262.213402777779</v>
      </c>
      <c r="AK175">
        <v>6066.68</v>
      </c>
      <c r="AL175" t="s">
        <v>259</v>
      </c>
      <c r="AM175" t="s">
        <v>260</v>
      </c>
      <c r="AN175">
        <v>1400</v>
      </c>
      <c r="AO175">
        <v>0</v>
      </c>
      <c r="AP175">
        <v>35</v>
      </c>
      <c r="AQ175">
        <v>85</v>
      </c>
      <c r="AR175">
        <v>35</v>
      </c>
      <c r="AS175">
        <v>2</v>
      </c>
      <c r="AT175">
        <v>23</v>
      </c>
      <c r="AU175">
        <v>1</v>
      </c>
      <c r="AV175">
        <v>0</v>
      </c>
      <c r="AW175">
        <v>10</v>
      </c>
      <c r="AX175">
        <v>1</v>
      </c>
      <c r="AY175">
        <v>10</v>
      </c>
      <c r="AZ175">
        <v>5</v>
      </c>
      <c r="BA175">
        <v>1</v>
      </c>
      <c r="BB175">
        <v>1440</v>
      </c>
      <c r="BC175">
        <v>0</v>
      </c>
      <c r="BD175">
        <v>0</v>
      </c>
      <c r="BE175">
        <v>14</v>
      </c>
      <c r="BF175">
        <v>25</v>
      </c>
      <c r="BG175">
        <v>3</v>
      </c>
      <c r="BH175">
        <v>8</v>
      </c>
      <c r="BI175">
        <v>3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0</v>
      </c>
      <c r="BQ175">
        <v>60</v>
      </c>
      <c r="BR175">
        <v>0</v>
      </c>
      <c r="BS175">
        <v>3</v>
      </c>
      <c r="BT175" t="s">
        <v>243</v>
      </c>
      <c r="BU175" t="s">
        <v>261</v>
      </c>
      <c r="BV175" t="b">
        <v>0</v>
      </c>
      <c r="BW175" t="s">
        <v>262</v>
      </c>
    </row>
    <row r="176" spans="1:75">
      <c r="A176" t="s">
        <v>243</v>
      </c>
      <c r="B176" t="s">
        <v>252</v>
      </c>
      <c r="C176">
        <v>1089</v>
      </c>
      <c r="D176" t="s">
        <v>253</v>
      </c>
      <c r="E176" t="s">
        <v>254</v>
      </c>
      <c r="F176">
        <v>5</v>
      </c>
      <c r="G176" s="13">
        <v>46266.358194444445</v>
      </c>
      <c r="H176" s="13">
        <v>46266.36041666667</v>
      </c>
      <c r="I176">
        <v>192</v>
      </c>
      <c r="J176" t="s">
        <v>255</v>
      </c>
      <c r="K176">
        <v>1</v>
      </c>
      <c r="L176">
        <v>0.04</v>
      </c>
      <c r="M176">
        <v>0.04</v>
      </c>
      <c r="N176">
        <v>1</v>
      </c>
      <c r="O176">
        <v>0.04</v>
      </c>
      <c r="P176">
        <v>7.48</v>
      </c>
      <c r="Q176">
        <v>11.4</v>
      </c>
      <c r="R176">
        <v>11.04</v>
      </c>
      <c r="S176" t="s">
        <v>256</v>
      </c>
      <c r="T176" t="s">
        <v>257</v>
      </c>
      <c r="U176">
        <v>10</v>
      </c>
      <c r="V176">
        <v>7670.11</v>
      </c>
      <c r="W176">
        <v>4999.3599999999997</v>
      </c>
      <c r="X176">
        <v>4992.5200000000004</v>
      </c>
      <c r="Y176">
        <v>0</v>
      </c>
      <c r="Z176">
        <v>0</v>
      </c>
      <c r="AA176">
        <v>35</v>
      </c>
      <c r="AB176">
        <v>50</v>
      </c>
      <c r="AC176">
        <v>5000</v>
      </c>
      <c r="AD176">
        <v>0</v>
      </c>
      <c r="AE176">
        <v>0</v>
      </c>
      <c r="AF176">
        <v>7680.75</v>
      </c>
      <c r="AG176">
        <v>7680.75</v>
      </c>
      <c r="AH176" s="14">
        <v>46266</v>
      </c>
      <c r="AI176" t="s">
        <v>258</v>
      </c>
      <c r="AJ176" s="13">
        <v>46262.213402777779</v>
      </c>
      <c r="AK176">
        <v>6066.68</v>
      </c>
      <c r="AL176" t="s">
        <v>259</v>
      </c>
      <c r="AM176" t="s">
        <v>260</v>
      </c>
      <c r="AN176">
        <v>1400</v>
      </c>
      <c r="AO176">
        <v>0</v>
      </c>
      <c r="AP176">
        <v>35</v>
      </c>
      <c r="AQ176">
        <v>85</v>
      </c>
      <c r="AR176">
        <v>35</v>
      </c>
      <c r="AS176">
        <v>2</v>
      </c>
      <c r="AT176">
        <v>23</v>
      </c>
      <c r="AU176">
        <v>1</v>
      </c>
      <c r="AV176">
        <v>0</v>
      </c>
      <c r="AW176">
        <v>10</v>
      </c>
      <c r="AX176">
        <v>1</v>
      </c>
      <c r="AY176">
        <v>10</v>
      </c>
      <c r="AZ176">
        <v>5</v>
      </c>
      <c r="BA176">
        <v>1</v>
      </c>
      <c r="BB176">
        <v>1440</v>
      </c>
      <c r="BC176">
        <v>0</v>
      </c>
      <c r="BD176">
        <v>0</v>
      </c>
      <c r="BE176">
        <v>14</v>
      </c>
      <c r="BF176">
        <v>25</v>
      </c>
      <c r="BG176">
        <v>3</v>
      </c>
      <c r="BH176">
        <v>8</v>
      </c>
      <c r="BI176">
        <v>3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0</v>
      </c>
      <c r="BQ176">
        <v>60</v>
      </c>
      <c r="BR176">
        <v>0</v>
      </c>
      <c r="BS176">
        <v>3</v>
      </c>
      <c r="BT176" t="s">
        <v>243</v>
      </c>
      <c r="BU176" t="s">
        <v>261</v>
      </c>
      <c r="BV176" t="b">
        <v>0</v>
      </c>
      <c r="BW176" t="s">
        <v>262</v>
      </c>
    </row>
    <row r="177" spans="1:75">
      <c r="A177" t="s">
        <v>243</v>
      </c>
      <c r="B177" t="s">
        <v>252</v>
      </c>
      <c r="C177">
        <v>1090</v>
      </c>
      <c r="D177" t="s">
        <v>253</v>
      </c>
      <c r="E177" t="s">
        <v>254</v>
      </c>
      <c r="F177">
        <v>5</v>
      </c>
      <c r="G177" s="13">
        <v>46266.362523148149</v>
      </c>
      <c r="H177" s="13">
        <v>46266.36314814815</v>
      </c>
      <c r="I177">
        <v>54</v>
      </c>
      <c r="J177" t="s">
        <v>255</v>
      </c>
      <c r="K177">
        <v>1</v>
      </c>
      <c r="L177">
        <v>0.04</v>
      </c>
      <c r="M177">
        <v>0.04</v>
      </c>
      <c r="N177">
        <v>1</v>
      </c>
      <c r="O177">
        <v>0.04</v>
      </c>
      <c r="P177">
        <v>6.32</v>
      </c>
      <c r="Q177">
        <v>3.36</v>
      </c>
      <c r="R177">
        <v>2.08</v>
      </c>
      <c r="S177" t="s">
        <v>256</v>
      </c>
      <c r="T177" t="s">
        <v>257</v>
      </c>
      <c r="U177">
        <v>10</v>
      </c>
      <c r="V177">
        <v>7680.07</v>
      </c>
      <c r="W177">
        <v>4999.32</v>
      </c>
      <c r="X177">
        <v>4993.68</v>
      </c>
      <c r="Y177">
        <v>0</v>
      </c>
      <c r="Z177">
        <v>0</v>
      </c>
      <c r="AA177">
        <v>35</v>
      </c>
      <c r="AB177">
        <v>50</v>
      </c>
      <c r="AC177">
        <v>5000</v>
      </c>
      <c r="AD177">
        <v>0</v>
      </c>
      <c r="AE177">
        <v>0</v>
      </c>
      <c r="AF177">
        <v>7682.71</v>
      </c>
      <c r="AG177">
        <v>7682.71</v>
      </c>
      <c r="AH177" s="14">
        <v>46266</v>
      </c>
      <c r="AI177" t="s">
        <v>258</v>
      </c>
      <c r="AJ177" s="13">
        <v>46262.213402777779</v>
      </c>
      <c r="AK177">
        <v>6066.68</v>
      </c>
      <c r="AL177" t="s">
        <v>259</v>
      </c>
      <c r="AM177" t="s">
        <v>260</v>
      </c>
      <c r="AN177">
        <v>1400</v>
      </c>
      <c r="AO177">
        <v>0</v>
      </c>
      <c r="AP177">
        <v>35</v>
      </c>
      <c r="AQ177">
        <v>85</v>
      </c>
      <c r="AR177">
        <v>35</v>
      </c>
      <c r="AS177">
        <v>2</v>
      </c>
      <c r="AT177">
        <v>23</v>
      </c>
      <c r="AU177">
        <v>1</v>
      </c>
      <c r="AV177">
        <v>0</v>
      </c>
      <c r="AW177">
        <v>10</v>
      </c>
      <c r="AX177">
        <v>1</v>
      </c>
      <c r="AY177">
        <v>10</v>
      </c>
      <c r="AZ177">
        <v>5</v>
      </c>
      <c r="BA177">
        <v>1</v>
      </c>
      <c r="BB177">
        <v>1440</v>
      </c>
      <c r="BC177">
        <v>0</v>
      </c>
      <c r="BD177">
        <v>0</v>
      </c>
      <c r="BE177">
        <v>14</v>
      </c>
      <c r="BF177">
        <v>25</v>
      </c>
      <c r="BG177">
        <v>3</v>
      </c>
      <c r="BH177">
        <v>8</v>
      </c>
      <c r="BI177">
        <v>3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0</v>
      </c>
      <c r="BQ177">
        <v>60</v>
      </c>
      <c r="BR177">
        <v>0</v>
      </c>
      <c r="BS177">
        <v>3</v>
      </c>
      <c r="BT177" t="s">
        <v>243</v>
      </c>
      <c r="BU177" t="s">
        <v>261</v>
      </c>
      <c r="BV177" t="b">
        <v>0</v>
      </c>
      <c r="BW177" t="s">
        <v>262</v>
      </c>
    </row>
    <row r="178" spans="1:75">
      <c r="A178" t="s">
        <v>243</v>
      </c>
      <c r="B178" t="s">
        <v>252</v>
      </c>
      <c r="C178">
        <v>1091</v>
      </c>
      <c r="D178" t="s">
        <v>253</v>
      </c>
      <c r="E178" t="s">
        <v>254</v>
      </c>
      <c r="F178">
        <v>5</v>
      </c>
      <c r="G178" s="13">
        <v>46266.366111111114</v>
      </c>
      <c r="H178" s="13">
        <v>46266.375289351854</v>
      </c>
      <c r="I178">
        <v>793</v>
      </c>
      <c r="J178" t="s">
        <v>264</v>
      </c>
      <c r="K178">
        <v>3</v>
      </c>
      <c r="L178">
        <v>0.12</v>
      </c>
      <c r="M178">
        <v>0.04</v>
      </c>
      <c r="N178">
        <v>3</v>
      </c>
      <c r="O178">
        <v>0.12</v>
      </c>
      <c r="P178">
        <v>33.119999999999997</v>
      </c>
      <c r="Q178">
        <v>34.76</v>
      </c>
      <c r="R178">
        <v>28.28</v>
      </c>
      <c r="S178" t="s">
        <v>263</v>
      </c>
      <c r="T178" t="s">
        <v>257</v>
      </c>
      <c r="U178">
        <v>11</v>
      </c>
      <c r="V178">
        <v>7681.87</v>
      </c>
      <c r="W178">
        <v>4999.16</v>
      </c>
      <c r="X178">
        <v>4966.88</v>
      </c>
      <c r="Y178">
        <v>0</v>
      </c>
      <c r="Z178">
        <v>0</v>
      </c>
      <c r="AA178">
        <v>35</v>
      </c>
      <c r="AB178">
        <v>50</v>
      </c>
      <c r="AC178">
        <v>5000</v>
      </c>
      <c r="AD178">
        <v>0</v>
      </c>
      <c r="AE178">
        <v>0</v>
      </c>
      <c r="AF178">
        <v>7710.71</v>
      </c>
      <c r="AG178">
        <v>7710.71</v>
      </c>
      <c r="AH178" s="14">
        <v>46266</v>
      </c>
      <c r="AI178" t="s">
        <v>258</v>
      </c>
      <c r="AJ178" s="13">
        <v>46262.213402777779</v>
      </c>
      <c r="AK178">
        <v>6066.68</v>
      </c>
      <c r="AL178" t="s">
        <v>259</v>
      </c>
      <c r="AM178" t="s">
        <v>260</v>
      </c>
      <c r="AN178">
        <v>1400</v>
      </c>
      <c r="AO178">
        <v>0</v>
      </c>
      <c r="AP178">
        <v>35</v>
      </c>
      <c r="AQ178">
        <v>85</v>
      </c>
      <c r="AR178">
        <v>35</v>
      </c>
      <c r="AS178">
        <v>2</v>
      </c>
      <c r="AT178">
        <v>23</v>
      </c>
      <c r="AU178">
        <v>1</v>
      </c>
      <c r="AV178">
        <v>0</v>
      </c>
      <c r="AW178">
        <v>10</v>
      </c>
      <c r="AX178">
        <v>1</v>
      </c>
      <c r="AY178">
        <v>10</v>
      </c>
      <c r="AZ178">
        <v>5</v>
      </c>
      <c r="BA178">
        <v>1</v>
      </c>
      <c r="BB178">
        <v>1440</v>
      </c>
      <c r="BC178">
        <v>0</v>
      </c>
      <c r="BD178">
        <v>0</v>
      </c>
      <c r="BE178">
        <v>14</v>
      </c>
      <c r="BF178">
        <v>25</v>
      </c>
      <c r="BG178">
        <v>3</v>
      </c>
      <c r="BH178">
        <v>8</v>
      </c>
      <c r="BI178">
        <v>3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0</v>
      </c>
      <c r="BQ178">
        <v>60</v>
      </c>
      <c r="BR178">
        <v>0</v>
      </c>
      <c r="BS178">
        <v>3</v>
      </c>
      <c r="BT178" t="s">
        <v>243</v>
      </c>
      <c r="BU178" t="s">
        <v>261</v>
      </c>
      <c r="BV178" t="b">
        <v>0</v>
      </c>
      <c r="BW178" t="s">
        <v>262</v>
      </c>
    </row>
    <row r="179" spans="1:75">
      <c r="A179" t="s">
        <v>243</v>
      </c>
      <c r="B179" t="s">
        <v>252</v>
      </c>
      <c r="C179">
        <v>1092</v>
      </c>
      <c r="D179" t="s">
        <v>253</v>
      </c>
      <c r="E179" t="s">
        <v>254</v>
      </c>
      <c r="F179">
        <v>5</v>
      </c>
      <c r="G179" s="13">
        <v>46266.377430555556</v>
      </c>
      <c r="H179" s="13">
        <v>46266.37809027778</v>
      </c>
      <c r="I179">
        <v>57</v>
      </c>
      <c r="J179" t="s">
        <v>264</v>
      </c>
      <c r="K179">
        <v>1</v>
      </c>
      <c r="L179">
        <v>0.04</v>
      </c>
      <c r="M179">
        <v>0.04</v>
      </c>
      <c r="N179">
        <v>1</v>
      </c>
      <c r="O179">
        <v>0.04</v>
      </c>
      <c r="P179">
        <v>1.72</v>
      </c>
      <c r="Q179">
        <v>4.68</v>
      </c>
      <c r="R179">
        <v>4.08</v>
      </c>
      <c r="S179" t="s">
        <v>256</v>
      </c>
      <c r="T179" t="s">
        <v>257</v>
      </c>
      <c r="U179">
        <v>10</v>
      </c>
      <c r="V179">
        <v>7710.07</v>
      </c>
      <c r="W179">
        <v>4999.3599999999997</v>
      </c>
      <c r="X179">
        <v>4998.28</v>
      </c>
      <c r="Y179">
        <v>0</v>
      </c>
      <c r="Z179">
        <v>0</v>
      </c>
      <c r="AA179">
        <v>35</v>
      </c>
      <c r="AB179">
        <v>50</v>
      </c>
      <c r="AC179">
        <v>5000</v>
      </c>
      <c r="AD179">
        <v>0</v>
      </c>
      <c r="AE179">
        <v>0</v>
      </c>
      <c r="AF179">
        <v>7713.99</v>
      </c>
      <c r="AG179">
        <v>7713.99</v>
      </c>
      <c r="AH179" s="14">
        <v>46266</v>
      </c>
      <c r="AI179" t="s">
        <v>258</v>
      </c>
      <c r="AJ179" s="13">
        <v>46262.213402777779</v>
      </c>
      <c r="AK179">
        <v>6066.68</v>
      </c>
      <c r="AL179" t="s">
        <v>259</v>
      </c>
      <c r="AM179" t="s">
        <v>260</v>
      </c>
      <c r="AN179">
        <v>1400</v>
      </c>
      <c r="AO179">
        <v>0</v>
      </c>
      <c r="AP179">
        <v>35</v>
      </c>
      <c r="AQ179">
        <v>85</v>
      </c>
      <c r="AR179">
        <v>35</v>
      </c>
      <c r="AS179">
        <v>2</v>
      </c>
      <c r="AT179">
        <v>23</v>
      </c>
      <c r="AU179">
        <v>1</v>
      </c>
      <c r="AV179">
        <v>0</v>
      </c>
      <c r="AW179">
        <v>10</v>
      </c>
      <c r="AX179">
        <v>1</v>
      </c>
      <c r="AY179">
        <v>10</v>
      </c>
      <c r="AZ179">
        <v>5</v>
      </c>
      <c r="BA179">
        <v>1</v>
      </c>
      <c r="BB179">
        <v>1440</v>
      </c>
      <c r="BC179">
        <v>0</v>
      </c>
      <c r="BD179">
        <v>0</v>
      </c>
      <c r="BE179">
        <v>14</v>
      </c>
      <c r="BF179">
        <v>25</v>
      </c>
      <c r="BG179">
        <v>3</v>
      </c>
      <c r="BH179">
        <v>8</v>
      </c>
      <c r="BI179">
        <v>3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0</v>
      </c>
      <c r="BQ179">
        <v>60</v>
      </c>
      <c r="BR179">
        <v>0</v>
      </c>
      <c r="BS179">
        <v>3</v>
      </c>
      <c r="BT179" t="s">
        <v>243</v>
      </c>
      <c r="BU179" t="s">
        <v>261</v>
      </c>
      <c r="BV179" t="b">
        <v>0</v>
      </c>
      <c r="BW179" t="s">
        <v>262</v>
      </c>
    </row>
    <row r="180" spans="1:75">
      <c r="A180" t="s">
        <v>243</v>
      </c>
      <c r="B180" t="s">
        <v>252</v>
      </c>
      <c r="C180">
        <v>1093</v>
      </c>
      <c r="D180" t="s">
        <v>253</v>
      </c>
      <c r="E180" t="s">
        <v>254</v>
      </c>
      <c r="F180">
        <v>5</v>
      </c>
      <c r="G180" s="13">
        <v>46266.38486111111</v>
      </c>
      <c r="H180" s="13">
        <v>46266.384976851848</v>
      </c>
      <c r="I180">
        <v>10</v>
      </c>
      <c r="J180" t="s">
        <v>264</v>
      </c>
      <c r="K180">
        <v>1</v>
      </c>
      <c r="L180">
        <v>0.04</v>
      </c>
      <c r="M180">
        <v>0.04</v>
      </c>
      <c r="N180">
        <v>1</v>
      </c>
      <c r="O180">
        <v>0.04</v>
      </c>
      <c r="P180">
        <v>0.64</v>
      </c>
      <c r="Q180">
        <v>3.88</v>
      </c>
      <c r="R180">
        <v>3.52</v>
      </c>
      <c r="S180" t="s">
        <v>256</v>
      </c>
      <c r="T180" t="s">
        <v>257</v>
      </c>
      <c r="U180">
        <v>10</v>
      </c>
      <c r="V180">
        <v>7713.35</v>
      </c>
      <c r="W180">
        <v>4999.3599999999997</v>
      </c>
      <c r="X180">
        <v>4999.3599999999997</v>
      </c>
      <c r="Y180">
        <v>0</v>
      </c>
      <c r="Z180">
        <v>0</v>
      </c>
      <c r="AA180">
        <v>35</v>
      </c>
      <c r="AB180">
        <v>50</v>
      </c>
      <c r="AC180">
        <v>5000</v>
      </c>
      <c r="AD180">
        <v>0</v>
      </c>
      <c r="AE180">
        <v>0</v>
      </c>
      <c r="AF180">
        <v>7716.47</v>
      </c>
      <c r="AG180">
        <v>7716.47</v>
      </c>
      <c r="AH180" s="14">
        <v>46266</v>
      </c>
      <c r="AI180" t="s">
        <v>258</v>
      </c>
      <c r="AJ180" s="13">
        <v>46262.213402777779</v>
      </c>
      <c r="AK180">
        <v>6066.68</v>
      </c>
      <c r="AL180" t="s">
        <v>259</v>
      </c>
      <c r="AM180" t="s">
        <v>260</v>
      </c>
      <c r="AN180">
        <v>1400</v>
      </c>
      <c r="AO180">
        <v>0</v>
      </c>
      <c r="AP180">
        <v>35</v>
      </c>
      <c r="AQ180">
        <v>85</v>
      </c>
      <c r="AR180">
        <v>35</v>
      </c>
      <c r="AS180">
        <v>2</v>
      </c>
      <c r="AT180">
        <v>23</v>
      </c>
      <c r="AU180">
        <v>1</v>
      </c>
      <c r="AV180">
        <v>0</v>
      </c>
      <c r="AW180">
        <v>10</v>
      </c>
      <c r="AX180">
        <v>1</v>
      </c>
      <c r="AY180">
        <v>10</v>
      </c>
      <c r="AZ180">
        <v>5</v>
      </c>
      <c r="BA180">
        <v>1</v>
      </c>
      <c r="BB180">
        <v>1440</v>
      </c>
      <c r="BC180">
        <v>0</v>
      </c>
      <c r="BD180">
        <v>0</v>
      </c>
      <c r="BE180">
        <v>14</v>
      </c>
      <c r="BF180">
        <v>25</v>
      </c>
      <c r="BG180">
        <v>3</v>
      </c>
      <c r="BH180">
        <v>8</v>
      </c>
      <c r="BI180">
        <v>3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0</v>
      </c>
      <c r="BQ180">
        <v>60</v>
      </c>
      <c r="BR180">
        <v>0</v>
      </c>
      <c r="BS180">
        <v>3</v>
      </c>
      <c r="BT180" t="s">
        <v>243</v>
      </c>
      <c r="BU180" t="s">
        <v>261</v>
      </c>
      <c r="BV180" t="b">
        <v>0</v>
      </c>
      <c r="BW180" t="s">
        <v>262</v>
      </c>
    </row>
    <row r="181" spans="1:75">
      <c r="A181" t="s">
        <v>243</v>
      </c>
      <c r="B181" t="s">
        <v>252</v>
      </c>
      <c r="C181">
        <v>1094</v>
      </c>
      <c r="D181" t="s">
        <v>253</v>
      </c>
      <c r="E181" t="s">
        <v>254</v>
      </c>
      <c r="F181">
        <v>5</v>
      </c>
      <c r="G181" s="13">
        <v>46266.390856481485</v>
      </c>
      <c r="H181" s="13">
        <v>46266.395069444443</v>
      </c>
      <c r="I181">
        <v>364</v>
      </c>
      <c r="J181" t="s">
        <v>264</v>
      </c>
      <c r="K181">
        <v>1</v>
      </c>
      <c r="L181">
        <v>0.04</v>
      </c>
      <c r="M181">
        <v>0.04</v>
      </c>
      <c r="N181">
        <v>2</v>
      </c>
      <c r="O181">
        <v>0.08</v>
      </c>
      <c r="P181">
        <v>8.8800000000000008</v>
      </c>
      <c r="Q181">
        <v>12.16</v>
      </c>
      <c r="R181">
        <v>-5.12</v>
      </c>
      <c r="S181" t="s">
        <v>263</v>
      </c>
      <c r="T181" t="s">
        <v>256</v>
      </c>
      <c r="U181">
        <v>10</v>
      </c>
      <c r="V181">
        <v>7715.71</v>
      </c>
      <c r="W181">
        <v>4999.24</v>
      </c>
      <c r="X181">
        <v>4991.12</v>
      </c>
      <c r="Y181">
        <v>0</v>
      </c>
      <c r="Z181">
        <v>0</v>
      </c>
      <c r="AA181">
        <v>35</v>
      </c>
      <c r="AB181">
        <v>50</v>
      </c>
      <c r="AC181">
        <v>5000</v>
      </c>
      <c r="AD181">
        <v>0</v>
      </c>
      <c r="AE181">
        <v>0</v>
      </c>
      <c r="AF181">
        <v>7716.35</v>
      </c>
      <c r="AG181">
        <v>7716.35</v>
      </c>
      <c r="AH181" s="14">
        <v>46266</v>
      </c>
      <c r="AI181" t="s">
        <v>258</v>
      </c>
      <c r="AJ181" s="13">
        <v>46262.213402777779</v>
      </c>
      <c r="AK181">
        <v>6066.68</v>
      </c>
      <c r="AL181" t="s">
        <v>259</v>
      </c>
      <c r="AM181" t="s">
        <v>260</v>
      </c>
      <c r="AN181">
        <v>1400</v>
      </c>
      <c r="AO181">
        <v>0</v>
      </c>
      <c r="AP181">
        <v>35</v>
      </c>
      <c r="AQ181">
        <v>85</v>
      </c>
      <c r="AR181">
        <v>35</v>
      </c>
      <c r="AS181">
        <v>2</v>
      </c>
      <c r="AT181">
        <v>23</v>
      </c>
      <c r="AU181">
        <v>1</v>
      </c>
      <c r="AV181">
        <v>0</v>
      </c>
      <c r="AW181">
        <v>10</v>
      </c>
      <c r="AX181">
        <v>1</v>
      </c>
      <c r="AY181">
        <v>10</v>
      </c>
      <c r="AZ181">
        <v>5</v>
      </c>
      <c r="BA181">
        <v>1</v>
      </c>
      <c r="BB181">
        <v>1440</v>
      </c>
      <c r="BC181">
        <v>0</v>
      </c>
      <c r="BD181">
        <v>0</v>
      </c>
      <c r="BE181">
        <v>14</v>
      </c>
      <c r="BF181">
        <v>25</v>
      </c>
      <c r="BG181">
        <v>3</v>
      </c>
      <c r="BH181">
        <v>8</v>
      </c>
      <c r="BI181">
        <v>3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0</v>
      </c>
      <c r="BQ181">
        <v>60</v>
      </c>
      <c r="BR181">
        <v>0</v>
      </c>
      <c r="BS181">
        <v>3</v>
      </c>
      <c r="BT181" t="s">
        <v>243</v>
      </c>
      <c r="BU181" t="s">
        <v>261</v>
      </c>
      <c r="BV181" t="b">
        <v>0</v>
      </c>
      <c r="BW181" t="s">
        <v>262</v>
      </c>
    </row>
    <row r="182" spans="1:75">
      <c r="A182" t="s">
        <v>243</v>
      </c>
      <c r="B182" t="s">
        <v>252</v>
      </c>
      <c r="C182">
        <v>1095</v>
      </c>
      <c r="D182" t="s">
        <v>253</v>
      </c>
      <c r="E182" t="s">
        <v>254</v>
      </c>
      <c r="F182">
        <v>5</v>
      </c>
      <c r="G182" s="13">
        <v>46266.401736111111</v>
      </c>
      <c r="H182" s="13">
        <v>46266.402731481481</v>
      </c>
      <c r="I182">
        <v>86</v>
      </c>
      <c r="J182" t="s">
        <v>255</v>
      </c>
      <c r="K182">
        <v>1</v>
      </c>
      <c r="L182">
        <v>0.04</v>
      </c>
      <c r="M182">
        <v>0.04</v>
      </c>
      <c r="N182">
        <v>1</v>
      </c>
      <c r="O182">
        <v>0.04</v>
      </c>
      <c r="P182">
        <v>0.96</v>
      </c>
      <c r="Q182">
        <v>3.84</v>
      </c>
      <c r="R182">
        <v>2.76</v>
      </c>
      <c r="S182" t="s">
        <v>256</v>
      </c>
      <c r="T182" t="s">
        <v>257</v>
      </c>
      <c r="U182">
        <v>10</v>
      </c>
      <c r="V182">
        <v>7715.71</v>
      </c>
      <c r="W182">
        <v>4999.3599999999997</v>
      </c>
      <c r="X182">
        <v>4999.04</v>
      </c>
      <c r="Y182">
        <v>0</v>
      </c>
      <c r="Z182">
        <v>0</v>
      </c>
      <c r="AA182">
        <v>35</v>
      </c>
      <c r="AB182">
        <v>50</v>
      </c>
      <c r="AC182">
        <v>5000</v>
      </c>
      <c r="AD182">
        <v>0</v>
      </c>
      <c r="AE182">
        <v>0</v>
      </c>
      <c r="AF182">
        <v>7718.79</v>
      </c>
      <c r="AG182">
        <v>7718.79</v>
      </c>
      <c r="AH182" s="14">
        <v>46266</v>
      </c>
      <c r="AI182" t="s">
        <v>258</v>
      </c>
      <c r="AJ182" s="13">
        <v>46262.213402777779</v>
      </c>
      <c r="AK182">
        <v>6066.68</v>
      </c>
      <c r="AL182" t="s">
        <v>259</v>
      </c>
      <c r="AM182" t="s">
        <v>260</v>
      </c>
      <c r="AN182">
        <v>1400</v>
      </c>
      <c r="AO182">
        <v>0</v>
      </c>
      <c r="AP182">
        <v>35</v>
      </c>
      <c r="AQ182">
        <v>85</v>
      </c>
      <c r="AR182">
        <v>35</v>
      </c>
      <c r="AS182">
        <v>2</v>
      </c>
      <c r="AT182">
        <v>23</v>
      </c>
      <c r="AU182">
        <v>1</v>
      </c>
      <c r="AV182">
        <v>0</v>
      </c>
      <c r="AW182">
        <v>10</v>
      </c>
      <c r="AX182">
        <v>1</v>
      </c>
      <c r="AY182">
        <v>10</v>
      </c>
      <c r="AZ182">
        <v>5</v>
      </c>
      <c r="BA182">
        <v>1</v>
      </c>
      <c r="BB182">
        <v>1440</v>
      </c>
      <c r="BC182">
        <v>0</v>
      </c>
      <c r="BD182">
        <v>0</v>
      </c>
      <c r="BE182">
        <v>14</v>
      </c>
      <c r="BF182">
        <v>25</v>
      </c>
      <c r="BG182">
        <v>3</v>
      </c>
      <c r="BH182">
        <v>8</v>
      </c>
      <c r="BI182">
        <v>3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0</v>
      </c>
      <c r="BQ182">
        <v>60</v>
      </c>
      <c r="BR182">
        <v>0</v>
      </c>
      <c r="BS182">
        <v>3</v>
      </c>
      <c r="BT182" t="s">
        <v>243</v>
      </c>
      <c r="BU182" t="s">
        <v>261</v>
      </c>
      <c r="BV182" t="b">
        <v>0</v>
      </c>
      <c r="BW182" t="s">
        <v>262</v>
      </c>
    </row>
    <row r="183" spans="1:75">
      <c r="A183" t="s">
        <v>243</v>
      </c>
      <c r="B183" t="s">
        <v>252</v>
      </c>
      <c r="C183">
        <v>1096</v>
      </c>
      <c r="D183" t="s">
        <v>253</v>
      </c>
      <c r="E183" t="s">
        <v>254</v>
      </c>
      <c r="F183">
        <v>5</v>
      </c>
      <c r="G183" s="13">
        <v>46266.40730324074</v>
      </c>
      <c r="H183" s="13">
        <v>46266.408206018517</v>
      </c>
      <c r="I183">
        <v>78</v>
      </c>
      <c r="J183" t="s">
        <v>264</v>
      </c>
      <c r="K183">
        <v>1</v>
      </c>
      <c r="L183">
        <v>0.04</v>
      </c>
      <c r="M183">
        <v>0.04</v>
      </c>
      <c r="N183">
        <v>1</v>
      </c>
      <c r="O183">
        <v>0.04</v>
      </c>
      <c r="P183">
        <v>1.52</v>
      </c>
      <c r="Q183">
        <v>9.76</v>
      </c>
      <c r="R183">
        <v>8.56</v>
      </c>
      <c r="S183" t="s">
        <v>256</v>
      </c>
      <c r="T183" t="s">
        <v>257</v>
      </c>
      <c r="U183">
        <v>10</v>
      </c>
      <c r="V183">
        <v>7718.15</v>
      </c>
      <c r="W183">
        <v>4999.3599999999997</v>
      </c>
      <c r="X183">
        <v>4998.4799999999996</v>
      </c>
      <c r="Y183">
        <v>0</v>
      </c>
      <c r="Z183">
        <v>0</v>
      </c>
      <c r="AA183">
        <v>35</v>
      </c>
      <c r="AB183">
        <v>50</v>
      </c>
      <c r="AC183">
        <v>5000</v>
      </c>
      <c r="AD183">
        <v>0</v>
      </c>
      <c r="AE183">
        <v>0</v>
      </c>
      <c r="AF183">
        <v>7727.15</v>
      </c>
      <c r="AG183">
        <v>7727.15</v>
      </c>
      <c r="AH183" s="14">
        <v>46266</v>
      </c>
      <c r="AI183" t="s">
        <v>258</v>
      </c>
      <c r="AJ183" s="13">
        <v>46262.213402777779</v>
      </c>
      <c r="AK183">
        <v>6066.68</v>
      </c>
      <c r="AL183" t="s">
        <v>259</v>
      </c>
      <c r="AM183" t="s">
        <v>260</v>
      </c>
      <c r="AN183">
        <v>1400</v>
      </c>
      <c r="AO183">
        <v>0</v>
      </c>
      <c r="AP183">
        <v>35</v>
      </c>
      <c r="AQ183">
        <v>85</v>
      </c>
      <c r="AR183">
        <v>35</v>
      </c>
      <c r="AS183">
        <v>2</v>
      </c>
      <c r="AT183">
        <v>23</v>
      </c>
      <c r="AU183">
        <v>1</v>
      </c>
      <c r="AV183">
        <v>0</v>
      </c>
      <c r="AW183">
        <v>10</v>
      </c>
      <c r="AX183">
        <v>1</v>
      </c>
      <c r="AY183">
        <v>10</v>
      </c>
      <c r="AZ183">
        <v>5</v>
      </c>
      <c r="BA183">
        <v>1</v>
      </c>
      <c r="BB183">
        <v>1440</v>
      </c>
      <c r="BC183">
        <v>0</v>
      </c>
      <c r="BD183">
        <v>0</v>
      </c>
      <c r="BE183">
        <v>14</v>
      </c>
      <c r="BF183">
        <v>25</v>
      </c>
      <c r="BG183">
        <v>3</v>
      </c>
      <c r="BH183">
        <v>8</v>
      </c>
      <c r="BI183">
        <v>3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0</v>
      </c>
      <c r="BQ183">
        <v>60</v>
      </c>
      <c r="BR183">
        <v>0</v>
      </c>
      <c r="BS183">
        <v>3</v>
      </c>
      <c r="BT183" t="s">
        <v>243</v>
      </c>
      <c r="BU183" t="s">
        <v>261</v>
      </c>
      <c r="BV183" t="b">
        <v>0</v>
      </c>
      <c r="BW183" t="s">
        <v>262</v>
      </c>
    </row>
    <row r="184" spans="1:75">
      <c r="A184" t="s">
        <v>243</v>
      </c>
      <c r="B184" t="s">
        <v>252</v>
      </c>
      <c r="C184">
        <v>1097</v>
      </c>
      <c r="D184" t="s">
        <v>253</v>
      </c>
      <c r="E184" t="s">
        <v>254</v>
      </c>
      <c r="F184">
        <v>5</v>
      </c>
      <c r="G184" s="13">
        <v>46266.418194444443</v>
      </c>
      <c r="H184" s="13">
        <v>46266.418634259258</v>
      </c>
      <c r="I184">
        <v>38</v>
      </c>
      <c r="J184" t="s">
        <v>255</v>
      </c>
      <c r="K184">
        <v>1</v>
      </c>
      <c r="L184">
        <v>0.04</v>
      </c>
      <c r="M184">
        <v>0.04</v>
      </c>
      <c r="N184">
        <v>1</v>
      </c>
      <c r="O184">
        <v>0.04</v>
      </c>
      <c r="P184">
        <v>1.6</v>
      </c>
      <c r="Q184">
        <v>7.24</v>
      </c>
      <c r="R184">
        <v>7.24</v>
      </c>
      <c r="S184" t="s">
        <v>256</v>
      </c>
      <c r="T184" t="s">
        <v>257</v>
      </c>
      <c r="U184">
        <v>10</v>
      </c>
      <c r="V184">
        <v>7726.47</v>
      </c>
      <c r="W184">
        <v>4999.32</v>
      </c>
      <c r="X184">
        <v>4998.3999999999996</v>
      </c>
      <c r="Y184">
        <v>0</v>
      </c>
      <c r="Z184">
        <v>0</v>
      </c>
      <c r="AA184">
        <v>35</v>
      </c>
      <c r="AB184">
        <v>50</v>
      </c>
      <c r="AC184">
        <v>5000</v>
      </c>
      <c r="AD184">
        <v>0</v>
      </c>
      <c r="AE184">
        <v>0</v>
      </c>
      <c r="AF184">
        <v>7732.99</v>
      </c>
      <c r="AG184">
        <v>7732.99</v>
      </c>
      <c r="AH184" s="14">
        <v>46266</v>
      </c>
      <c r="AI184" t="s">
        <v>258</v>
      </c>
      <c r="AJ184" s="13">
        <v>46262.213402777779</v>
      </c>
      <c r="AK184">
        <v>6066.68</v>
      </c>
      <c r="AL184" t="s">
        <v>259</v>
      </c>
      <c r="AM184" t="s">
        <v>260</v>
      </c>
      <c r="AN184">
        <v>1400</v>
      </c>
      <c r="AO184">
        <v>0</v>
      </c>
      <c r="AP184">
        <v>35</v>
      </c>
      <c r="AQ184">
        <v>85</v>
      </c>
      <c r="AR184">
        <v>35</v>
      </c>
      <c r="AS184">
        <v>2</v>
      </c>
      <c r="AT184">
        <v>23</v>
      </c>
      <c r="AU184">
        <v>1</v>
      </c>
      <c r="AV184">
        <v>0</v>
      </c>
      <c r="AW184">
        <v>10</v>
      </c>
      <c r="AX184">
        <v>1</v>
      </c>
      <c r="AY184">
        <v>10</v>
      </c>
      <c r="AZ184">
        <v>5</v>
      </c>
      <c r="BA184">
        <v>1</v>
      </c>
      <c r="BB184">
        <v>1440</v>
      </c>
      <c r="BC184">
        <v>0</v>
      </c>
      <c r="BD184">
        <v>0</v>
      </c>
      <c r="BE184">
        <v>14</v>
      </c>
      <c r="BF184">
        <v>25</v>
      </c>
      <c r="BG184">
        <v>3</v>
      </c>
      <c r="BH184">
        <v>8</v>
      </c>
      <c r="BI184">
        <v>3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0</v>
      </c>
      <c r="BQ184">
        <v>60</v>
      </c>
      <c r="BR184">
        <v>0</v>
      </c>
      <c r="BS184">
        <v>3</v>
      </c>
      <c r="BT184" t="s">
        <v>243</v>
      </c>
      <c r="BU184" t="s">
        <v>261</v>
      </c>
      <c r="BV184" t="b">
        <v>0</v>
      </c>
      <c r="BW184" t="s">
        <v>262</v>
      </c>
    </row>
    <row r="185" spans="1:75">
      <c r="A185" t="s">
        <v>243</v>
      </c>
      <c r="B185" t="s">
        <v>252</v>
      </c>
      <c r="C185">
        <v>1098</v>
      </c>
      <c r="D185" t="s">
        <v>253</v>
      </c>
      <c r="E185" t="s">
        <v>254</v>
      </c>
      <c r="F185">
        <v>5</v>
      </c>
      <c r="G185" s="13">
        <v>46266.421435185184</v>
      </c>
      <c r="H185" s="13">
        <v>46266.422986111109</v>
      </c>
      <c r="I185">
        <v>134</v>
      </c>
      <c r="J185" t="s">
        <v>264</v>
      </c>
      <c r="K185">
        <v>1</v>
      </c>
      <c r="L185">
        <v>0.04</v>
      </c>
      <c r="M185">
        <v>0.04</v>
      </c>
      <c r="N185">
        <v>1</v>
      </c>
      <c r="O185">
        <v>0.04</v>
      </c>
      <c r="P185">
        <v>6.92</v>
      </c>
      <c r="Q185">
        <v>3.68</v>
      </c>
      <c r="R185">
        <v>3.04</v>
      </c>
      <c r="S185" t="s">
        <v>256</v>
      </c>
      <c r="T185" t="s">
        <v>257</v>
      </c>
      <c r="U185">
        <v>11</v>
      </c>
      <c r="V185">
        <v>7732.31</v>
      </c>
      <c r="W185">
        <v>4999.32</v>
      </c>
      <c r="X185">
        <v>4993.08</v>
      </c>
      <c r="Y185">
        <v>0</v>
      </c>
      <c r="Z185">
        <v>0</v>
      </c>
      <c r="AA185">
        <v>35</v>
      </c>
      <c r="AB185">
        <v>50</v>
      </c>
      <c r="AC185">
        <v>5000</v>
      </c>
      <c r="AD185">
        <v>0</v>
      </c>
      <c r="AE185">
        <v>0</v>
      </c>
      <c r="AF185">
        <v>7735.27</v>
      </c>
      <c r="AG185">
        <v>7735.27</v>
      </c>
      <c r="AH185" s="14">
        <v>46266</v>
      </c>
      <c r="AI185" t="s">
        <v>258</v>
      </c>
      <c r="AJ185" s="13">
        <v>46262.213402777779</v>
      </c>
      <c r="AK185">
        <v>6066.68</v>
      </c>
      <c r="AL185" t="s">
        <v>259</v>
      </c>
      <c r="AM185" t="s">
        <v>260</v>
      </c>
      <c r="AN185">
        <v>1400</v>
      </c>
      <c r="AO185">
        <v>0</v>
      </c>
      <c r="AP185">
        <v>35</v>
      </c>
      <c r="AQ185">
        <v>85</v>
      </c>
      <c r="AR185">
        <v>35</v>
      </c>
      <c r="AS185">
        <v>2</v>
      </c>
      <c r="AT185">
        <v>23</v>
      </c>
      <c r="AU185">
        <v>1</v>
      </c>
      <c r="AV185">
        <v>0</v>
      </c>
      <c r="AW185">
        <v>10</v>
      </c>
      <c r="AX185">
        <v>1</v>
      </c>
      <c r="AY185">
        <v>10</v>
      </c>
      <c r="AZ185">
        <v>5</v>
      </c>
      <c r="BA185">
        <v>1</v>
      </c>
      <c r="BB185">
        <v>1440</v>
      </c>
      <c r="BC185">
        <v>0</v>
      </c>
      <c r="BD185">
        <v>0</v>
      </c>
      <c r="BE185">
        <v>14</v>
      </c>
      <c r="BF185">
        <v>25</v>
      </c>
      <c r="BG185">
        <v>3</v>
      </c>
      <c r="BH185">
        <v>8</v>
      </c>
      <c r="BI185">
        <v>3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0</v>
      </c>
      <c r="BQ185">
        <v>60</v>
      </c>
      <c r="BR185">
        <v>0</v>
      </c>
      <c r="BS185">
        <v>3</v>
      </c>
      <c r="BT185" t="s">
        <v>243</v>
      </c>
      <c r="BU185" t="s">
        <v>261</v>
      </c>
      <c r="BV185" t="b">
        <v>0</v>
      </c>
      <c r="BW185" t="s">
        <v>262</v>
      </c>
    </row>
    <row r="186" spans="1:75">
      <c r="A186" t="s">
        <v>243</v>
      </c>
      <c r="B186" t="s">
        <v>252</v>
      </c>
      <c r="C186">
        <v>1099</v>
      </c>
      <c r="D186" t="s">
        <v>253</v>
      </c>
      <c r="E186" t="s">
        <v>254</v>
      </c>
      <c r="F186">
        <v>5</v>
      </c>
      <c r="G186" s="13">
        <v>46266.427037037036</v>
      </c>
      <c r="H186" s="13">
        <v>46266.615787037037</v>
      </c>
      <c r="I186">
        <v>16308</v>
      </c>
      <c r="J186" t="s">
        <v>255</v>
      </c>
      <c r="K186">
        <v>31</v>
      </c>
      <c r="L186">
        <v>1.24</v>
      </c>
      <c r="M186">
        <v>0.04</v>
      </c>
      <c r="N186">
        <v>31</v>
      </c>
      <c r="O186">
        <v>1.24</v>
      </c>
      <c r="P186">
        <v>1994.56</v>
      </c>
      <c r="Q186">
        <v>55.8</v>
      </c>
      <c r="R186">
        <v>55.8</v>
      </c>
      <c r="S186" t="s">
        <v>263</v>
      </c>
      <c r="T186" t="s">
        <v>257</v>
      </c>
      <c r="U186">
        <v>10</v>
      </c>
      <c r="V186">
        <v>7734.59</v>
      </c>
      <c r="W186">
        <v>4999.32</v>
      </c>
      <c r="X186">
        <v>3005.44</v>
      </c>
      <c r="Y186">
        <v>0</v>
      </c>
      <c r="Z186">
        <v>0</v>
      </c>
      <c r="AA186">
        <v>35</v>
      </c>
      <c r="AB186">
        <v>50</v>
      </c>
      <c r="AC186">
        <v>5000</v>
      </c>
      <c r="AD186">
        <v>0</v>
      </c>
      <c r="AE186">
        <v>0</v>
      </c>
      <c r="AF186">
        <v>7767.27</v>
      </c>
      <c r="AG186">
        <v>7767.27</v>
      </c>
      <c r="AH186" s="14">
        <v>46266</v>
      </c>
      <c r="AI186" t="s">
        <v>258</v>
      </c>
      <c r="AJ186" s="13">
        <v>46262.213402777779</v>
      </c>
      <c r="AK186">
        <v>6066.68</v>
      </c>
      <c r="AL186" t="s">
        <v>259</v>
      </c>
      <c r="AM186" t="s">
        <v>260</v>
      </c>
      <c r="AN186">
        <v>1400</v>
      </c>
      <c r="AO186">
        <v>0</v>
      </c>
      <c r="AP186">
        <v>35</v>
      </c>
      <c r="AQ186">
        <v>85</v>
      </c>
      <c r="AR186">
        <v>35</v>
      </c>
      <c r="AS186">
        <v>2</v>
      </c>
      <c r="AT186">
        <v>23</v>
      </c>
      <c r="AU186">
        <v>1</v>
      </c>
      <c r="AV186">
        <v>0</v>
      </c>
      <c r="AW186">
        <v>10</v>
      </c>
      <c r="AX186">
        <v>1</v>
      </c>
      <c r="AY186">
        <v>10</v>
      </c>
      <c r="AZ186">
        <v>5</v>
      </c>
      <c r="BA186">
        <v>1</v>
      </c>
      <c r="BB186">
        <v>1440</v>
      </c>
      <c r="BC186">
        <v>0</v>
      </c>
      <c r="BD186">
        <v>0</v>
      </c>
      <c r="BE186">
        <v>14</v>
      </c>
      <c r="BF186">
        <v>25</v>
      </c>
      <c r="BG186">
        <v>3</v>
      </c>
      <c r="BH186">
        <v>8</v>
      </c>
      <c r="BI186">
        <v>3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60</v>
      </c>
      <c r="BR186">
        <v>0</v>
      </c>
      <c r="BS186">
        <v>3</v>
      </c>
      <c r="BT186" t="s">
        <v>243</v>
      </c>
      <c r="BU186" t="s">
        <v>261</v>
      </c>
      <c r="BV186" t="b">
        <v>0</v>
      </c>
      <c r="BW186" t="s">
        <v>262</v>
      </c>
    </row>
    <row r="187" spans="1:75">
      <c r="A187" t="s">
        <v>243</v>
      </c>
      <c r="B187" t="s">
        <v>252</v>
      </c>
      <c r="C187">
        <v>1100</v>
      </c>
      <c r="D187" t="s">
        <v>253</v>
      </c>
      <c r="E187" t="s">
        <v>254</v>
      </c>
      <c r="F187">
        <v>5</v>
      </c>
      <c r="G187" s="13">
        <v>46266.6171412037</v>
      </c>
      <c r="H187" s="13">
        <v>46266.643784722219</v>
      </c>
      <c r="I187">
        <v>2302</v>
      </c>
      <c r="J187" t="s">
        <v>255</v>
      </c>
      <c r="K187">
        <v>6</v>
      </c>
      <c r="L187">
        <v>0.24</v>
      </c>
      <c r="M187">
        <v>0.04</v>
      </c>
      <c r="N187">
        <v>6</v>
      </c>
      <c r="O187">
        <v>0.24</v>
      </c>
      <c r="P187">
        <v>179.92</v>
      </c>
      <c r="Q187">
        <v>32.36</v>
      </c>
      <c r="R187">
        <v>19.88</v>
      </c>
      <c r="S187" t="s">
        <v>263</v>
      </c>
      <c r="T187" t="s">
        <v>257</v>
      </c>
      <c r="U187">
        <v>10</v>
      </c>
      <c r="V187">
        <v>7766.63</v>
      </c>
      <c r="W187">
        <v>4999.3599999999997</v>
      </c>
      <c r="X187">
        <v>4820.08</v>
      </c>
      <c r="Y187">
        <v>0</v>
      </c>
      <c r="Z187">
        <v>0</v>
      </c>
      <c r="AA187">
        <v>35</v>
      </c>
      <c r="AB187">
        <v>50</v>
      </c>
      <c r="AC187">
        <v>5000</v>
      </c>
      <c r="AD187">
        <v>0</v>
      </c>
      <c r="AE187">
        <v>0</v>
      </c>
      <c r="AF187">
        <v>7785.47</v>
      </c>
      <c r="AG187">
        <v>7785.47</v>
      </c>
      <c r="AH187" s="14">
        <v>46266</v>
      </c>
      <c r="AI187" t="s">
        <v>258</v>
      </c>
      <c r="AJ187" s="13">
        <v>46262.213402777779</v>
      </c>
      <c r="AK187">
        <v>6066.68</v>
      </c>
      <c r="AL187" t="s">
        <v>259</v>
      </c>
      <c r="AM187" t="s">
        <v>260</v>
      </c>
      <c r="AN187">
        <v>1400</v>
      </c>
      <c r="AO187">
        <v>0</v>
      </c>
      <c r="AP187">
        <v>35</v>
      </c>
      <c r="AQ187">
        <v>85</v>
      </c>
      <c r="AR187">
        <v>35</v>
      </c>
      <c r="AS187">
        <v>2</v>
      </c>
      <c r="AT187">
        <v>23</v>
      </c>
      <c r="AU187">
        <v>1</v>
      </c>
      <c r="AV187">
        <v>0</v>
      </c>
      <c r="AW187">
        <v>10</v>
      </c>
      <c r="AX187">
        <v>1</v>
      </c>
      <c r="AY187">
        <v>10</v>
      </c>
      <c r="AZ187">
        <v>5</v>
      </c>
      <c r="BA187">
        <v>1</v>
      </c>
      <c r="BB187">
        <v>1440</v>
      </c>
      <c r="BC187">
        <v>0</v>
      </c>
      <c r="BD187">
        <v>0</v>
      </c>
      <c r="BE187">
        <v>14</v>
      </c>
      <c r="BF187">
        <v>25</v>
      </c>
      <c r="BG187">
        <v>3</v>
      </c>
      <c r="BH187">
        <v>8</v>
      </c>
      <c r="BI187">
        <v>3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0</v>
      </c>
      <c r="BQ187">
        <v>60</v>
      </c>
      <c r="BR187">
        <v>0</v>
      </c>
      <c r="BS187">
        <v>3</v>
      </c>
      <c r="BT187" t="s">
        <v>243</v>
      </c>
      <c r="BU187" t="s">
        <v>261</v>
      </c>
      <c r="BV187" t="b">
        <v>0</v>
      </c>
      <c r="BW187" t="s">
        <v>262</v>
      </c>
    </row>
    <row r="188" spans="1:75">
      <c r="A188" t="s">
        <v>243</v>
      </c>
      <c r="B188" t="s">
        <v>252</v>
      </c>
      <c r="C188">
        <v>1101</v>
      </c>
      <c r="D188" t="s">
        <v>253</v>
      </c>
      <c r="E188" t="s">
        <v>254</v>
      </c>
      <c r="F188">
        <v>5</v>
      </c>
      <c r="G188" s="13">
        <v>46266.647766203707</v>
      </c>
      <c r="H188" s="13">
        <v>46266.649340277778</v>
      </c>
      <c r="I188">
        <v>136</v>
      </c>
      <c r="J188" t="s">
        <v>264</v>
      </c>
      <c r="K188">
        <v>1</v>
      </c>
      <c r="L188">
        <v>0.04</v>
      </c>
      <c r="M188">
        <v>0.04</v>
      </c>
      <c r="N188">
        <v>1</v>
      </c>
      <c r="O188">
        <v>0.04</v>
      </c>
      <c r="P188">
        <v>8.7200000000000006</v>
      </c>
      <c r="Q188">
        <v>11.68</v>
      </c>
      <c r="R188">
        <v>11.68</v>
      </c>
      <c r="S188" t="s">
        <v>256</v>
      </c>
      <c r="T188" t="s">
        <v>257</v>
      </c>
      <c r="U188">
        <v>10</v>
      </c>
      <c r="V188">
        <v>7784.83</v>
      </c>
      <c r="W188">
        <v>4999.3599999999997</v>
      </c>
      <c r="X188">
        <v>4991.28</v>
      </c>
      <c r="Y188">
        <v>0</v>
      </c>
      <c r="Z188">
        <v>0</v>
      </c>
      <c r="AA188">
        <v>35</v>
      </c>
      <c r="AB188">
        <v>50</v>
      </c>
      <c r="AC188">
        <v>5000</v>
      </c>
      <c r="AD188">
        <v>0</v>
      </c>
      <c r="AE188">
        <v>0</v>
      </c>
      <c r="AF188">
        <v>7795.87</v>
      </c>
      <c r="AG188">
        <v>7795.87</v>
      </c>
      <c r="AH188" s="14">
        <v>46266</v>
      </c>
      <c r="AI188" t="s">
        <v>258</v>
      </c>
      <c r="AJ188" s="13">
        <v>46262.213402777779</v>
      </c>
      <c r="AK188">
        <v>6066.68</v>
      </c>
      <c r="AL188" t="s">
        <v>259</v>
      </c>
      <c r="AM188" t="s">
        <v>260</v>
      </c>
      <c r="AN188">
        <v>1400</v>
      </c>
      <c r="AO188">
        <v>0</v>
      </c>
      <c r="AP188">
        <v>35</v>
      </c>
      <c r="AQ188">
        <v>85</v>
      </c>
      <c r="AR188">
        <v>35</v>
      </c>
      <c r="AS188">
        <v>2</v>
      </c>
      <c r="AT188">
        <v>23</v>
      </c>
      <c r="AU188">
        <v>1</v>
      </c>
      <c r="AV188">
        <v>0</v>
      </c>
      <c r="AW188">
        <v>10</v>
      </c>
      <c r="AX188">
        <v>1</v>
      </c>
      <c r="AY188">
        <v>10</v>
      </c>
      <c r="AZ188">
        <v>5</v>
      </c>
      <c r="BA188">
        <v>1</v>
      </c>
      <c r="BB188">
        <v>1440</v>
      </c>
      <c r="BC188">
        <v>0</v>
      </c>
      <c r="BD188">
        <v>0</v>
      </c>
      <c r="BE188">
        <v>14</v>
      </c>
      <c r="BF188">
        <v>25</v>
      </c>
      <c r="BG188">
        <v>3</v>
      </c>
      <c r="BH188">
        <v>8</v>
      </c>
      <c r="BI188">
        <v>3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0</v>
      </c>
      <c r="BQ188">
        <v>60</v>
      </c>
      <c r="BR188">
        <v>0</v>
      </c>
      <c r="BS188">
        <v>3</v>
      </c>
      <c r="BT188" t="s">
        <v>243</v>
      </c>
      <c r="BU188" t="s">
        <v>261</v>
      </c>
      <c r="BV188" t="b">
        <v>0</v>
      </c>
      <c r="BW188" t="s">
        <v>262</v>
      </c>
    </row>
    <row r="189" spans="1:75">
      <c r="A189" t="s">
        <v>243</v>
      </c>
      <c r="B189" t="s">
        <v>252</v>
      </c>
      <c r="C189">
        <v>1102</v>
      </c>
      <c r="D189" t="s">
        <v>253</v>
      </c>
      <c r="E189" t="s">
        <v>254</v>
      </c>
      <c r="F189">
        <v>5</v>
      </c>
      <c r="G189" s="13">
        <v>46266.650057870371</v>
      </c>
      <c r="H189" s="13">
        <v>46266.650763888887</v>
      </c>
      <c r="I189">
        <v>61</v>
      </c>
      <c r="J189" t="s">
        <v>264</v>
      </c>
      <c r="K189">
        <v>1</v>
      </c>
      <c r="L189">
        <v>0.04</v>
      </c>
      <c r="M189">
        <v>0.04</v>
      </c>
      <c r="N189">
        <v>1</v>
      </c>
      <c r="O189">
        <v>0.04</v>
      </c>
      <c r="P189">
        <v>8.36</v>
      </c>
      <c r="Q189">
        <v>7.88</v>
      </c>
      <c r="R189">
        <v>6.64</v>
      </c>
      <c r="S189" t="s">
        <v>256</v>
      </c>
      <c r="T189" t="s">
        <v>257</v>
      </c>
      <c r="U189">
        <v>10</v>
      </c>
      <c r="V189">
        <v>7795.19</v>
      </c>
      <c r="W189">
        <v>4999.32</v>
      </c>
      <c r="X189">
        <v>4991.6400000000003</v>
      </c>
      <c r="Y189">
        <v>0</v>
      </c>
      <c r="Z189">
        <v>0</v>
      </c>
      <c r="AA189">
        <v>35</v>
      </c>
      <c r="AB189">
        <v>50</v>
      </c>
      <c r="AC189">
        <v>5000</v>
      </c>
      <c r="AD189">
        <v>0</v>
      </c>
      <c r="AE189">
        <v>0</v>
      </c>
      <c r="AF189">
        <v>7802.35</v>
      </c>
      <c r="AG189">
        <v>7802.35</v>
      </c>
      <c r="AH189" s="14">
        <v>46266</v>
      </c>
      <c r="AI189" t="s">
        <v>258</v>
      </c>
      <c r="AJ189" s="13">
        <v>46262.213402777779</v>
      </c>
      <c r="AK189">
        <v>6066.68</v>
      </c>
      <c r="AL189" t="s">
        <v>259</v>
      </c>
      <c r="AM189" t="s">
        <v>260</v>
      </c>
      <c r="AN189">
        <v>1400</v>
      </c>
      <c r="AO189">
        <v>0</v>
      </c>
      <c r="AP189">
        <v>35</v>
      </c>
      <c r="AQ189">
        <v>85</v>
      </c>
      <c r="AR189">
        <v>35</v>
      </c>
      <c r="AS189">
        <v>2</v>
      </c>
      <c r="AT189">
        <v>23</v>
      </c>
      <c r="AU189">
        <v>1</v>
      </c>
      <c r="AV189">
        <v>0</v>
      </c>
      <c r="AW189">
        <v>10</v>
      </c>
      <c r="AX189">
        <v>1</v>
      </c>
      <c r="AY189">
        <v>10</v>
      </c>
      <c r="AZ189">
        <v>5</v>
      </c>
      <c r="BA189">
        <v>1</v>
      </c>
      <c r="BB189">
        <v>1440</v>
      </c>
      <c r="BC189">
        <v>0</v>
      </c>
      <c r="BD189">
        <v>0</v>
      </c>
      <c r="BE189">
        <v>14</v>
      </c>
      <c r="BF189">
        <v>25</v>
      </c>
      <c r="BG189">
        <v>3</v>
      </c>
      <c r="BH189">
        <v>8</v>
      </c>
      <c r="BI189">
        <v>3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0</v>
      </c>
      <c r="BQ189">
        <v>60</v>
      </c>
      <c r="BR189">
        <v>0</v>
      </c>
      <c r="BS189">
        <v>3</v>
      </c>
      <c r="BT189" t="s">
        <v>243</v>
      </c>
      <c r="BU189" t="s">
        <v>261</v>
      </c>
      <c r="BV189" t="b">
        <v>0</v>
      </c>
      <c r="BW189" t="s">
        <v>262</v>
      </c>
    </row>
    <row r="190" spans="1:75">
      <c r="A190" t="s">
        <v>243</v>
      </c>
      <c r="B190" t="s">
        <v>252</v>
      </c>
      <c r="C190">
        <v>1103</v>
      </c>
      <c r="D190" t="s">
        <v>253</v>
      </c>
      <c r="E190" t="s">
        <v>254</v>
      </c>
      <c r="F190">
        <v>5</v>
      </c>
      <c r="G190" s="13">
        <v>46266.655046296299</v>
      </c>
      <c r="H190" s="13">
        <v>46266.655428240738</v>
      </c>
      <c r="I190">
        <v>33</v>
      </c>
      <c r="J190" t="s">
        <v>255</v>
      </c>
      <c r="K190">
        <v>1</v>
      </c>
      <c r="L190">
        <v>0.04</v>
      </c>
      <c r="M190">
        <v>0.04</v>
      </c>
      <c r="N190">
        <v>1</v>
      </c>
      <c r="O190">
        <v>0.04</v>
      </c>
      <c r="P190">
        <v>7.36</v>
      </c>
      <c r="Q190">
        <v>5.64</v>
      </c>
      <c r="R190">
        <v>5.64</v>
      </c>
      <c r="S190" t="s">
        <v>256</v>
      </c>
      <c r="T190" t="s">
        <v>257</v>
      </c>
      <c r="U190">
        <v>11</v>
      </c>
      <c r="V190">
        <v>7801.71</v>
      </c>
      <c r="W190">
        <v>4999.3599999999997</v>
      </c>
      <c r="X190">
        <v>4992.6400000000003</v>
      </c>
      <c r="Y190">
        <v>0</v>
      </c>
      <c r="Z190">
        <v>0</v>
      </c>
      <c r="AA190">
        <v>35</v>
      </c>
      <c r="AB190">
        <v>50</v>
      </c>
      <c r="AC190">
        <v>5000</v>
      </c>
      <c r="AD190">
        <v>0</v>
      </c>
      <c r="AE190">
        <v>0</v>
      </c>
      <c r="AF190">
        <v>7804.75</v>
      </c>
      <c r="AG190">
        <v>7804.75</v>
      </c>
      <c r="AH190" s="14">
        <v>46266</v>
      </c>
      <c r="AI190" t="s">
        <v>258</v>
      </c>
      <c r="AJ190" s="13">
        <v>46262.213402777779</v>
      </c>
      <c r="AK190">
        <v>6066.68</v>
      </c>
      <c r="AL190" t="s">
        <v>259</v>
      </c>
      <c r="AM190" t="s">
        <v>260</v>
      </c>
      <c r="AN190">
        <v>1400</v>
      </c>
      <c r="AO190">
        <v>0</v>
      </c>
      <c r="AP190">
        <v>35</v>
      </c>
      <c r="AQ190">
        <v>85</v>
      </c>
      <c r="AR190">
        <v>35</v>
      </c>
      <c r="AS190">
        <v>2</v>
      </c>
      <c r="AT190">
        <v>23</v>
      </c>
      <c r="AU190">
        <v>1</v>
      </c>
      <c r="AV190">
        <v>0</v>
      </c>
      <c r="AW190">
        <v>10</v>
      </c>
      <c r="AX190">
        <v>1</v>
      </c>
      <c r="AY190">
        <v>10</v>
      </c>
      <c r="AZ190">
        <v>5</v>
      </c>
      <c r="BA190">
        <v>1</v>
      </c>
      <c r="BB190">
        <v>1440</v>
      </c>
      <c r="BC190">
        <v>0</v>
      </c>
      <c r="BD190">
        <v>0</v>
      </c>
      <c r="BE190">
        <v>14</v>
      </c>
      <c r="BF190">
        <v>25</v>
      </c>
      <c r="BG190">
        <v>3</v>
      </c>
      <c r="BH190">
        <v>8</v>
      </c>
      <c r="BI190">
        <v>3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0</v>
      </c>
      <c r="BQ190">
        <v>60</v>
      </c>
      <c r="BR190">
        <v>0</v>
      </c>
      <c r="BS190">
        <v>3</v>
      </c>
      <c r="BT190" t="s">
        <v>243</v>
      </c>
      <c r="BU190" t="s">
        <v>261</v>
      </c>
      <c r="BV190" t="b">
        <v>0</v>
      </c>
      <c r="BW190" t="s">
        <v>262</v>
      </c>
    </row>
    <row r="191" spans="1:75">
      <c r="A191" t="s">
        <v>243</v>
      </c>
      <c r="B191" t="s">
        <v>252</v>
      </c>
      <c r="C191">
        <v>1104</v>
      </c>
      <c r="D191" t="s">
        <v>253</v>
      </c>
      <c r="E191" t="s">
        <v>254</v>
      </c>
      <c r="F191">
        <v>5</v>
      </c>
      <c r="G191" s="13">
        <v>46266.658125000002</v>
      </c>
      <c r="H191" s="13">
        <v>46266.687199074076</v>
      </c>
      <c r="I191">
        <v>2512</v>
      </c>
      <c r="J191" t="s">
        <v>255</v>
      </c>
      <c r="K191">
        <v>8</v>
      </c>
      <c r="L191">
        <v>0.32</v>
      </c>
      <c r="M191">
        <v>0.04</v>
      </c>
      <c r="N191">
        <v>8</v>
      </c>
      <c r="O191">
        <v>0.32</v>
      </c>
      <c r="P191">
        <v>456.48</v>
      </c>
      <c r="Q191">
        <v>36.56</v>
      </c>
      <c r="R191">
        <v>23.44</v>
      </c>
      <c r="S191" t="s">
        <v>263</v>
      </c>
      <c r="T191" t="s">
        <v>257</v>
      </c>
      <c r="U191">
        <v>10</v>
      </c>
      <c r="V191">
        <v>7804.07</v>
      </c>
      <c r="W191">
        <v>4999.32</v>
      </c>
      <c r="X191">
        <v>4543.5200000000004</v>
      </c>
      <c r="Y191">
        <v>0</v>
      </c>
      <c r="Z191">
        <v>0</v>
      </c>
      <c r="AA191">
        <v>35</v>
      </c>
      <c r="AB191">
        <v>50</v>
      </c>
      <c r="AC191">
        <v>5000</v>
      </c>
      <c r="AD191">
        <v>0</v>
      </c>
      <c r="AE191">
        <v>0</v>
      </c>
      <c r="AF191">
        <v>7827.87</v>
      </c>
      <c r="AG191">
        <v>7827.87</v>
      </c>
      <c r="AH191" s="14">
        <v>46266</v>
      </c>
      <c r="AI191" t="s">
        <v>258</v>
      </c>
      <c r="AJ191" s="13">
        <v>46262.213402777779</v>
      </c>
      <c r="AK191">
        <v>6066.68</v>
      </c>
      <c r="AL191" t="s">
        <v>259</v>
      </c>
      <c r="AM191" t="s">
        <v>260</v>
      </c>
      <c r="AN191">
        <v>1400</v>
      </c>
      <c r="AO191">
        <v>0</v>
      </c>
      <c r="AP191">
        <v>35</v>
      </c>
      <c r="AQ191">
        <v>85</v>
      </c>
      <c r="AR191">
        <v>35</v>
      </c>
      <c r="AS191">
        <v>2</v>
      </c>
      <c r="AT191">
        <v>23</v>
      </c>
      <c r="AU191">
        <v>1</v>
      </c>
      <c r="AV191">
        <v>0</v>
      </c>
      <c r="AW191">
        <v>10</v>
      </c>
      <c r="AX191">
        <v>1</v>
      </c>
      <c r="AY191">
        <v>10</v>
      </c>
      <c r="AZ191">
        <v>5</v>
      </c>
      <c r="BA191">
        <v>1</v>
      </c>
      <c r="BB191">
        <v>1440</v>
      </c>
      <c r="BC191">
        <v>0</v>
      </c>
      <c r="BD191">
        <v>0</v>
      </c>
      <c r="BE191">
        <v>14</v>
      </c>
      <c r="BF191">
        <v>25</v>
      </c>
      <c r="BG191">
        <v>3</v>
      </c>
      <c r="BH191">
        <v>8</v>
      </c>
      <c r="BI191">
        <v>3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0</v>
      </c>
      <c r="BQ191">
        <v>60</v>
      </c>
      <c r="BR191">
        <v>0</v>
      </c>
      <c r="BS191">
        <v>3</v>
      </c>
      <c r="BT191" t="s">
        <v>243</v>
      </c>
      <c r="BU191" t="s">
        <v>261</v>
      </c>
      <c r="BV191" t="b">
        <v>0</v>
      </c>
      <c r="BW191" t="s">
        <v>262</v>
      </c>
    </row>
    <row r="192" spans="1:75">
      <c r="A192" t="s">
        <v>243</v>
      </c>
      <c r="B192" t="s">
        <v>252</v>
      </c>
      <c r="C192">
        <v>1105</v>
      </c>
      <c r="D192" t="s">
        <v>253</v>
      </c>
      <c r="E192" t="s">
        <v>254</v>
      </c>
      <c r="F192">
        <v>5</v>
      </c>
      <c r="G192" s="13">
        <v>46266.689282407409</v>
      </c>
      <c r="H192" s="13">
        <v>46266.691759259258</v>
      </c>
      <c r="I192">
        <v>214</v>
      </c>
      <c r="J192" t="s">
        <v>255</v>
      </c>
      <c r="K192">
        <v>1</v>
      </c>
      <c r="L192">
        <v>0.04</v>
      </c>
      <c r="M192">
        <v>0.04</v>
      </c>
      <c r="N192">
        <v>1</v>
      </c>
      <c r="O192">
        <v>0.04</v>
      </c>
      <c r="P192">
        <v>0.96</v>
      </c>
      <c r="Q192">
        <v>3.92</v>
      </c>
      <c r="R192">
        <v>3.92</v>
      </c>
      <c r="S192" t="s">
        <v>256</v>
      </c>
      <c r="T192" t="s">
        <v>257</v>
      </c>
      <c r="U192">
        <v>10</v>
      </c>
      <c r="V192">
        <v>7827.83</v>
      </c>
      <c r="W192">
        <v>4999.96</v>
      </c>
      <c r="X192">
        <v>4999.04</v>
      </c>
      <c r="Y192">
        <v>0</v>
      </c>
      <c r="Z192">
        <v>0</v>
      </c>
      <c r="AA192">
        <v>35</v>
      </c>
      <c r="AB192">
        <v>50</v>
      </c>
      <c r="AC192">
        <v>5000</v>
      </c>
      <c r="AD192">
        <v>0</v>
      </c>
      <c r="AE192">
        <v>0</v>
      </c>
      <c r="AF192">
        <v>7830.39</v>
      </c>
      <c r="AG192">
        <v>7830.39</v>
      </c>
      <c r="AH192" s="14">
        <v>46266</v>
      </c>
      <c r="AI192" t="s">
        <v>258</v>
      </c>
      <c r="AJ192" s="13">
        <v>46262.213402777779</v>
      </c>
      <c r="AK192">
        <v>6066.68</v>
      </c>
      <c r="AL192" t="s">
        <v>259</v>
      </c>
      <c r="AM192" t="s">
        <v>260</v>
      </c>
      <c r="AN192">
        <v>1400</v>
      </c>
      <c r="AO192">
        <v>0</v>
      </c>
      <c r="AP192">
        <v>35</v>
      </c>
      <c r="AQ192">
        <v>85</v>
      </c>
      <c r="AR192">
        <v>35</v>
      </c>
      <c r="AS192">
        <v>2</v>
      </c>
      <c r="AT192">
        <v>23</v>
      </c>
      <c r="AU192">
        <v>1</v>
      </c>
      <c r="AV192">
        <v>0</v>
      </c>
      <c r="AW192">
        <v>10</v>
      </c>
      <c r="AX192">
        <v>1</v>
      </c>
      <c r="AY192">
        <v>10</v>
      </c>
      <c r="AZ192">
        <v>5</v>
      </c>
      <c r="BA192">
        <v>1</v>
      </c>
      <c r="BB192">
        <v>1440</v>
      </c>
      <c r="BC192">
        <v>0</v>
      </c>
      <c r="BD192">
        <v>0</v>
      </c>
      <c r="BE192">
        <v>14</v>
      </c>
      <c r="BF192">
        <v>25</v>
      </c>
      <c r="BG192">
        <v>3</v>
      </c>
      <c r="BH192">
        <v>8</v>
      </c>
      <c r="BI192">
        <v>3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0</v>
      </c>
      <c r="BQ192">
        <v>60</v>
      </c>
      <c r="BR192">
        <v>0</v>
      </c>
      <c r="BS192">
        <v>3</v>
      </c>
      <c r="BT192" t="s">
        <v>243</v>
      </c>
      <c r="BU192" t="s">
        <v>261</v>
      </c>
      <c r="BV192" t="b">
        <v>0</v>
      </c>
      <c r="BW192" t="s">
        <v>262</v>
      </c>
    </row>
    <row r="193" spans="1:75">
      <c r="A193" t="s">
        <v>243</v>
      </c>
      <c r="B193" t="s">
        <v>252</v>
      </c>
      <c r="C193">
        <v>1106</v>
      </c>
      <c r="D193" t="s">
        <v>253</v>
      </c>
      <c r="E193" t="s">
        <v>254</v>
      </c>
      <c r="F193">
        <v>5</v>
      </c>
      <c r="G193" s="13">
        <v>46266.691759259258</v>
      </c>
      <c r="H193" s="13">
        <v>46266.742986111109</v>
      </c>
      <c r="I193">
        <v>4426</v>
      </c>
      <c r="J193" t="s">
        <v>264</v>
      </c>
      <c r="K193">
        <v>7</v>
      </c>
      <c r="L193">
        <v>0.28000000000000003</v>
      </c>
      <c r="M193">
        <v>0.04</v>
      </c>
      <c r="N193">
        <v>7</v>
      </c>
      <c r="O193">
        <v>0.28000000000000003</v>
      </c>
      <c r="P193">
        <v>248.68</v>
      </c>
      <c r="Q193">
        <v>47.2</v>
      </c>
      <c r="R193">
        <v>31.24</v>
      </c>
      <c r="S193" t="s">
        <v>263</v>
      </c>
      <c r="T193" t="s">
        <v>257</v>
      </c>
      <c r="U193">
        <v>10</v>
      </c>
      <c r="V193">
        <v>7829.71</v>
      </c>
      <c r="W193">
        <v>4999.32</v>
      </c>
      <c r="X193">
        <v>4751.32</v>
      </c>
      <c r="Y193">
        <v>0</v>
      </c>
      <c r="Z193">
        <v>0</v>
      </c>
      <c r="AA193">
        <v>35</v>
      </c>
      <c r="AB193">
        <v>50</v>
      </c>
      <c r="AC193">
        <v>5000</v>
      </c>
      <c r="AD193">
        <v>0</v>
      </c>
      <c r="AE193">
        <v>0</v>
      </c>
      <c r="AF193">
        <v>7866.83</v>
      </c>
      <c r="AG193">
        <v>7866.83</v>
      </c>
      <c r="AH193" s="14">
        <v>46266</v>
      </c>
      <c r="AI193" t="s">
        <v>258</v>
      </c>
      <c r="AJ193" s="13">
        <v>46262.213402777779</v>
      </c>
      <c r="AK193">
        <v>6066.68</v>
      </c>
      <c r="AL193" t="s">
        <v>259</v>
      </c>
      <c r="AM193" t="s">
        <v>260</v>
      </c>
      <c r="AN193">
        <v>1400</v>
      </c>
      <c r="AO193">
        <v>0</v>
      </c>
      <c r="AP193">
        <v>35</v>
      </c>
      <c r="AQ193">
        <v>85</v>
      </c>
      <c r="AR193">
        <v>35</v>
      </c>
      <c r="AS193">
        <v>2</v>
      </c>
      <c r="AT193">
        <v>23</v>
      </c>
      <c r="AU193">
        <v>1</v>
      </c>
      <c r="AV193">
        <v>0</v>
      </c>
      <c r="AW193">
        <v>10</v>
      </c>
      <c r="AX193">
        <v>1</v>
      </c>
      <c r="AY193">
        <v>10</v>
      </c>
      <c r="AZ193">
        <v>5</v>
      </c>
      <c r="BA193">
        <v>1</v>
      </c>
      <c r="BB193">
        <v>1440</v>
      </c>
      <c r="BC193">
        <v>0</v>
      </c>
      <c r="BD193">
        <v>0</v>
      </c>
      <c r="BE193">
        <v>14</v>
      </c>
      <c r="BF193">
        <v>25</v>
      </c>
      <c r="BG193">
        <v>3</v>
      </c>
      <c r="BH193">
        <v>8</v>
      </c>
      <c r="BI193">
        <v>3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0</v>
      </c>
      <c r="BQ193">
        <v>60</v>
      </c>
      <c r="BR193">
        <v>0</v>
      </c>
      <c r="BS193">
        <v>3</v>
      </c>
      <c r="BT193" t="s">
        <v>243</v>
      </c>
      <c r="BU193" t="s">
        <v>261</v>
      </c>
      <c r="BV193" t="b">
        <v>0</v>
      </c>
      <c r="BW193" t="s">
        <v>262</v>
      </c>
    </row>
    <row r="194" spans="1:75">
      <c r="A194" t="s">
        <v>243</v>
      </c>
      <c r="B194" t="s">
        <v>252</v>
      </c>
      <c r="C194">
        <v>1107</v>
      </c>
      <c r="D194" t="s">
        <v>253</v>
      </c>
      <c r="E194" t="s">
        <v>254</v>
      </c>
      <c r="F194">
        <v>5</v>
      </c>
      <c r="G194" s="13">
        <v>46266.74391203704</v>
      </c>
      <c r="H194" s="13">
        <v>46266.744108796294</v>
      </c>
      <c r="I194">
        <v>17</v>
      </c>
      <c r="J194" t="s">
        <v>255</v>
      </c>
      <c r="K194">
        <v>1</v>
      </c>
      <c r="L194">
        <v>0.04</v>
      </c>
      <c r="M194">
        <v>0.04</v>
      </c>
      <c r="N194">
        <v>1</v>
      </c>
      <c r="O194">
        <v>0.04</v>
      </c>
      <c r="P194">
        <v>0.64</v>
      </c>
      <c r="Q194">
        <v>7.72</v>
      </c>
      <c r="R194">
        <v>7.72</v>
      </c>
      <c r="S194" t="s">
        <v>256</v>
      </c>
      <c r="T194" t="s">
        <v>257</v>
      </c>
      <c r="U194">
        <v>10</v>
      </c>
      <c r="V194">
        <v>7866.19</v>
      </c>
      <c r="W194">
        <v>4999.3599999999997</v>
      </c>
      <c r="X194">
        <v>4999.3599999999997</v>
      </c>
      <c r="Y194">
        <v>0</v>
      </c>
      <c r="Z194">
        <v>0</v>
      </c>
      <c r="AA194">
        <v>35</v>
      </c>
      <c r="AB194">
        <v>50</v>
      </c>
      <c r="AC194">
        <v>5000</v>
      </c>
      <c r="AD194">
        <v>0</v>
      </c>
      <c r="AE194">
        <v>0</v>
      </c>
      <c r="AF194">
        <v>7873.15</v>
      </c>
      <c r="AG194">
        <v>7873.15</v>
      </c>
      <c r="AH194" s="14">
        <v>46266</v>
      </c>
      <c r="AI194" t="s">
        <v>258</v>
      </c>
      <c r="AJ194" s="13">
        <v>46262.213402777779</v>
      </c>
      <c r="AK194">
        <v>6066.68</v>
      </c>
      <c r="AL194" t="s">
        <v>259</v>
      </c>
      <c r="AM194" t="s">
        <v>260</v>
      </c>
      <c r="AN194">
        <v>1400</v>
      </c>
      <c r="AO194">
        <v>0</v>
      </c>
      <c r="AP194">
        <v>35</v>
      </c>
      <c r="AQ194">
        <v>85</v>
      </c>
      <c r="AR194">
        <v>35</v>
      </c>
      <c r="AS194">
        <v>2</v>
      </c>
      <c r="AT194">
        <v>23</v>
      </c>
      <c r="AU194">
        <v>1</v>
      </c>
      <c r="AV194">
        <v>0</v>
      </c>
      <c r="AW194">
        <v>10</v>
      </c>
      <c r="AX194">
        <v>1</v>
      </c>
      <c r="AY194">
        <v>10</v>
      </c>
      <c r="AZ194">
        <v>5</v>
      </c>
      <c r="BA194">
        <v>1</v>
      </c>
      <c r="BB194">
        <v>1440</v>
      </c>
      <c r="BC194">
        <v>0</v>
      </c>
      <c r="BD194">
        <v>0</v>
      </c>
      <c r="BE194">
        <v>14</v>
      </c>
      <c r="BF194">
        <v>25</v>
      </c>
      <c r="BG194">
        <v>3</v>
      </c>
      <c r="BH194">
        <v>8</v>
      </c>
      <c r="BI194">
        <v>3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0</v>
      </c>
      <c r="BQ194">
        <v>60</v>
      </c>
      <c r="BR194">
        <v>0</v>
      </c>
      <c r="BS194">
        <v>3</v>
      </c>
      <c r="BT194" t="s">
        <v>243</v>
      </c>
      <c r="BU194" t="s">
        <v>261</v>
      </c>
      <c r="BV194" t="b">
        <v>0</v>
      </c>
      <c r="BW194" t="s">
        <v>262</v>
      </c>
    </row>
    <row r="195" spans="1:75">
      <c r="A195" t="s">
        <v>243</v>
      </c>
      <c r="B195" t="s">
        <v>252</v>
      </c>
      <c r="C195">
        <v>1108</v>
      </c>
      <c r="D195" t="s">
        <v>253</v>
      </c>
      <c r="E195" t="s">
        <v>254</v>
      </c>
      <c r="F195">
        <v>5</v>
      </c>
      <c r="G195" s="13">
        <v>46266.747870370367</v>
      </c>
      <c r="H195" s="13">
        <v>46266.753437500003</v>
      </c>
      <c r="I195">
        <v>481</v>
      </c>
      <c r="J195" t="s">
        <v>264</v>
      </c>
      <c r="K195">
        <v>2</v>
      </c>
      <c r="L195">
        <v>0.08</v>
      </c>
      <c r="M195">
        <v>0.04</v>
      </c>
      <c r="N195">
        <v>2</v>
      </c>
      <c r="O195">
        <v>0.08</v>
      </c>
      <c r="P195">
        <v>24.2</v>
      </c>
      <c r="Q195">
        <v>10.72</v>
      </c>
      <c r="R195">
        <v>-3.76</v>
      </c>
      <c r="S195" t="s">
        <v>263</v>
      </c>
      <c r="T195" t="s">
        <v>256</v>
      </c>
      <c r="U195">
        <v>11</v>
      </c>
      <c r="V195">
        <v>7872.47</v>
      </c>
      <c r="W195">
        <v>4999.32</v>
      </c>
      <c r="X195">
        <v>4975.8</v>
      </c>
      <c r="Y195">
        <v>0</v>
      </c>
      <c r="Z195">
        <v>0</v>
      </c>
      <c r="AA195">
        <v>35</v>
      </c>
      <c r="AB195">
        <v>50</v>
      </c>
      <c r="AC195">
        <v>5000</v>
      </c>
      <c r="AD195">
        <v>0</v>
      </c>
      <c r="AE195">
        <v>0</v>
      </c>
      <c r="AF195">
        <v>7869.31</v>
      </c>
      <c r="AG195">
        <v>7869.31</v>
      </c>
      <c r="AH195" s="14">
        <v>46266</v>
      </c>
      <c r="AI195" t="s">
        <v>258</v>
      </c>
      <c r="AJ195" s="13">
        <v>46262.213402777779</v>
      </c>
      <c r="AK195">
        <v>6066.68</v>
      </c>
      <c r="AL195" t="s">
        <v>259</v>
      </c>
      <c r="AM195" t="s">
        <v>260</v>
      </c>
      <c r="AN195">
        <v>1400</v>
      </c>
      <c r="AO195">
        <v>0</v>
      </c>
      <c r="AP195">
        <v>35</v>
      </c>
      <c r="AQ195">
        <v>85</v>
      </c>
      <c r="AR195">
        <v>35</v>
      </c>
      <c r="AS195">
        <v>2</v>
      </c>
      <c r="AT195">
        <v>23</v>
      </c>
      <c r="AU195">
        <v>1</v>
      </c>
      <c r="AV195">
        <v>0</v>
      </c>
      <c r="AW195">
        <v>10</v>
      </c>
      <c r="AX195">
        <v>1</v>
      </c>
      <c r="AY195">
        <v>10</v>
      </c>
      <c r="AZ195">
        <v>5</v>
      </c>
      <c r="BA195">
        <v>1</v>
      </c>
      <c r="BB195">
        <v>1440</v>
      </c>
      <c r="BC195">
        <v>0</v>
      </c>
      <c r="BD195">
        <v>0</v>
      </c>
      <c r="BE195">
        <v>14</v>
      </c>
      <c r="BF195">
        <v>25</v>
      </c>
      <c r="BG195">
        <v>3</v>
      </c>
      <c r="BH195">
        <v>8</v>
      </c>
      <c r="BI195">
        <v>3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0</v>
      </c>
      <c r="BQ195">
        <v>60</v>
      </c>
      <c r="BR195">
        <v>0</v>
      </c>
      <c r="BS195">
        <v>3</v>
      </c>
      <c r="BT195" t="s">
        <v>243</v>
      </c>
      <c r="BU195" t="s">
        <v>261</v>
      </c>
      <c r="BV195" t="b">
        <v>0</v>
      </c>
      <c r="BW195" t="s">
        <v>262</v>
      </c>
    </row>
    <row r="196" spans="1:75">
      <c r="A196" t="s">
        <v>243</v>
      </c>
      <c r="B196" t="s">
        <v>252</v>
      </c>
      <c r="C196">
        <v>1109</v>
      </c>
      <c r="D196" t="s">
        <v>253</v>
      </c>
      <c r="E196" t="s">
        <v>254</v>
      </c>
      <c r="F196">
        <v>5</v>
      </c>
      <c r="G196" s="13">
        <v>46266.756365740737</v>
      </c>
      <c r="H196" s="13">
        <v>46266.757523148146</v>
      </c>
      <c r="I196">
        <v>100</v>
      </c>
      <c r="J196" t="s">
        <v>255</v>
      </c>
      <c r="K196">
        <v>1</v>
      </c>
      <c r="L196">
        <v>0.04</v>
      </c>
      <c r="M196">
        <v>0.04</v>
      </c>
      <c r="N196">
        <v>1</v>
      </c>
      <c r="O196">
        <v>0.04</v>
      </c>
      <c r="P196">
        <v>3.52</v>
      </c>
      <c r="Q196">
        <v>3.48</v>
      </c>
      <c r="R196">
        <v>3.48</v>
      </c>
      <c r="S196" t="s">
        <v>256</v>
      </c>
      <c r="T196" t="s">
        <v>257</v>
      </c>
      <c r="U196">
        <v>11</v>
      </c>
      <c r="V196">
        <v>7868.63</v>
      </c>
      <c r="W196">
        <v>4999.32</v>
      </c>
      <c r="X196">
        <v>4996.4799999999996</v>
      </c>
      <c r="Y196">
        <v>0</v>
      </c>
      <c r="Z196">
        <v>0</v>
      </c>
      <c r="AA196">
        <v>35</v>
      </c>
      <c r="AB196">
        <v>50</v>
      </c>
      <c r="AC196">
        <v>5000</v>
      </c>
      <c r="AD196">
        <v>0</v>
      </c>
      <c r="AE196">
        <v>0</v>
      </c>
      <c r="AF196">
        <v>7871.39</v>
      </c>
      <c r="AG196">
        <v>7871.39</v>
      </c>
      <c r="AH196" s="14">
        <v>46266</v>
      </c>
      <c r="AI196" t="s">
        <v>258</v>
      </c>
      <c r="AJ196" s="13">
        <v>46262.213402777779</v>
      </c>
      <c r="AK196">
        <v>6066.68</v>
      </c>
      <c r="AL196" t="s">
        <v>259</v>
      </c>
      <c r="AM196" t="s">
        <v>260</v>
      </c>
      <c r="AN196">
        <v>1400</v>
      </c>
      <c r="AO196">
        <v>0</v>
      </c>
      <c r="AP196">
        <v>35</v>
      </c>
      <c r="AQ196">
        <v>85</v>
      </c>
      <c r="AR196">
        <v>35</v>
      </c>
      <c r="AS196">
        <v>2</v>
      </c>
      <c r="AT196">
        <v>23</v>
      </c>
      <c r="AU196">
        <v>1</v>
      </c>
      <c r="AV196">
        <v>0</v>
      </c>
      <c r="AW196">
        <v>10</v>
      </c>
      <c r="AX196">
        <v>1</v>
      </c>
      <c r="AY196">
        <v>10</v>
      </c>
      <c r="AZ196">
        <v>5</v>
      </c>
      <c r="BA196">
        <v>1</v>
      </c>
      <c r="BB196">
        <v>1440</v>
      </c>
      <c r="BC196">
        <v>0</v>
      </c>
      <c r="BD196">
        <v>0</v>
      </c>
      <c r="BE196">
        <v>14</v>
      </c>
      <c r="BF196">
        <v>25</v>
      </c>
      <c r="BG196">
        <v>3</v>
      </c>
      <c r="BH196">
        <v>8</v>
      </c>
      <c r="BI196">
        <v>3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0</v>
      </c>
      <c r="BQ196">
        <v>60</v>
      </c>
      <c r="BR196">
        <v>0</v>
      </c>
      <c r="BS196">
        <v>3</v>
      </c>
      <c r="BT196" t="s">
        <v>243</v>
      </c>
      <c r="BU196" t="s">
        <v>261</v>
      </c>
      <c r="BV196" t="b">
        <v>0</v>
      </c>
      <c r="BW196" t="s">
        <v>262</v>
      </c>
    </row>
    <row r="197" spans="1:75">
      <c r="A197" t="s">
        <v>243</v>
      </c>
      <c r="B197" t="s">
        <v>252</v>
      </c>
      <c r="C197">
        <v>1110</v>
      </c>
      <c r="D197" t="s">
        <v>253</v>
      </c>
      <c r="E197" t="s">
        <v>254</v>
      </c>
      <c r="F197">
        <v>5</v>
      </c>
      <c r="G197" s="13">
        <v>46266.758043981485</v>
      </c>
      <c r="H197" s="13">
        <v>46266.763402777775</v>
      </c>
      <c r="I197">
        <v>463</v>
      </c>
      <c r="J197" t="s">
        <v>255</v>
      </c>
      <c r="K197">
        <v>2</v>
      </c>
      <c r="L197">
        <v>0.08</v>
      </c>
      <c r="M197">
        <v>0.04</v>
      </c>
      <c r="N197">
        <v>2</v>
      </c>
      <c r="O197">
        <v>0.08</v>
      </c>
      <c r="P197">
        <v>24.76</v>
      </c>
      <c r="Q197">
        <v>14.8</v>
      </c>
      <c r="R197">
        <v>9.68</v>
      </c>
      <c r="S197" t="s">
        <v>263</v>
      </c>
      <c r="T197" t="s">
        <v>257</v>
      </c>
      <c r="U197">
        <v>11</v>
      </c>
      <c r="V197">
        <v>7870.75</v>
      </c>
      <c r="W197">
        <v>4999.3599999999997</v>
      </c>
      <c r="X197">
        <v>4975.24</v>
      </c>
      <c r="Y197">
        <v>0</v>
      </c>
      <c r="Z197">
        <v>0</v>
      </c>
      <c r="AA197">
        <v>35</v>
      </c>
      <c r="AB197">
        <v>50</v>
      </c>
      <c r="AC197">
        <v>5000</v>
      </c>
      <c r="AD197">
        <v>0</v>
      </c>
      <c r="AE197">
        <v>0</v>
      </c>
      <c r="AF197">
        <v>7881.47</v>
      </c>
      <c r="AG197">
        <v>7881.47</v>
      </c>
      <c r="AH197" s="14">
        <v>46266</v>
      </c>
      <c r="AI197" t="s">
        <v>258</v>
      </c>
      <c r="AJ197" s="13">
        <v>46262.213402777779</v>
      </c>
      <c r="AK197">
        <v>6066.68</v>
      </c>
      <c r="AL197" t="s">
        <v>259</v>
      </c>
      <c r="AM197" t="s">
        <v>260</v>
      </c>
      <c r="AN197">
        <v>1400</v>
      </c>
      <c r="AO197">
        <v>0</v>
      </c>
      <c r="AP197">
        <v>35</v>
      </c>
      <c r="AQ197">
        <v>85</v>
      </c>
      <c r="AR197">
        <v>35</v>
      </c>
      <c r="AS197">
        <v>2</v>
      </c>
      <c r="AT197">
        <v>23</v>
      </c>
      <c r="AU197">
        <v>1</v>
      </c>
      <c r="AV197">
        <v>0</v>
      </c>
      <c r="AW197">
        <v>10</v>
      </c>
      <c r="AX197">
        <v>1</v>
      </c>
      <c r="AY197">
        <v>10</v>
      </c>
      <c r="AZ197">
        <v>5</v>
      </c>
      <c r="BA197">
        <v>1</v>
      </c>
      <c r="BB197">
        <v>1440</v>
      </c>
      <c r="BC197">
        <v>0</v>
      </c>
      <c r="BD197">
        <v>0</v>
      </c>
      <c r="BE197">
        <v>14</v>
      </c>
      <c r="BF197">
        <v>25</v>
      </c>
      <c r="BG197">
        <v>3</v>
      </c>
      <c r="BH197">
        <v>8</v>
      </c>
      <c r="BI197">
        <v>3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0</v>
      </c>
      <c r="BQ197">
        <v>60</v>
      </c>
      <c r="BR197">
        <v>0</v>
      </c>
      <c r="BS197">
        <v>3</v>
      </c>
      <c r="BT197" t="s">
        <v>243</v>
      </c>
      <c r="BU197" t="s">
        <v>261</v>
      </c>
      <c r="BV197" t="b">
        <v>0</v>
      </c>
      <c r="BW197" t="s">
        <v>262</v>
      </c>
    </row>
    <row r="198" spans="1:75">
      <c r="A198" t="s">
        <v>243</v>
      </c>
      <c r="B198" t="s">
        <v>252</v>
      </c>
      <c r="C198">
        <v>1111</v>
      </c>
      <c r="D198" t="s">
        <v>253</v>
      </c>
      <c r="E198" t="s">
        <v>254</v>
      </c>
      <c r="F198">
        <v>5</v>
      </c>
      <c r="G198" s="13">
        <v>46266.767141203702</v>
      </c>
      <c r="H198" s="13">
        <v>46266.767638888887</v>
      </c>
      <c r="I198">
        <v>43</v>
      </c>
      <c r="J198" t="s">
        <v>264</v>
      </c>
      <c r="K198">
        <v>1</v>
      </c>
      <c r="L198">
        <v>0.04</v>
      </c>
      <c r="M198">
        <v>0.04</v>
      </c>
      <c r="N198">
        <v>1</v>
      </c>
      <c r="O198">
        <v>0.04</v>
      </c>
      <c r="P198">
        <v>2.96</v>
      </c>
      <c r="Q198">
        <v>8.76</v>
      </c>
      <c r="R198">
        <v>7.92</v>
      </c>
      <c r="S198" t="s">
        <v>256</v>
      </c>
      <c r="T198" t="s">
        <v>257</v>
      </c>
      <c r="U198">
        <v>10</v>
      </c>
      <c r="V198">
        <v>7880.83</v>
      </c>
      <c r="W198">
        <v>4999.3599999999997</v>
      </c>
      <c r="X198">
        <v>4997.04</v>
      </c>
      <c r="Y198">
        <v>0</v>
      </c>
      <c r="Z198">
        <v>0</v>
      </c>
      <c r="AA198">
        <v>35</v>
      </c>
      <c r="AB198">
        <v>50</v>
      </c>
      <c r="AC198">
        <v>5000</v>
      </c>
      <c r="AD198">
        <v>0</v>
      </c>
      <c r="AE198">
        <v>0</v>
      </c>
      <c r="AF198">
        <v>7888.79</v>
      </c>
      <c r="AG198">
        <v>7888.79</v>
      </c>
      <c r="AH198" s="14">
        <v>46266</v>
      </c>
      <c r="AI198" t="s">
        <v>258</v>
      </c>
      <c r="AJ198" s="13">
        <v>46262.213402777779</v>
      </c>
      <c r="AK198">
        <v>6066.68</v>
      </c>
      <c r="AL198" t="s">
        <v>259</v>
      </c>
      <c r="AM198" t="s">
        <v>260</v>
      </c>
      <c r="AN198">
        <v>1400</v>
      </c>
      <c r="AO198">
        <v>0</v>
      </c>
      <c r="AP198">
        <v>35</v>
      </c>
      <c r="AQ198">
        <v>85</v>
      </c>
      <c r="AR198">
        <v>35</v>
      </c>
      <c r="AS198">
        <v>2</v>
      </c>
      <c r="AT198">
        <v>23</v>
      </c>
      <c r="AU198">
        <v>1</v>
      </c>
      <c r="AV198">
        <v>0</v>
      </c>
      <c r="AW198">
        <v>10</v>
      </c>
      <c r="AX198">
        <v>1</v>
      </c>
      <c r="AY198">
        <v>10</v>
      </c>
      <c r="AZ198">
        <v>5</v>
      </c>
      <c r="BA198">
        <v>1</v>
      </c>
      <c r="BB198">
        <v>1440</v>
      </c>
      <c r="BC198">
        <v>0</v>
      </c>
      <c r="BD198">
        <v>0</v>
      </c>
      <c r="BE198">
        <v>14</v>
      </c>
      <c r="BF198">
        <v>25</v>
      </c>
      <c r="BG198">
        <v>3</v>
      </c>
      <c r="BH198">
        <v>8</v>
      </c>
      <c r="BI198">
        <v>3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0</v>
      </c>
      <c r="BQ198">
        <v>60</v>
      </c>
      <c r="BR198">
        <v>0</v>
      </c>
      <c r="BS198">
        <v>3</v>
      </c>
      <c r="BT198" t="s">
        <v>243</v>
      </c>
      <c r="BU198" t="s">
        <v>261</v>
      </c>
      <c r="BV198" t="b">
        <v>0</v>
      </c>
      <c r="BW198" t="s">
        <v>262</v>
      </c>
    </row>
    <row r="199" spans="1:75">
      <c r="A199" t="s">
        <v>243</v>
      </c>
      <c r="B199" t="s">
        <v>252</v>
      </c>
      <c r="C199">
        <v>1112</v>
      </c>
      <c r="D199" t="s">
        <v>253</v>
      </c>
      <c r="E199" t="s">
        <v>254</v>
      </c>
      <c r="F199">
        <v>5</v>
      </c>
      <c r="G199" s="13">
        <v>46266.769953703704</v>
      </c>
      <c r="H199" s="13">
        <v>46266.770277777781</v>
      </c>
      <c r="I199">
        <v>28</v>
      </c>
      <c r="J199" t="s">
        <v>255</v>
      </c>
      <c r="K199">
        <v>1</v>
      </c>
      <c r="L199">
        <v>0.04</v>
      </c>
      <c r="M199">
        <v>0.04</v>
      </c>
      <c r="N199">
        <v>1</v>
      </c>
      <c r="O199">
        <v>0.04</v>
      </c>
      <c r="P199">
        <v>0.64</v>
      </c>
      <c r="Q199">
        <v>5.72</v>
      </c>
      <c r="R199">
        <v>5.72</v>
      </c>
      <c r="S199" t="s">
        <v>256</v>
      </c>
      <c r="T199" t="s">
        <v>257</v>
      </c>
      <c r="U199">
        <v>11</v>
      </c>
      <c r="V199">
        <v>7888.15</v>
      </c>
      <c r="W199">
        <v>4999.3599999999997</v>
      </c>
      <c r="X199">
        <v>4999.3599999999997</v>
      </c>
      <c r="Y199">
        <v>0</v>
      </c>
      <c r="Z199">
        <v>0</v>
      </c>
      <c r="AA199">
        <v>35</v>
      </c>
      <c r="AB199">
        <v>50</v>
      </c>
      <c r="AC199">
        <v>5000</v>
      </c>
      <c r="AD199">
        <v>0</v>
      </c>
      <c r="AE199">
        <v>0</v>
      </c>
      <c r="AF199">
        <v>7893.11</v>
      </c>
      <c r="AG199">
        <v>7893.11</v>
      </c>
      <c r="AH199" s="14">
        <v>46266</v>
      </c>
      <c r="AI199" t="s">
        <v>258</v>
      </c>
      <c r="AJ199" s="13">
        <v>46262.213402777779</v>
      </c>
      <c r="AK199">
        <v>6066.68</v>
      </c>
      <c r="AL199" t="s">
        <v>259</v>
      </c>
      <c r="AM199" t="s">
        <v>260</v>
      </c>
      <c r="AN199">
        <v>1400</v>
      </c>
      <c r="AO199">
        <v>0</v>
      </c>
      <c r="AP199">
        <v>35</v>
      </c>
      <c r="AQ199">
        <v>85</v>
      </c>
      <c r="AR199">
        <v>35</v>
      </c>
      <c r="AS199">
        <v>2</v>
      </c>
      <c r="AT199">
        <v>23</v>
      </c>
      <c r="AU199">
        <v>1</v>
      </c>
      <c r="AV199">
        <v>0</v>
      </c>
      <c r="AW199">
        <v>10</v>
      </c>
      <c r="AX199">
        <v>1</v>
      </c>
      <c r="AY199">
        <v>10</v>
      </c>
      <c r="AZ199">
        <v>5</v>
      </c>
      <c r="BA199">
        <v>1</v>
      </c>
      <c r="BB199">
        <v>1440</v>
      </c>
      <c r="BC199">
        <v>0</v>
      </c>
      <c r="BD199">
        <v>0</v>
      </c>
      <c r="BE199">
        <v>14</v>
      </c>
      <c r="BF199">
        <v>25</v>
      </c>
      <c r="BG199">
        <v>3</v>
      </c>
      <c r="BH199">
        <v>8</v>
      </c>
      <c r="BI199">
        <v>3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0</v>
      </c>
      <c r="BQ199">
        <v>60</v>
      </c>
      <c r="BR199">
        <v>0</v>
      </c>
      <c r="BS199">
        <v>3</v>
      </c>
      <c r="BT199" t="s">
        <v>243</v>
      </c>
      <c r="BU199" t="s">
        <v>261</v>
      </c>
      <c r="BV199" t="b">
        <v>0</v>
      </c>
      <c r="BW199" t="s">
        <v>262</v>
      </c>
    </row>
    <row r="200" spans="1:75">
      <c r="A200" t="s">
        <v>243</v>
      </c>
      <c r="B200" t="s">
        <v>252</v>
      </c>
      <c r="C200">
        <v>1113</v>
      </c>
      <c r="D200" t="s">
        <v>253</v>
      </c>
      <c r="E200" t="s">
        <v>254</v>
      </c>
      <c r="F200">
        <v>5</v>
      </c>
      <c r="G200" s="13">
        <v>46266.77202546296</v>
      </c>
      <c r="H200" s="13">
        <v>46266.774606481478</v>
      </c>
      <c r="I200">
        <v>223</v>
      </c>
      <c r="J200" t="s">
        <v>264</v>
      </c>
      <c r="K200">
        <v>1</v>
      </c>
      <c r="L200">
        <v>0.04</v>
      </c>
      <c r="M200">
        <v>0.04</v>
      </c>
      <c r="N200">
        <v>1</v>
      </c>
      <c r="O200">
        <v>0.04</v>
      </c>
      <c r="P200">
        <v>10.52</v>
      </c>
      <c r="Q200">
        <v>3.2</v>
      </c>
      <c r="R200">
        <v>3.2</v>
      </c>
      <c r="S200" t="s">
        <v>256</v>
      </c>
      <c r="T200" t="s">
        <v>257</v>
      </c>
      <c r="U200">
        <v>11</v>
      </c>
      <c r="V200">
        <v>7892.43</v>
      </c>
      <c r="W200">
        <v>4999.32</v>
      </c>
      <c r="X200">
        <v>4989.4799999999996</v>
      </c>
      <c r="Y200">
        <v>0</v>
      </c>
      <c r="Z200">
        <v>0</v>
      </c>
      <c r="AA200">
        <v>35</v>
      </c>
      <c r="AB200">
        <v>50</v>
      </c>
      <c r="AC200">
        <v>5000</v>
      </c>
      <c r="AD200">
        <v>0</v>
      </c>
      <c r="AE200">
        <v>0</v>
      </c>
      <c r="AF200">
        <v>7894.91</v>
      </c>
      <c r="AG200">
        <v>7894.91</v>
      </c>
      <c r="AH200" s="14">
        <v>46266</v>
      </c>
      <c r="AI200" t="s">
        <v>258</v>
      </c>
      <c r="AJ200" s="13">
        <v>46262.213402777779</v>
      </c>
      <c r="AK200">
        <v>6066.68</v>
      </c>
      <c r="AL200" t="s">
        <v>259</v>
      </c>
      <c r="AM200" t="s">
        <v>260</v>
      </c>
      <c r="AN200">
        <v>1400</v>
      </c>
      <c r="AO200">
        <v>0</v>
      </c>
      <c r="AP200">
        <v>35</v>
      </c>
      <c r="AQ200">
        <v>85</v>
      </c>
      <c r="AR200">
        <v>35</v>
      </c>
      <c r="AS200">
        <v>2</v>
      </c>
      <c r="AT200">
        <v>23</v>
      </c>
      <c r="AU200">
        <v>1</v>
      </c>
      <c r="AV200">
        <v>0</v>
      </c>
      <c r="AW200">
        <v>10</v>
      </c>
      <c r="AX200">
        <v>1</v>
      </c>
      <c r="AY200">
        <v>10</v>
      </c>
      <c r="AZ200">
        <v>5</v>
      </c>
      <c r="BA200">
        <v>1</v>
      </c>
      <c r="BB200">
        <v>1440</v>
      </c>
      <c r="BC200">
        <v>0</v>
      </c>
      <c r="BD200">
        <v>0</v>
      </c>
      <c r="BE200">
        <v>14</v>
      </c>
      <c r="BF200">
        <v>25</v>
      </c>
      <c r="BG200">
        <v>3</v>
      </c>
      <c r="BH200">
        <v>8</v>
      </c>
      <c r="BI200">
        <v>3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0</v>
      </c>
      <c r="BQ200">
        <v>60</v>
      </c>
      <c r="BR200">
        <v>0</v>
      </c>
      <c r="BS200">
        <v>3</v>
      </c>
      <c r="BT200" t="s">
        <v>243</v>
      </c>
      <c r="BU200" t="s">
        <v>261</v>
      </c>
      <c r="BV200" t="b">
        <v>0</v>
      </c>
      <c r="BW200" t="s">
        <v>262</v>
      </c>
    </row>
    <row r="201" spans="1:75">
      <c r="A201" t="s">
        <v>243</v>
      </c>
      <c r="B201" t="s">
        <v>252</v>
      </c>
      <c r="C201">
        <v>1114</v>
      </c>
      <c r="D201" t="s">
        <v>253</v>
      </c>
      <c r="E201" t="s">
        <v>254</v>
      </c>
      <c r="F201">
        <v>5</v>
      </c>
      <c r="G201" s="13">
        <v>46266.776423611111</v>
      </c>
      <c r="H201" s="13">
        <v>46266.776759259257</v>
      </c>
      <c r="I201">
        <v>29</v>
      </c>
      <c r="J201" t="s">
        <v>255</v>
      </c>
      <c r="K201">
        <v>1</v>
      </c>
      <c r="L201">
        <v>0.04</v>
      </c>
      <c r="M201">
        <v>0.04</v>
      </c>
      <c r="N201">
        <v>1</v>
      </c>
      <c r="O201">
        <v>0.04</v>
      </c>
      <c r="P201">
        <v>0.68</v>
      </c>
      <c r="Q201">
        <v>4</v>
      </c>
      <c r="R201">
        <v>3.96</v>
      </c>
      <c r="S201" t="s">
        <v>256</v>
      </c>
      <c r="T201" t="s">
        <v>257</v>
      </c>
      <c r="U201">
        <v>10</v>
      </c>
      <c r="V201">
        <v>7894.23</v>
      </c>
      <c r="W201">
        <v>4999.32</v>
      </c>
      <c r="X201">
        <v>4999.32</v>
      </c>
      <c r="Y201">
        <v>0</v>
      </c>
      <c r="Z201">
        <v>0</v>
      </c>
      <c r="AA201">
        <v>35</v>
      </c>
      <c r="AB201">
        <v>50</v>
      </c>
      <c r="AC201">
        <v>5000</v>
      </c>
      <c r="AD201">
        <v>0</v>
      </c>
      <c r="AE201">
        <v>0</v>
      </c>
      <c r="AF201">
        <v>7897.51</v>
      </c>
      <c r="AG201">
        <v>7897.51</v>
      </c>
      <c r="AH201" s="14">
        <v>46266</v>
      </c>
      <c r="AI201" t="s">
        <v>258</v>
      </c>
      <c r="AJ201" s="13">
        <v>46262.213402777779</v>
      </c>
      <c r="AK201">
        <v>6066.68</v>
      </c>
      <c r="AL201" t="s">
        <v>259</v>
      </c>
      <c r="AM201" t="s">
        <v>260</v>
      </c>
      <c r="AN201">
        <v>1400</v>
      </c>
      <c r="AO201">
        <v>0</v>
      </c>
      <c r="AP201">
        <v>35</v>
      </c>
      <c r="AQ201">
        <v>85</v>
      </c>
      <c r="AR201">
        <v>35</v>
      </c>
      <c r="AS201">
        <v>2</v>
      </c>
      <c r="AT201">
        <v>23</v>
      </c>
      <c r="AU201">
        <v>1</v>
      </c>
      <c r="AV201">
        <v>0</v>
      </c>
      <c r="AW201">
        <v>10</v>
      </c>
      <c r="AX201">
        <v>1</v>
      </c>
      <c r="AY201">
        <v>10</v>
      </c>
      <c r="AZ201">
        <v>5</v>
      </c>
      <c r="BA201">
        <v>1</v>
      </c>
      <c r="BB201">
        <v>1440</v>
      </c>
      <c r="BC201">
        <v>0</v>
      </c>
      <c r="BD201">
        <v>0</v>
      </c>
      <c r="BE201">
        <v>14</v>
      </c>
      <c r="BF201">
        <v>25</v>
      </c>
      <c r="BG201">
        <v>3</v>
      </c>
      <c r="BH201">
        <v>8</v>
      </c>
      <c r="BI201">
        <v>3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0</v>
      </c>
      <c r="BQ201">
        <v>60</v>
      </c>
      <c r="BR201">
        <v>0</v>
      </c>
      <c r="BS201">
        <v>3</v>
      </c>
      <c r="BT201" t="s">
        <v>243</v>
      </c>
      <c r="BU201" t="s">
        <v>261</v>
      </c>
      <c r="BV201" t="b">
        <v>0</v>
      </c>
      <c r="BW201" t="s">
        <v>262</v>
      </c>
    </row>
    <row r="202" spans="1:75">
      <c r="A202" t="s">
        <v>243</v>
      </c>
      <c r="B202" t="s">
        <v>252</v>
      </c>
      <c r="C202">
        <v>1115</v>
      </c>
      <c r="D202" t="s">
        <v>253</v>
      </c>
      <c r="E202" t="s">
        <v>254</v>
      </c>
      <c r="F202">
        <v>5</v>
      </c>
      <c r="G202" s="13">
        <v>46266.778796296298</v>
      </c>
      <c r="H202" s="13">
        <v>46266.780381944445</v>
      </c>
      <c r="I202">
        <v>137</v>
      </c>
      <c r="J202" t="s">
        <v>255</v>
      </c>
      <c r="K202">
        <v>1</v>
      </c>
      <c r="L202">
        <v>0.04</v>
      </c>
      <c r="M202">
        <v>0.04</v>
      </c>
      <c r="N202">
        <v>1</v>
      </c>
      <c r="O202">
        <v>0.04</v>
      </c>
      <c r="P202">
        <v>8.44</v>
      </c>
      <c r="Q202">
        <v>4.2</v>
      </c>
      <c r="R202">
        <v>4.2</v>
      </c>
      <c r="S202" t="s">
        <v>256</v>
      </c>
      <c r="T202" t="s">
        <v>257</v>
      </c>
      <c r="U202">
        <v>11</v>
      </c>
      <c r="V202">
        <v>7896.87</v>
      </c>
      <c r="W202">
        <v>4999.3599999999997</v>
      </c>
      <c r="X202">
        <v>4991.5600000000004</v>
      </c>
      <c r="Y202">
        <v>0</v>
      </c>
      <c r="Z202">
        <v>0</v>
      </c>
      <c r="AA202">
        <v>35</v>
      </c>
      <c r="AB202">
        <v>50</v>
      </c>
      <c r="AC202">
        <v>5000</v>
      </c>
      <c r="AD202">
        <v>0</v>
      </c>
      <c r="AE202">
        <v>0</v>
      </c>
      <c r="AF202">
        <v>7900.31</v>
      </c>
      <c r="AG202">
        <v>7900.31</v>
      </c>
      <c r="AH202" s="14">
        <v>46266</v>
      </c>
      <c r="AI202" t="s">
        <v>258</v>
      </c>
      <c r="AJ202" s="13">
        <v>46262.213402777779</v>
      </c>
      <c r="AK202">
        <v>6066.68</v>
      </c>
      <c r="AL202" t="s">
        <v>259</v>
      </c>
      <c r="AM202" t="s">
        <v>260</v>
      </c>
      <c r="AN202">
        <v>1400</v>
      </c>
      <c r="AO202">
        <v>0</v>
      </c>
      <c r="AP202">
        <v>35</v>
      </c>
      <c r="AQ202">
        <v>85</v>
      </c>
      <c r="AR202">
        <v>35</v>
      </c>
      <c r="AS202">
        <v>2</v>
      </c>
      <c r="AT202">
        <v>23</v>
      </c>
      <c r="AU202">
        <v>1</v>
      </c>
      <c r="AV202">
        <v>0</v>
      </c>
      <c r="AW202">
        <v>10</v>
      </c>
      <c r="AX202">
        <v>1</v>
      </c>
      <c r="AY202">
        <v>10</v>
      </c>
      <c r="AZ202">
        <v>5</v>
      </c>
      <c r="BA202">
        <v>1</v>
      </c>
      <c r="BB202">
        <v>1440</v>
      </c>
      <c r="BC202">
        <v>0</v>
      </c>
      <c r="BD202">
        <v>0</v>
      </c>
      <c r="BE202">
        <v>14</v>
      </c>
      <c r="BF202">
        <v>25</v>
      </c>
      <c r="BG202">
        <v>3</v>
      </c>
      <c r="BH202">
        <v>8</v>
      </c>
      <c r="BI202">
        <v>3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0</v>
      </c>
      <c r="BQ202">
        <v>60</v>
      </c>
      <c r="BR202">
        <v>0</v>
      </c>
      <c r="BS202">
        <v>3</v>
      </c>
      <c r="BT202" t="s">
        <v>243</v>
      </c>
      <c r="BU202" t="s">
        <v>261</v>
      </c>
      <c r="BV202" t="b">
        <v>0</v>
      </c>
      <c r="BW202" t="s">
        <v>262</v>
      </c>
    </row>
    <row r="203" spans="1:75">
      <c r="A203" t="s">
        <v>243</v>
      </c>
      <c r="B203" t="s">
        <v>252</v>
      </c>
      <c r="C203">
        <v>1116</v>
      </c>
      <c r="D203" t="s">
        <v>253</v>
      </c>
      <c r="E203" t="s">
        <v>254</v>
      </c>
      <c r="F203">
        <v>5</v>
      </c>
      <c r="G203" s="13">
        <v>46266.788090277776</v>
      </c>
      <c r="H203" s="13">
        <v>46266.792268518519</v>
      </c>
      <c r="I203">
        <v>361</v>
      </c>
      <c r="J203" t="s">
        <v>255</v>
      </c>
      <c r="K203">
        <v>1</v>
      </c>
      <c r="L203">
        <v>0.04</v>
      </c>
      <c r="M203">
        <v>0.04</v>
      </c>
      <c r="N203">
        <v>1</v>
      </c>
      <c r="O203">
        <v>0.04</v>
      </c>
      <c r="P203">
        <v>10.56</v>
      </c>
      <c r="Q203">
        <v>6.48</v>
      </c>
      <c r="R203">
        <v>5.88</v>
      </c>
      <c r="S203" t="s">
        <v>256</v>
      </c>
      <c r="T203" t="s">
        <v>257</v>
      </c>
      <c r="U203">
        <v>10</v>
      </c>
      <c r="V203">
        <v>7899.67</v>
      </c>
      <c r="W203">
        <v>4999.3599999999997</v>
      </c>
      <c r="X203">
        <v>4989.4399999999996</v>
      </c>
      <c r="Y203">
        <v>0</v>
      </c>
      <c r="Z203">
        <v>0</v>
      </c>
      <c r="AA203">
        <v>35</v>
      </c>
      <c r="AB203">
        <v>50</v>
      </c>
      <c r="AC203">
        <v>5000</v>
      </c>
      <c r="AD203">
        <v>0</v>
      </c>
      <c r="AE203">
        <v>0</v>
      </c>
      <c r="AF203">
        <v>7905.39</v>
      </c>
      <c r="AG203">
        <v>7905.39</v>
      </c>
      <c r="AH203" s="14">
        <v>46266</v>
      </c>
      <c r="AI203" t="s">
        <v>258</v>
      </c>
      <c r="AJ203" s="13">
        <v>46262.213402777779</v>
      </c>
      <c r="AK203">
        <v>6066.68</v>
      </c>
      <c r="AL203" t="s">
        <v>259</v>
      </c>
      <c r="AM203" t="s">
        <v>260</v>
      </c>
      <c r="AN203">
        <v>1400</v>
      </c>
      <c r="AO203">
        <v>0</v>
      </c>
      <c r="AP203">
        <v>35</v>
      </c>
      <c r="AQ203">
        <v>85</v>
      </c>
      <c r="AR203">
        <v>35</v>
      </c>
      <c r="AS203">
        <v>2</v>
      </c>
      <c r="AT203">
        <v>23</v>
      </c>
      <c r="AU203">
        <v>1</v>
      </c>
      <c r="AV203">
        <v>0</v>
      </c>
      <c r="AW203">
        <v>10</v>
      </c>
      <c r="AX203">
        <v>1</v>
      </c>
      <c r="AY203">
        <v>10</v>
      </c>
      <c r="AZ203">
        <v>5</v>
      </c>
      <c r="BA203">
        <v>1</v>
      </c>
      <c r="BB203">
        <v>1440</v>
      </c>
      <c r="BC203">
        <v>0</v>
      </c>
      <c r="BD203">
        <v>0</v>
      </c>
      <c r="BE203">
        <v>14</v>
      </c>
      <c r="BF203">
        <v>25</v>
      </c>
      <c r="BG203">
        <v>3</v>
      </c>
      <c r="BH203">
        <v>8</v>
      </c>
      <c r="BI203">
        <v>3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0</v>
      </c>
      <c r="BQ203">
        <v>60</v>
      </c>
      <c r="BR203">
        <v>0</v>
      </c>
      <c r="BS203">
        <v>3</v>
      </c>
      <c r="BT203" t="s">
        <v>243</v>
      </c>
      <c r="BU203" t="s">
        <v>261</v>
      </c>
      <c r="BV203" t="b">
        <v>0</v>
      </c>
      <c r="BW203" t="s">
        <v>262</v>
      </c>
    </row>
    <row r="204" spans="1:75">
      <c r="A204" t="s">
        <v>243</v>
      </c>
      <c r="B204" t="s">
        <v>252</v>
      </c>
      <c r="C204">
        <v>1117</v>
      </c>
      <c r="D204" t="s">
        <v>253</v>
      </c>
      <c r="E204" t="s">
        <v>254</v>
      </c>
      <c r="F204">
        <v>5</v>
      </c>
      <c r="G204" s="13">
        <v>46266.7965625</v>
      </c>
      <c r="H204" s="13">
        <v>46266.79892361111</v>
      </c>
      <c r="I204">
        <v>204</v>
      </c>
      <c r="J204" t="s">
        <v>264</v>
      </c>
      <c r="K204">
        <v>1</v>
      </c>
      <c r="L204">
        <v>0.04</v>
      </c>
      <c r="M204">
        <v>0.04</v>
      </c>
      <c r="N204">
        <v>1</v>
      </c>
      <c r="O204">
        <v>0.04</v>
      </c>
      <c r="P204">
        <v>7.44</v>
      </c>
      <c r="Q204">
        <v>6.96</v>
      </c>
      <c r="R204">
        <v>6.12</v>
      </c>
      <c r="S204" t="s">
        <v>256</v>
      </c>
      <c r="T204" t="s">
        <v>257</v>
      </c>
      <c r="U204">
        <v>10</v>
      </c>
      <c r="V204">
        <v>7904.71</v>
      </c>
      <c r="W204">
        <v>4999.32</v>
      </c>
      <c r="X204">
        <v>4992.5600000000004</v>
      </c>
      <c r="Y204">
        <v>0</v>
      </c>
      <c r="Z204">
        <v>0</v>
      </c>
      <c r="AA204">
        <v>35</v>
      </c>
      <c r="AB204">
        <v>50</v>
      </c>
      <c r="AC204">
        <v>5000</v>
      </c>
      <c r="AD204">
        <v>0</v>
      </c>
      <c r="AE204">
        <v>0</v>
      </c>
      <c r="AF204">
        <v>7910.95</v>
      </c>
      <c r="AG204">
        <v>7910.95</v>
      </c>
      <c r="AH204" s="14">
        <v>46266</v>
      </c>
      <c r="AI204" t="s">
        <v>258</v>
      </c>
      <c r="AJ204" s="13">
        <v>46262.213402777779</v>
      </c>
      <c r="AK204">
        <v>6066.68</v>
      </c>
      <c r="AL204" t="s">
        <v>259</v>
      </c>
      <c r="AM204" t="s">
        <v>260</v>
      </c>
      <c r="AN204">
        <v>1400</v>
      </c>
      <c r="AO204">
        <v>0</v>
      </c>
      <c r="AP204">
        <v>35</v>
      </c>
      <c r="AQ204">
        <v>85</v>
      </c>
      <c r="AR204">
        <v>35</v>
      </c>
      <c r="AS204">
        <v>2</v>
      </c>
      <c r="AT204">
        <v>23</v>
      </c>
      <c r="AU204">
        <v>1</v>
      </c>
      <c r="AV204">
        <v>0</v>
      </c>
      <c r="AW204">
        <v>10</v>
      </c>
      <c r="AX204">
        <v>1</v>
      </c>
      <c r="AY204">
        <v>10</v>
      </c>
      <c r="AZ204">
        <v>5</v>
      </c>
      <c r="BA204">
        <v>1</v>
      </c>
      <c r="BB204">
        <v>1440</v>
      </c>
      <c r="BC204">
        <v>0</v>
      </c>
      <c r="BD204">
        <v>0</v>
      </c>
      <c r="BE204">
        <v>14</v>
      </c>
      <c r="BF204">
        <v>25</v>
      </c>
      <c r="BG204">
        <v>3</v>
      </c>
      <c r="BH204">
        <v>8</v>
      </c>
      <c r="BI204">
        <v>3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0</v>
      </c>
      <c r="BQ204">
        <v>60</v>
      </c>
      <c r="BR204">
        <v>0</v>
      </c>
      <c r="BS204">
        <v>3</v>
      </c>
      <c r="BT204" t="s">
        <v>243</v>
      </c>
      <c r="BU204" t="s">
        <v>261</v>
      </c>
      <c r="BV204" t="b">
        <v>0</v>
      </c>
      <c r="BW204" t="s">
        <v>262</v>
      </c>
    </row>
    <row r="205" spans="1:75">
      <c r="A205" t="s">
        <v>243</v>
      </c>
      <c r="B205" t="s">
        <v>252</v>
      </c>
      <c r="C205">
        <v>1118</v>
      </c>
      <c r="D205" t="s">
        <v>253</v>
      </c>
      <c r="E205" t="s">
        <v>254</v>
      </c>
      <c r="F205">
        <v>5</v>
      </c>
      <c r="G205" s="13">
        <v>46266.799976851849</v>
      </c>
      <c r="H205" s="13">
        <v>46266.801782407405</v>
      </c>
      <c r="I205">
        <v>156</v>
      </c>
      <c r="J205" t="s">
        <v>264</v>
      </c>
      <c r="K205">
        <v>1</v>
      </c>
      <c r="L205">
        <v>0.04</v>
      </c>
      <c r="M205">
        <v>0.04</v>
      </c>
      <c r="N205">
        <v>1</v>
      </c>
      <c r="O205">
        <v>0.04</v>
      </c>
      <c r="P205">
        <v>6.08</v>
      </c>
      <c r="Q205">
        <v>4.92</v>
      </c>
      <c r="R205">
        <v>4.92</v>
      </c>
      <c r="S205" t="s">
        <v>256</v>
      </c>
      <c r="T205" t="s">
        <v>257</v>
      </c>
      <c r="U205">
        <v>11</v>
      </c>
      <c r="V205">
        <v>7910.31</v>
      </c>
      <c r="W205">
        <v>4999.3599999999997</v>
      </c>
      <c r="X205">
        <v>4993.92</v>
      </c>
      <c r="Y205">
        <v>0</v>
      </c>
      <c r="Z205">
        <v>0</v>
      </c>
      <c r="AA205">
        <v>35</v>
      </c>
      <c r="AB205">
        <v>50</v>
      </c>
      <c r="AC205">
        <v>5000</v>
      </c>
      <c r="AD205">
        <v>0</v>
      </c>
      <c r="AE205">
        <v>0</v>
      </c>
      <c r="AF205">
        <v>7914.47</v>
      </c>
      <c r="AG205">
        <v>7914.47</v>
      </c>
      <c r="AH205" s="14">
        <v>46266</v>
      </c>
      <c r="AI205" t="s">
        <v>258</v>
      </c>
      <c r="AJ205" s="13">
        <v>46262.213402777779</v>
      </c>
      <c r="AK205">
        <v>6066.68</v>
      </c>
      <c r="AL205" t="s">
        <v>259</v>
      </c>
      <c r="AM205" t="s">
        <v>260</v>
      </c>
      <c r="AN205">
        <v>1400</v>
      </c>
      <c r="AO205">
        <v>0</v>
      </c>
      <c r="AP205">
        <v>35</v>
      </c>
      <c r="AQ205">
        <v>85</v>
      </c>
      <c r="AR205">
        <v>35</v>
      </c>
      <c r="AS205">
        <v>2</v>
      </c>
      <c r="AT205">
        <v>23</v>
      </c>
      <c r="AU205">
        <v>1</v>
      </c>
      <c r="AV205">
        <v>0</v>
      </c>
      <c r="AW205">
        <v>10</v>
      </c>
      <c r="AX205">
        <v>1</v>
      </c>
      <c r="AY205">
        <v>10</v>
      </c>
      <c r="AZ205">
        <v>5</v>
      </c>
      <c r="BA205">
        <v>1</v>
      </c>
      <c r="BB205">
        <v>1440</v>
      </c>
      <c r="BC205">
        <v>0</v>
      </c>
      <c r="BD205">
        <v>0</v>
      </c>
      <c r="BE205">
        <v>14</v>
      </c>
      <c r="BF205">
        <v>25</v>
      </c>
      <c r="BG205">
        <v>3</v>
      </c>
      <c r="BH205">
        <v>8</v>
      </c>
      <c r="BI205">
        <v>3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0</v>
      </c>
      <c r="BQ205">
        <v>60</v>
      </c>
      <c r="BR205">
        <v>0</v>
      </c>
      <c r="BS205">
        <v>3</v>
      </c>
      <c r="BT205" t="s">
        <v>243</v>
      </c>
      <c r="BU205" t="s">
        <v>261</v>
      </c>
      <c r="BV205" t="b">
        <v>0</v>
      </c>
      <c r="BW205" t="s">
        <v>262</v>
      </c>
    </row>
    <row r="206" spans="1:75">
      <c r="A206" t="s">
        <v>243</v>
      </c>
      <c r="B206" t="s">
        <v>252</v>
      </c>
      <c r="C206">
        <v>1119</v>
      </c>
      <c r="D206" t="s">
        <v>253</v>
      </c>
      <c r="E206" t="s">
        <v>254</v>
      </c>
      <c r="F206">
        <v>5</v>
      </c>
      <c r="G206" s="13">
        <v>46266.803842592592</v>
      </c>
      <c r="H206" s="13">
        <v>46266.804606481484</v>
      </c>
      <c r="I206">
        <v>66</v>
      </c>
      <c r="J206" t="s">
        <v>264</v>
      </c>
      <c r="K206">
        <v>1</v>
      </c>
      <c r="L206">
        <v>0.04</v>
      </c>
      <c r="M206">
        <v>0.04</v>
      </c>
      <c r="N206">
        <v>1</v>
      </c>
      <c r="O206">
        <v>0.04</v>
      </c>
      <c r="P206">
        <v>0.68</v>
      </c>
      <c r="Q206">
        <v>4.4400000000000004</v>
      </c>
      <c r="R206">
        <v>4.4400000000000004</v>
      </c>
      <c r="S206" t="s">
        <v>256</v>
      </c>
      <c r="T206" t="s">
        <v>257</v>
      </c>
      <c r="U206">
        <v>11</v>
      </c>
      <c r="V206">
        <v>7913.79</v>
      </c>
      <c r="W206">
        <v>4999.32</v>
      </c>
      <c r="X206">
        <v>4999.32</v>
      </c>
      <c r="Y206">
        <v>0</v>
      </c>
      <c r="Z206">
        <v>0</v>
      </c>
      <c r="AA206">
        <v>35</v>
      </c>
      <c r="AB206">
        <v>50</v>
      </c>
      <c r="AC206">
        <v>5000</v>
      </c>
      <c r="AD206">
        <v>0</v>
      </c>
      <c r="AE206">
        <v>0</v>
      </c>
      <c r="AF206">
        <v>7917.47</v>
      </c>
      <c r="AG206">
        <v>7917.47</v>
      </c>
      <c r="AH206" s="14">
        <v>46266</v>
      </c>
      <c r="AI206" t="s">
        <v>258</v>
      </c>
      <c r="AJ206" s="13">
        <v>46262.213402777779</v>
      </c>
      <c r="AK206">
        <v>6066.68</v>
      </c>
      <c r="AL206" t="s">
        <v>259</v>
      </c>
      <c r="AM206" t="s">
        <v>260</v>
      </c>
      <c r="AN206">
        <v>1400</v>
      </c>
      <c r="AO206">
        <v>0</v>
      </c>
      <c r="AP206">
        <v>35</v>
      </c>
      <c r="AQ206">
        <v>85</v>
      </c>
      <c r="AR206">
        <v>35</v>
      </c>
      <c r="AS206">
        <v>2</v>
      </c>
      <c r="AT206">
        <v>23</v>
      </c>
      <c r="AU206">
        <v>1</v>
      </c>
      <c r="AV206">
        <v>0</v>
      </c>
      <c r="AW206">
        <v>10</v>
      </c>
      <c r="AX206">
        <v>1</v>
      </c>
      <c r="AY206">
        <v>10</v>
      </c>
      <c r="AZ206">
        <v>5</v>
      </c>
      <c r="BA206">
        <v>1</v>
      </c>
      <c r="BB206">
        <v>1440</v>
      </c>
      <c r="BC206">
        <v>0</v>
      </c>
      <c r="BD206">
        <v>0</v>
      </c>
      <c r="BE206">
        <v>14</v>
      </c>
      <c r="BF206">
        <v>25</v>
      </c>
      <c r="BG206">
        <v>3</v>
      </c>
      <c r="BH206">
        <v>8</v>
      </c>
      <c r="BI206">
        <v>3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0</v>
      </c>
      <c r="BQ206">
        <v>60</v>
      </c>
      <c r="BR206">
        <v>0</v>
      </c>
      <c r="BS206">
        <v>3</v>
      </c>
      <c r="BT206" t="s">
        <v>243</v>
      </c>
      <c r="BU206" t="s">
        <v>261</v>
      </c>
      <c r="BV206" t="b">
        <v>0</v>
      </c>
      <c r="BW206" t="s">
        <v>262</v>
      </c>
    </row>
    <row r="207" spans="1:75">
      <c r="A207" t="s">
        <v>243</v>
      </c>
      <c r="B207" t="s">
        <v>252</v>
      </c>
      <c r="C207">
        <v>1120</v>
      </c>
      <c r="D207" t="s">
        <v>253</v>
      </c>
      <c r="E207" t="s">
        <v>254</v>
      </c>
      <c r="F207">
        <v>5</v>
      </c>
      <c r="G207" s="13">
        <v>46266.810671296298</v>
      </c>
      <c r="H207" s="13">
        <v>46266.811006944445</v>
      </c>
      <c r="I207">
        <v>29</v>
      </c>
      <c r="J207" t="s">
        <v>264</v>
      </c>
      <c r="K207">
        <v>1</v>
      </c>
      <c r="L207">
        <v>0.04</v>
      </c>
      <c r="M207">
        <v>0.04</v>
      </c>
      <c r="N207">
        <v>1</v>
      </c>
      <c r="O207">
        <v>0.04</v>
      </c>
      <c r="P207">
        <v>0.68</v>
      </c>
      <c r="Q207">
        <v>4.2</v>
      </c>
      <c r="R207">
        <v>3.96</v>
      </c>
      <c r="S207" t="s">
        <v>256</v>
      </c>
      <c r="T207" t="s">
        <v>257</v>
      </c>
      <c r="U207">
        <v>11</v>
      </c>
      <c r="V207">
        <v>7916.79</v>
      </c>
      <c r="W207">
        <v>4999.32</v>
      </c>
      <c r="X207">
        <v>4999.32</v>
      </c>
      <c r="Y207">
        <v>0</v>
      </c>
      <c r="Z207">
        <v>0</v>
      </c>
      <c r="AA207">
        <v>35</v>
      </c>
      <c r="AB207">
        <v>50</v>
      </c>
      <c r="AC207">
        <v>5000</v>
      </c>
      <c r="AD207">
        <v>0</v>
      </c>
      <c r="AE207">
        <v>0</v>
      </c>
      <c r="AF207">
        <v>7920.27</v>
      </c>
      <c r="AG207">
        <v>7920.27</v>
      </c>
      <c r="AH207" s="14">
        <v>46266</v>
      </c>
      <c r="AI207" t="s">
        <v>258</v>
      </c>
      <c r="AJ207" s="13">
        <v>46262.213402777779</v>
      </c>
      <c r="AK207">
        <v>6066.68</v>
      </c>
      <c r="AL207" t="s">
        <v>259</v>
      </c>
      <c r="AM207" t="s">
        <v>260</v>
      </c>
      <c r="AN207">
        <v>1400</v>
      </c>
      <c r="AO207">
        <v>0</v>
      </c>
      <c r="AP207">
        <v>35</v>
      </c>
      <c r="AQ207">
        <v>85</v>
      </c>
      <c r="AR207">
        <v>35</v>
      </c>
      <c r="AS207">
        <v>2</v>
      </c>
      <c r="AT207">
        <v>23</v>
      </c>
      <c r="AU207">
        <v>1</v>
      </c>
      <c r="AV207">
        <v>0</v>
      </c>
      <c r="AW207">
        <v>10</v>
      </c>
      <c r="AX207">
        <v>1</v>
      </c>
      <c r="AY207">
        <v>10</v>
      </c>
      <c r="AZ207">
        <v>5</v>
      </c>
      <c r="BA207">
        <v>1</v>
      </c>
      <c r="BB207">
        <v>1440</v>
      </c>
      <c r="BC207">
        <v>0</v>
      </c>
      <c r="BD207">
        <v>0</v>
      </c>
      <c r="BE207">
        <v>14</v>
      </c>
      <c r="BF207">
        <v>25</v>
      </c>
      <c r="BG207">
        <v>3</v>
      </c>
      <c r="BH207">
        <v>8</v>
      </c>
      <c r="BI207">
        <v>3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0</v>
      </c>
      <c r="BQ207">
        <v>60</v>
      </c>
      <c r="BR207">
        <v>0</v>
      </c>
      <c r="BS207">
        <v>3</v>
      </c>
      <c r="BT207" t="s">
        <v>243</v>
      </c>
      <c r="BU207" t="s">
        <v>261</v>
      </c>
      <c r="BV207" t="b">
        <v>0</v>
      </c>
      <c r="BW207" t="s">
        <v>262</v>
      </c>
    </row>
    <row r="208" spans="1:75">
      <c r="A208" t="s">
        <v>243</v>
      </c>
      <c r="B208" t="s">
        <v>252</v>
      </c>
      <c r="C208">
        <v>1121</v>
      </c>
      <c r="D208" t="s">
        <v>253</v>
      </c>
      <c r="E208" t="s">
        <v>254</v>
      </c>
      <c r="F208">
        <v>5</v>
      </c>
      <c r="G208" s="13">
        <v>46266.813402777778</v>
      </c>
      <c r="H208" s="13">
        <v>46266.814039351855</v>
      </c>
      <c r="I208">
        <v>55</v>
      </c>
      <c r="J208" t="s">
        <v>264</v>
      </c>
      <c r="K208">
        <v>1</v>
      </c>
      <c r="L208">
        <v>0.04</v>
      </c>
      <c r="M208">
        <v>0.04</v>
      </c>
      <c r="N208">
        <v>1</v>
      </c>
      <c r="O208">
        <v>0.04</v>
      </c>
      <c r="P208">
        <v>5.12</v>
      </c>
      <c r="Q208">
        <v>4.08</v>
      </c>
      <c r="R208">
        <v>4.08</v>
      </c>
      <c r="S208" t="s">
        <v>256</v>
      </c>
      <c r="T208" t="s">
        <v>257</v>
      </c>
      <c r="U208">
        <v>10</v>
      </c>
      <c r="V208">
        <v>7919.63</v>
      </c>
      <c r="W208">
        <v>4999.3599999999997</v>
      </c>
      <c r="X208">
        <v>4994.88</v>
      </c>
      <c r="Y208">
        <v>0</v>
      </c>
      <c r="Z208">
        <v>0</v>
      </c>
      <c r="AA208">
        <v>35</v>
      </c>
      <c r="AB208">
        <v>50</v>
      </c>
      <c r="AC208">
        <v>5000</v>
      </c>
      <c r="AD208">
        <v>0</v>
      </c>
      <c r="AE208">
        <v>0</v>
      </c>
      <c r="AF208">
        <v>7922.95</v>
      </c>
      <c r="AG208">
        <v>7922.95</v>
      </c>
      <c r="AH208" s="14">
        <v>46266</v>
      </c>
      <c r="AI208" t="s">
        <v>258</v>
      </c>
      <c r="AJ208" s="13">
        <v>46262.213402777779</v>
      </c>
      <c r="AK208">
        <v>6066.68</v>
      </c>
      <c r="AL208" t="s">
        <v>259</v>
      </c>
      <c r="AM208" t="s">
        <v>260</v>
      </c>
      <c r="AN208">
        <v>1400</v>
      </c>
      <c r="AO208">
        <v>0</v>
      </c>
      <c r="AP208">
        <v>35</v>
      </c>
      <c r="AQ208">
        <v>85</v>
      </c>
      <c r="AR208">
        <v>35</v>
      </c>
      <c r="AS208">
        <v>2</v>
      </c>
      <c r="AT208">
        <v>23</v>
      </c>
      <c r="AU208">
        <v>1</v>
      </c>
      <c r="AV208">
        <v>0</v>
      </c>
      <c r="AW208">
        <v>10</v>
      </c>
      <c r="AX208">
        <v>1</v>
      </c>
      <c r="AY208">
        <v>10</v>
      </c>
      <c r="AZ208">
        <v>5</v>
      </c>
      <c r="BA208">
        <v>1</v>
      </c>
      <c r="BB208">
        <v>1440</v>
      </c>
      <c r="BC208">
        <v>0</v>
      </c>
      <c r="BD208">
        <v>0</v>
      </c>
      <c r="BE208">
        <v>14</v>
      </c>
      <c r="BF208">
        <v>25</v>
      </c>
      <c r="BG208">
        <v>3</v>
      </c>
      <c r="BH208">
        <v>8</v>
      </c>
      <c r="BI208">
        <v>3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0</v>
      </c>
      <c r="BQ208">
        <v>60</v>
      </c>
      <c r="BR208">
        <v>0</v>
      </c>
      <c r="BS208">
        <v>3</v>
      </c>
      <c r="BT208" t="s">
        <v>243</v>
      </c>
      <c r="BU208" t="s">
        <v>261</v>
      </c>
      <c r="BV208" t="b">
        <v>0</v>
      </c>
      <c r="BW208" t="s">
        <v>262</v>
      </c>
    </row>
    <row r="209" spans="1:75">
      <c r="A209" t="s">
        <v>243</v>
      </c>
      <c r="B209" t="s">
        <v>252</v>
      </c>
      <c r="C209">
        <v>1122</v>
      </c>
      <c r="D209" t="s">
        <v>253</v>
      </c>
      <c r="E209" t="s">
        <v>254</v>
      </c>
      <c r="F209">
        <v>5</v>
      </c>
      <c r="G209" s="13">
        <v>46266.817071759258</v>
      </c>
      <c r="H209" s="13">
        <v>46266.817280092589</v>
      </c>
      <c r="I209">
        <v>18</v>
      </c>
      <c r="J209" t="s">
        <v>255</v>
      </c>
      <c r="K209">
        <v>1</v>
      </c>
      <c r="L209">
        <v>0.04</v>
      </c>
      <c r="M209">
        <v>0.04</v>
      </c>
      <c r="N209">
        <v>1</v>
      </c>
      <c r="O209">
        <v>0.04</v>
      </c>
      <c r="P209">
        <v>1.76</v>
      </c>
      <c r="Q209">
        <v>3.92</v>
      </c>
      <c r="R209">
        <v>2.48</v>
      </c>
      <c r="S209" t="s">
        <v>256</v>
      </c>
      <c r="T209" t="s">
        <v>257</v>
      </c>
      <c r="U209">
        <v>11</v>
      </c>
      <c r="V209">
        <v>7922.27</v>
      </c>
      <c r="W209">
        <v>4999.32</v>
      </c>
      <c r="X209">
        <v>4998.24</v>
      </c>
      <c r="Y209">
        <v>0</v>
      </c>
      <c r="Z209">
        <v>0</v>
      </c>
      <c r="AA209">
        <v>35</v>
      </c>
      <c r="AB209">
        <v>50</v>
      </c>
      <c r="AC209">
        <v>5000</v>
      </c>
      <c r="AD209">
        <v>0</v>
      </c>
      <c r="AE209">
        <v>0</v>
      </c>
      <c r="AF209">
        <v>7925.11</v>
      </c>
      <c r="AG209">
        <v>7925.11</v>
      </c>
      <c r="AH209" s="14">
        <v>46266</v>
      </c>
      <c r="AI209" t="s">
        <v>258</v>
      </c>
      <c r="AJ209" s="13">
        <v>46262.213402777779</v>
      </c>
      <c r="AK209">
        <v>6066.68</v>
      </c>
      <c r="AL209" t="s">
        <v>259</v>
      </c>
      <c r="AM209" t="s">
        <v>260</v>
      </c>
      <c r="AN209">
        <v>1400</v>
      </c>
      <c r="AO209">
        <v>0</v>
      </c>
      <c r="AP209">
        <v>35</v>
      </c>
      <c r="AQ209">
        <v>85</v>
      </c>
      <c r="AR209">
        <v>35</v>
      </c>
      <c r="AS209">
        <v>2</v>
      </c>
      <c r="AT209">
        <v>23</v>
      </c>
      <c r="AU209">
        <v>1</v>
      </c>
      <c r="AV209">
        <v>0</v>
      </c>
      <c r="AW209">
        <v>10</v>
      </c>
      <c r="AX209">
        <v>1</v>
      </c>
      <c r="AY209">
        <v>10</v>
      </c>
      <c r="AZ209">
        <v>5</v>
      </c>
      <c r="BA209">
        <v>1</v>
      </c>
      <c r="BB209">
        <v>1440</v>
      </c>
      <c r="BC209">
        <v>0</v>
      </c>
      <c r="BD209">
        <v>0</v>
      </c>
      <c r="BE209">
        <v>14</v>
      </c>
      <c r="BF209">
        <v>25</v>
      </c>
      <c r="BG209">
        <v>3</v>
      </c>
      <c r="BH209">
        <v>8</v>
      </c>
      <c r="BI209">
        <v>3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60</v>
      </c>
      <c r="BR209">
        <v>0</v>
      </c>
      <c r="BS209">
        <v>3</v>
      </c>
      <c r="BT209" t="s">
        <v>243</v>
      </c>
      <c r="BU209" t="s">
        <v>261</v>
      </c>
      <c r="BV209" t="b">
        <v>0</v>
      </c>
      <c r="BW209" t="s">
        <v>262</v>
      </c>
    </row>
    <row r="210" spans="1:75">
      <c r="A210" t="s">
        <v>243</v>
      </c>
      <c r="B210" t="s">
        <v>252</v>
      </c>
      <c r="C210">
        <v>1123</v>
      </c>
      <c r="D210" t="s">
        <v>253</v>
      </c>
      <c r="E210" t="s">
        <v>254</v>
      </c>
      <c r="F210">
        <v>5</v>
      </c>
      <c r="G210" s="13">
        <v>46266.821250000001</v>
      </c>
      <c r="H210" s="13">
        <v>46266.821643518517</v>
      </c>
      <c r="I210">
        <v>34</v>
      </c>
      <c r="J210" t="s">
        <v>264</v>
      </c>
      <c r="K210">
        <v>1</v>
      </c>
      <c r="L210">
        <v>0.04</v>
      </c>
      <c r="M210">
        <v>0.04</v>
      </c>
      <c r="N210">
        <v>1</v>
      </c>
      <c r="O210">
        <v>0.04</v>
      </c>
      <c r="P210">
        <v>0.96</v>
      </c>
      <c r="Q210">
        <v>6.32</v>
      </c>
      <c r="R210">
        <v>5.48</v>
      </c>
      <c r="S210" t="s">
        <v>256</v>
      </c>
      <c r="T210" t="s">
        <v>257</v>
      </c>
      <c r="U210">
        <v>10</v>
      </c>
      <c r="V210">
        <v>7924.47</v>
      </c>
      <c r="W210">
        <v>4999.3599999999997</v>
      </c>
      <c r="X210">
        <v>4999.04</v>
      </c>
      <c r="Y210">
        <v>0</v>
      </c>
      <c r="Z210">
        <v>0</v>
      </c>
      <c r="AA210">
        <v>35</v>
      </c>
      <c r="AB210">
        <v>50</v>
      </c>
      <c r="AC210">
        <v>5000</v>
      </c>
      <c r="AD210">
        <v>0</v>
      </c>
      <c r="AE210">
        <v>0</v>
      </c>
      <c r="AF210">
        <v>7930.03</v>
      </c>
      <c r="AG210">
        <v>7930.03</v>
      </c>
      <c r="AH210" s="14">
        <v>46266</v>
      </c>
      <c r="AI210" t="s">
        <v>258</v>
      </c>
      <c r="AJ210" s="13">
        <v>46262.213402777779</v>
      </c>
      <c r="AK210">
        <v>6066.68</v>
      </c>
      <c r="AL210" t="s">
        <v>259</v>
      </c>
      <c r="AM210" t="s">
        <v>260</v>
      </c>
      <c r="AN210">
        <v>1400</v>
      </c>
      <c r="AO210">
        <v>0</v>
      </c>
      <c r="AP210">
        <v>35</v>
      </c>
      <c r="AQ210">
        <v>85</v>
      </c>
      <c r="AR210">
        <v>35</v>
      </c>
      <c r="AS210">
        <v>2</v>
      </c>
      <c r="AT210">
        <v>23</v>
      </c>
      <c r="AU210">
        <v>1</v>
      </c>
      <c r="AV210">
        <v>0</v>
      </c>
      <c r="AW210">
        <v>10</v>
      </c>
      <c r="AX210">
        <v>1</v>
      </c>
      <c r="AY210">
        <v>10</v>
      </c>
      <c r="AZ210">
        <v>5</v>
      </c>
      <c r="BA210">
        <v>1</v>
      </c>
      <c r="BB210">
        <v>1440</v>
      </c>
      <c r="BC210">
        <v>0</v>
      </c>
      <c r="BD210">
        <v>0</v>
      </c>
      <c r="BE210">
        <v>14</v>
      </c>
      <c r="BF210">
        <v>25</v>
      </c>
      <c r="BG210">
        <v>3</v>
      </c>
      <c r="BH210">
        <v>8</v>
      </c>
      <c r="BI210">
        <v>3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60</v>
      </c>
      <c r="BR210">
        <v>0</v>
      </c>
      <c r="BS210">
        <v>3</v>
      </c>
      <c r="BT210" t="s">
        <v>243</v>
      </c>
      <c r="BU210" t="s">
        <v>261</v>
      </c>
      <c r="BV210" t="b">
        <v>0</v>
      </c>
      <c r="BW210" t="s">
        <v>262</v>
      </c>
    </row>
    <row r="211" spans="1:75">
      <c r="A211" t="s">
        <v>243</v>
      </c>
      <c r="B211" t="s">
        <v>252</v>
      </c>
      <c r="C211">
        <v>1124</v>
      </c>
      <c r="D211" t="s">
        <v>253</v>
      </c>
      <c r="E211" t="s">
        <v>254</v>
      </c>
      <c r="F211">
        <v>5</v>
      </c>
      <c r="G211" s="13">
        <v>46266.824560185189</v>
      </c>
      <c r="H211" s="13">
        <v>46267.11136574074</v>
      </c>
      <c r="I211">
        <v>24780</v>
      </c>
      <c r="J211" t="s">
        <v>255</v>
      </c>
      <c r="K211">
        <v>14</v>
      </c>
      <c r="L211">
        <v>0.56000000000000005</v>
      </c>
      <c r="M211">
        <v>0.04</v>
      </c>
      <c r="N211">
        <v>14</v>
      </c>
      <c r="O211">
        <v>0.56000000000000005</v>
      </c>
      <c r="P211">
        <v>507.72</v>
      </c>
      <c r="Q211">
        <v>15.04</v>
      </c>
      <c r="R211">
        <v>4.4000000000000004</v>
      </c>
      <c r="S211" t="s">
        <v>263</v>
      </c>
      <c r="T211" t="s">
        <v>257</v>
      </c>
      <c r="U211">
        <v>11</v>
      </c>
      <c r="V211">
        <v>7929.31</v>
      </c>
      <c r="W211">
        <v>4999.28</v>
      </c>
      <c r="X211">
        <v>4492.28</v>
      </c>
      <c r="Y211">
        <v>0</v>
      </c>
      <c r="Z211">
        <v>0</v>
      </c>
      <c r="AA211">
        <v>35</v>
      </c>
      <c r="AB211">
        <v>50</v>
      </c>
      <c r="AC211">
        <v>5000</v>
      </c>
      <c r="AD211">
        <v>0</v>
      </c>
      <c r="AE211">
        <v>0</v>
      </c>
      <c r="AF211">
        <v>7908.91</v>
      </c>
      <c r="AG211">
        <v>7908.91</v>
      </c>
      <c r="AH211" s="14">
        <v>46266</v>
      </c>
      <c r="AI211" t="s">
        <v>258</v>
      </c>
      <c r="AJ211" s="13">
        <v>46262.213402777779</v>
      </c>
      <c r="AK211">
        <v>6066.68</v>
      </c>
      <c r="AL211" t="s">
        <v>259</v>
      </c>
      <c r="AM211" t="s">
        <v>260</v>
      </c>
      <c r="AN211">
        <v>1400</v>
      </c>
      <c r="AO211">
        <v>0</v>
      </c>
      <c r="AP211">
        <v>35</v>
      </c>
      <c r="AQ211">
        <v>85</v>
      </c>
      <c r="AR211">
        <v>35</v>
      </c>
      <c r="AS211">
        <v>2</v>
      </c>
      <c r="AT211">
        <v>23</v>
      </c>
      <c r="AU211">
        <v>1</v>
      </c>
      <c r="AV211">
        <v>0</v>
      </c>
      <c r="AW211">
        <v>10</v>
      </c>
      <c r="AX211">
        <v>1</v>
      </c>
      <c r="AY211">
        <v>10</v>
      </c>
      <c r="AZ211">
        <v>5</v>
      </c>
      <c r="BA211">
        <v>1</v>
      </c>
      <c r="BB211">
        <v>1440</v>
      </c>
      <c r="BC211">
        <v>0</v>
      </c>
      <c r="BD211">
        <v>0</v>
      </c>
      <c r="BE211">
        <v>14</v>
      </c>
      <c r="BF211">
        <v>25</v>
      </c>
      <c r="BG211">
        <v>3</v>
      </c>
      <c r="BH211">
        <v>8</v>
      </c>
      <c r="BI211">
        <v>3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0</v>
      </c>
      <c r="BQ211">
        <v>60</v>
      </c>
      <c r="BR211">
        <v>0</v>
      </c>
      <c r="BS211">
        <v>3</v>
      </c>
      <c r="BT211" t="s">
        <v>243</v>
      </c>
      <c r="BU211" t="s">
        <v>261</v>
      </c>
      <c r="BV211" t="b">
        <v>0</v>
      </c>
      <c r="BW211" t="s">
        <v>262</v>
      </c>
    </row>
    <row r="212" spans="1:75">
      <c r="A212" t="s">
        <v>243</v>
      </c>
      <c r="B212" t="s">
        <v>252</v>
      </c>
      <c r="C212">
        <v>1125</v>
      </c>
      <c r="D212" t="s">
        <v>253</v>
      </c>
      <c r="E212" t="s">
        <v>254</v>
      </c>
      <c r="F212">
        <v>5</v>
      </c>
      <c r="G212" s="13">
        <v>46267.121076388888</v>
      </c>
      <c r="H212" s="13">
        <v>46267.121655092589</v>
      </c>
      <c r="I212">
        <v>50</v>
      </c>
      <c r="J212" t="s">
        <v>264</v>
      </c>
      <c r="K212">
        <v>1</v>
      </c>
      <c r="L212">
        <v>0.04</v>
      </c>
      <c r="M212">
        <v>0.04</v>
      </c>
      <c r="N212">
        <v>1</v>
      </c>
      <c r="O212">
        <v>0.04</v>
      </c>
      <c r="P212">
        <v>2.92</v>
      </c>
      <c r="Q212">
        <v>7.08</v>
      </c>
      <c r="R212">
        <v>7.04</v>
      </c>
      <c r="S212" t="s">
        <v>256</v>
      </c>
      <c r="T212" t="s">
        <v>257</v>
      </c>
      <c r="U212">
        <v>11</v>
      </c>
      <c r="V212">
        <v>7908.27</v>
      </c>
      <c r="W212">
        <v>4999.3599999999997</v>
      </c>
      <c r="X212">
        <v>4997.08</v>
      </c>
      <c r="Y212">
        <v>0</v>
      </c>
      <c r="Z212">
        <v>0</v>
      </c>
      <c r="AA212">
        <v>35</v>
      </c>
      <c r="AB212">
        <v>50</v>
      </c>
      <c r="AC212">
        <v>5000</v>
      </c>
      <c r="AD212">
        <v>0</v>
      </c>
      <c r="AE212">
        <v>0</v>
      </c>
      <c r="AF212">
        <v>7914.55</v>
      </c>
      <c r="AG212">
        <v>7914.55</v>
      </c>
      <c r="AH212" s="14">
        <v>46267</v>
      </c>
      <c r="AI212" t="s">
        <v>258</v>
      </c>
      <c r="AJ212" s="13">
        <v>46262.213402777779</v>
      </c>
      <c r="AK212">
        <v>6066.68</v>
      </c>
      <c r="AL212" t="s">
        <v>259</v>
      </c>
      <c r="AM212" t="s">
        <v>260</v>
      </c>
      <c r="AN212">
        <v>1400</v>
      </c>
      <c r="AO212">
        <v>0</v>
      </c>
      <c r="AP212">
        <v>35</v>
      </c>
      <c r="AQ212">
        <v>85</v>
      </c>
      <c r="AR212">
        <v>35</v>
      </c>
      <c r="AS212">
        <v>2</v>
      </c>
      <c r="AT212">
        <v>23</v>
      </c>
      <c r="AU212">
        <v>1</v>
      </c>
      <c r="AV212">
        <v>0</v>
      </c>
      <c r="AW212">
        <v>10</v>
      </c>
      <c r="AX212">
        <v>1</v>
      </c>
      <c r="AY212">
        <v>10</v>
      </c>
      <c r="AZ212">
        <v>5</v>
      </c>
      <c r="BA212">
        <v>1</v>
      </c>
      <c r="BB212">
        <v>1440</v>
      </c>
      <c r="BC212">
        <v>0</v>
      </c>
      <c r="BD212">
        <v>0</v>
      </c>
      <c r="BE212">
        <v>14</v>
      </c>
      <c r="BF212">
        <v>25</v>
      </c>
      <c r="BG212">
        <v>3</v>
      </c>
      <c r="BH212">
        <v>8</v>
      </c>
      <c r="BI212">
        <v>3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60</v>
      </c>
      <c r="BR212">
        <v>0</v>
      </c>
      <c r="BS212">
        <v>3</v>
      </c>
      <c r="BT212" t="s">
        <v>243</v>
      </c>
      <c r="BU212" t="s">
        <v>261</v>
      </c>
      <c r="BV212" t="b">
        <v>0</v>
      </c>
      <c r="BW212" t="s">
        <v>262</v>
      </c>
    </row>
    <row r="213" spans="1:75">
      <c r="A213" t="s">
        <v>243</v>
      </c>
      <c r="B213" t="s">
        <v>252</v>
      </c>
      <c r="C213">
        <v>1126</v>
      </c>
      <c r="D213" t="s">
        <v>253</v>
      </c>
      <c r="E213" t="s">
        <v>254</v>
      </c>
      <c r="F213">
        <v>5</v>
      </c>
      <c r="G213" s="13">
        <v>46267.124849537038</v>
      </c>
      <c r="H213" s="13">
        <v>46267.125150462962</v>
      </c>
      <c r="I213">
        <v>26</v>
      </c>
      <c r="J213" t="s">
        <v>264</v>
      </c>
      <c r="K213">
        <v>1</v>
      </c>
      <c r="L213">
        <v>0.04</v>
      </c>
      <c r="M213">
        <v>0.04</v>
      </c>
      <c r="N213">
        <v>1</v>
      </c>
      <c r="O213">
        <v>0.04</v>
      </c>
      <c r="P213">
        <v>1.6</v>
      </c>
      <c r="Q213">
        <v>3.64</v>
      </c>
      <c r="R213">
        <v>2.96</v>
      </c>
      <c r="S213" t="s">
        <v>256</v>
      </c>
      <c r="T213" t="s">
        <v>257</v>
      </c>
      <c r="U213">
        <v>11</v>
      </c>
      <c r="V213">
        <v>7913.91</v>
      </c>
      <c r="W213">
        <v>4999.3599999999997</v>
      </c>
      <c r="X213">
        <v>4998.3999999999996</v>
      </c>
      <c r="Y213">
        <v>0</v>
      </c>
      <c r="Z213">
        <v>0</v>
      </c>
      <c r="AA213">
        <v>35</v>
      </c>
      <c r="AB213">
        <v>50</v>
      </c>
      <c r="AC213">
        <v>5000</v>
      </c>
      <c r="AD213">
        <v>0</v>
      </c>
      <c r="AE213">
        <v>0</v>
      </c>
      <c r="AF213">
        <v>7916.75</v>
      </c>
      <c r="AG213">
        <v>7916.75</v>
      </c>
      <c r="AH213" s="14">
        <v>46267</v>
      </c>
      <c r="AI213" t="s">
        <v>258</v>
      </c>
      <c r="AJ213" s="13">
        <v>46262.213402777779</v>
      </c>
      <c r="AK213">
        <v>6066.68</v>
      </c>
      <c r="AL213" t="s">
        <v>259</v>
      </c>
      <c r="AM213" t="s">
        <v>260</v>
      </c>
      <c r="AN213">
        <v>1400</v>
      </c>
      <c r="AO213">
        <v>0</v>
      </c>
      <c r="AP213">
        <v>35</v>
      </c>
      <c r="AQ213">
        <v>85</v>
      </c>
      <c r="AR213">
        <v>35</v>
      </c>
      <c r="AS213">
        <v>2</v>
      </c>
      <c r="AT213">
        <v>23</v>
      </c>
      <c r="AU213">
        <v>1</v>
      </c>
      <c r="AV213">
        <v>0</v>
      </c>
      <c r="AW213">
        <v>10</v>
      </c>
      <c r="AX213">
        <v>1</v>
      </c>
      <c r="AY213">
        <v>10</v>
      </c>
      <c r="AZ213">
        <v>5</v>
      </c>
      <c r="BA213">
        <v>1</v>
      </c>
      <c r="BB213">
        <v>1440</v>
      </c>
      <c r="BC213">
        <v>0</v>
      </c>
      <c r="BD213">
        <v>0</v>
      </c>
      <c r="BE213">
        <v>14</v>
      </c>
      <c r="BF213">
        <v>25</v>
      </c>
      <c r="BG213">
        <v>3</v>
      </c>
      <c r="BH213">
        <v>8</v>
      </c>
      <c r="BI213">
        <v>3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0</v>
      </c>
      <c r="BQ213">
        <v>60</v>
      </c>
      <c r="BR213">
        <v>0</v>
      </c>
      <c r="BS213">
        <v>3</v>
      </c>
      <c r="BT213" t="s">
        <v>243</v>
      </c>
      <c r="BU213" t="s">
        <v>261</v>
      </c>
      <c r="BV213" t="b">
        <v>0</v>
      </c>
      <c r="BW213" t="s">
        <v>262</v>
      </c>
    </row>
    <row r="214" spans="1:75">
      <c r="A214" t="s">
        <v>243</v>
      </c>
      <c r="B214" t="s">
        <v>252</v>
      </c>
      <c r="C214">
        <v>1127</v>
      </c>
      <c r="D214" t="s">
        <v>253</v>
      </c>
      <c r="E214" t="s">
        <v>254</v>
      </c>
      <c r="F214">
        <v>5</v>
      </c>
      <c r="G214" s="13">
        <v>46267.125740740739</v>
      </c>
      <c r="H214" s="13">
        <v>46267.126250000001</v>
      </c>
      <c r="I214">
        <v>44</v>
      </c>
      <c r="J214" t="s">
        <v>264</v>
      </c>
      <c r="K214">
        <v>1</v>
      </c>
      <c r="L214">
        <v>0.04</v>
      </c>
      <c r="M214">
        <v>0.04</v>
      </c>
      <c r="N214">
        <v>1</v>
      </c>
      <c r="O214">
        <v>0.04</v>
      </c>
      <c r="P214">
        <v>0.64</v>
      </c>
      <c r="Q214">
        <v>5.36</v>
      </c>
      <c r="R214">
        <v>5.36</v>
      </c>
      <c r="S214" t="s">
        <v>256</v>
      </c>
      <c r="T214" t="s">
        <v>257</v>
      </c>
      <c r="U214">
        <v>11</v>
      </c>
      <c r="V214">
        <v>7916.11</v>
      </c>
      <c r="W214">
        <v>4999.3599999999997</v>
      </c>
      <c r="X214">
        <v>4999.3599999999997</v>
      </c>
      <c r="Y214">
        <v>0</v>
      </c>
      <c r="Z214">
        <v>0</v>
      </c>
      <c r="AA214">
        <v>35</v>
      </c>
      <c r="AB214">
        <v>50</v>
      </c>
      <c r="AC214">
        <v>5000</v>
      </c>
      <c r="AD214">
        <v>0</v>
      </c>
      <c r="AE214">
        <v>0</v>
      </c>
      <c r="AF214">
        <v>7920.71</v>
      </c>
      <c r="AG214">
        <v>7920.71</v>
      </c>
      <c r="AH214" s="14">
        <v>46267</v>
      </c>
      <c r="AI214" t="s">
        <v>258</v>
      </c>
      <c r="AJ214" s="13">
        <v>46262.213402777779</v>
      </c>
      <c r="AK214">
        <v>6066.68</v>
      </c>
      <c r="AL214" t="s">
        <v>259</v>
      </c>
      <c r="AM214" t="s">
        <v>260</v>
      </c>
      <c r="AN214">
        <v>1400</v>
      </c>
      <c r="AO214">
        <v>0</v>
      </c>
      <c r="AP214">
        <v>35</v>
      </c>
      <c r="AQ214">
        <v>85</v>
      </c>
      <c r="AR214">
        <v>35</v>
      </c>
      <c r="AS214">
        <v>2</v>
      </c>
      <c r="AT214">
        <v>23</v>
      </c>
      <c r="AU214">
        <v>1</v>
      </c>
      <c r="AV214">
        <v>0</v>
      </c>
      <c r="AW214">
        <v>10</v>
      </c>
      <c r="AX214">
        <v>1</v>
      </c>
      <c r="AY214">
        <v>10</v>
      </c>
      <c r="AZ214">
        <v>5</v>
      </c>
      <c r="BA214">
        <v>1</v>
      </c>
      <c r="BB214">
        <v>1440</v>
      </c>
      <c r="BC214">
        <v>0</v>
      </c>
      <c r="BD214">
        <v>0</v>
      </c>
      <c r="BE214">
        <v>14</v>
      </c>
      <c r="BF214">
        <v>25</v>
      </c>
      <c r="BG214">
        <v>3</v>
      </c>
      <c r="BH214">
        <v>8</v>
      </c>
      <c r="BI214">
        <v>3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0</v>
      </c>
      <c r="BQ214">
        <v>60</v>
      </c>
      <c r="BR214">
        <v>0</v>
      </c>
      <c r="BS214">
        <v>3</v>
      </c>
      <c r="BT214" t="s">
        <v>243</v>
      </c>
      <c r="BU214" t="s">
        <v>261</v>
      </c>
      <c r="BV214" t="b">
        <v>0</v>
      </c>
      <c r="BW214" t="s">
        <v>262</v>
      </c>
    </row>
    <row r="215" spans="1:75">
      <c r="A215" t="s">
        <v>243</v>
      </c>
      <c r="B215" t="s">
        <v>252</v>
      </c>
      <c r="C215">
        <v>1128</v>
      </c>
      <c r="D215" t="s">
        <v>253</v>
      </c>
      <c r="E215" t="s">
        <v>254</v>
      </c>
      <c r="F215">
        <v>5</v>
      </c>
      <c r="G215" s="13">
        <v>46267.128796296296</v>
      </c>
      <c r="H215" s="13">
        <v>46267.129143518519</v>
      </c>
      <c r="I215">
        <v>30</v>
      </c>
      <c r="J215" t="s">
        <v>264</v>
      </c>
      <c r="K215">
        <v>1</v>
      </c>
      <c r="L215">
        <v>0.04</v>
      </c>
      <c r="M215">
        <v>0.04</v>
      </c>
      <c r="N215">
        <v>1</v>
      </c>
      <c r="O215">
        <v>0.04</v>
      </c>
      <c r="P215">
        <v>8.9600000000000009</v>
      </c>
      <c r="Q215">
        <v>5.64</v>
      </c>
      <c r="R215">
        <v>4.32</v>
      </c>
      <c r="S215" t="s">
        <v>256</v>
      </c>
      <c r="T215" t="s">
        <v>257</v>
      </c>
      <c r="U215">
        <v>11</v>
      </c>
      <c r="V215">
        <v>7920.07</v>
      </c>
      <c r="W215">
        <v>4999.3599999999997</v>
      </c>
      <c r="X215">
        <v>4991.04</v>
      </c>
      <c r="Y215">
        <v>0</v>
      </c>
      <c r="Z215">
        <v>0</v>
      </c>
      <c r="AA215">
        <v>35</v>
      </c>
      <c r="AB215">
        <v>50</v>
      </c>
      <c r="AC215">
        <v>5000</v>
      </c>
      <c r="AD215">
        <v>0</v>
      </c>
      <c r="AE215">
        <v>0</v>
      </c>
      <c r="AF215">
        <v>7924.91</v>
      </c>
      <c r="AG215">
        <v>7924.91</v>
      </c>
      <c r="AH215" s="14">
        <v>46267</v>
      </c>
      <c r="AI215" t="s">
        <v>258</v>
      </c>
      <c r="AJ215" s="13">
        <v>46262.213402777779</v>
      </c>
      <c r="AK215">
        <v>6066.68</v>
      </c>
      <c r="AL215" t="s">
        <v>259</v>
      </c>
      <c r="AM215" t="s">
        <v>260</v>
      </c>
      <c r="AN215">
        <v>1400</v>
      </c>
      <c r="AO215">
        <v>0</v>
      </c>
      <c r="AP215">
        <v>35</v>
      </c>
      <c r="AQ215">
        <v>85</v>
      </c>
      <c r="AR215">
        <v>35</v>
      </c>
      <c r="AS215">
        <v>2</v>
      </c>
      <c r="AT215">
        <v>23</v>
      </c>
      <c r="AU215">
        <v>1</v>
      </c>
      <c r="AV215">
        <v>0</v>
      </c>
      <c r="AW215">
        <v>10</v>
      </c>
      <c r="AX215">
        <v>1</v>
      </c>
      <c r="AY215">
        <v>10</v>
      </c>
      <c r="AZ215">
        <v>5</v>
      </c>
      <c r="BA215">
        <v>1</v>
      </c>
      <c r="BB215">
        <v>1440</v>
      </c>
      <c r="BC215">
        <v>0</v>
      </c>
      <c r="BD215">
        <v>0</v>
      </c>
      <c r="BE215">
        <v>14</v>
      </c>
      <c r="BF215">
        <v>25</v>
      </c>
      <c r="BG215">
        <v>3</v>
      </c>
      <c r="BH215">
        <v>8</v>
      </c>
      <c r="BI215">
        <v>3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0</v>
      </c>
      <c r="BQ215">
        <v>60</v>
      </c>
      <c r="BR215">
        <v>0</v>
      </c>
      <c r="BS215">
        <v>3</v>
      </c>
      <c r="BT215" t="s">
        <v>243</v>
      </c>
      <c r="BU215" t="s">
        <v>261</v>
      </c>
      <c r="BV215" t="b">
        <v>0</v>
      </c>
      <c r="BW215" t="s">
        <v>262</v>
      </c>
    </row>
    <row r="216" spans="1:75">
      <c r="A216" t="s">
        <v>243</v>
      </c>
      <c r="B216" t="s">
        <v>252</v>
      </c>
      <c r="C216">
        <v>1129</v>
      </c>
      <c r="D216" t="s">
        <v>253</v>
      </c>
      <c r="E216" t="s">
        <v>254</v>
      </c>
      <c r="F216">
        <v>5</v>
      </c>
      <c r="G216" s="13">
        <v>46267.132789351854</v>
      </c>
      <c r="H216" s="13">
        <v>46267.133449074077</v>
      </c>
      <c r="I216">
        <v>57</v>
      </c>
      <c r="J216" t="s">
        <v>264</v>
      </c>
      <c r="K216">
        <v>1</v>
      </c>
      <c r="L216">
        <v>0.04</v>
      </c>
      <c r="M216">
        <v>0.04</v>
      </c>
      <c r="N216">
        <v>1</v>
      </c>
      <c r="O216">
        <v>0.04</v>
      </c>
      <c r="P216">
        <v>10.88</v>
      </c>
      <c r="Q216">
        <v>4.88</v>
      </c>
      <c r="R216">
        <v>3.76</v>
      </c>
      <c r="S216" t="s">
        <v>256</v>
      </c>
      <c r="T216" t="s">
        <v>257</v>
      </c>
      <c r="U216">
        <v>11</v>
      </c>
      <c r="V216">
        <v>7924.23</v>
      </c>
      <c r="W216">
        <v>4999.32</v>
      </c>
      <c r="X216">
        <v>4989.12</v>
      </c>
      <c r="Y216">
        <v>0</v>
      </c>
      <c r="Z216">
        <v>0</v>
      </c>
      <c r="AA216">
        <v>35</v>
      </c>
      <c r="AB216">
        <v>50</v>
      </c>
      <c r="AC216">
        <v>5000</v>
      </c>
      <c r="AD216">
        <v>0</v>
      </c>
      <c r="AE216">
        <v>0</v>
      </c>
      <c r="AF216">
        <v>7928.35</v>
      </c>
      <c r="AG216">
        <v>7928.35</v>
      </c>
      <c r="AH216" s="14">
        <v>46267</v>
      </c>
      <c r="AI216" t="s">
        <v>258</v>
      </c>
      <c r="AJ216" s="13">
        <v>46262.213402777779</v>
      </c>
      <c r="AK216">
        <v>6066.68</v>
      </c>
      <c r="AL216" t="s">
        <v>259</v>
      </c>
      <c r="AM216" t="s">
        <v>260</v>
      </c>
      <c r="AN216">
        <v>1400</v>
      </c>
      <c r="AO216">
        <v>0</v>
      </c>
      <c r="AP216">
        <v>35</v>
      </c>
      <c r="AQ216">
        <v>85</v>
      </c>
      <c r="AR216">
        <v>35</v>
      </c>
      <c r="AS216">
        <v>2</v>
      </c>
      <c r="AT216">
        <v>23</v>
      </c>
      <c r="AU216">
        <v>1</v>
      </c>
      <c r="AV216">
        <v>0</v>
      </c>
      <c r="AW216">
        <v>10</v>
      </c>
      <c r="AX216">
        <v>1</v>
      </c>
      <c r="AY216">
        <v>10</v>
      </c>
      <c r="AZ216">
        <v>5</v>
      </c>
      <c r="BA216">
        <v>1</v>
      </c>
      <c r="BB216">
        <v>1440</v>
      </c>
      <c r="BC216">
        <v>0</v>
      </c>
      <c r="BD216">
        <v>0</v>
      </c>
      <c r="BE216">
        <v>14</v>
      </c>
      <c r="BF216">
        <v>25</v>
      </c>
      <c r="BG216">
        <v>3</v>
      </c>
      <c r="BH216">
        <v>8</v>
      </c>
      <c r="BI216">
        <v>3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0</v>
      </c>
      <c r="BQ216">
        <v>60</v>
      </c>
      <c r="BR216">
        <v>0</v>
      </c>
      <c r="BS216">
        <v>3</v>
      </c>
      <c r="BT216" t="s">
        <v>243</v>
      </c>
      <c r="BU216" t="s">
        <v>261</v>
      </c>
      <c r="BV216" t="b">
        <v>0</v>
      </c>
      <c r="BW216" t="s">
        <v>262</v>
      </c>
    </row>
    <row r="217" spans="1:75">
      <c r="A217" t="s">
        <v>243</v>
      </c>
      <c r="B217" t="s">
        <v>252</v>
      </c>
      <c r="C217">
        <v>1130</v>
      </c>
      <c r="D217" t="s">
        <v>253</v>
      </c>
      <c r="E217" t="s">
        <v>254</v>
      </c>
      <c r="F217">
        <v>5</v>
      </c>
      <c r="G217" s="13">
        <v>46267.136863425927</v>
      </c>
      <c r="H217" s="13">
        <v>46267.137048611112</v>
      </c>
      <c r="I217">
        <v>16</v>
      </c>
      <c r="J217" t="s">
        <v>255</v>
      </c>
      <c r="K217">
        <v>1</v>
      </c>
      <c r="L217">
        <v>0.04</v>
      </c>
      <c r="M217">
        <v>0.04</v>
      </c>
      <c r="N217">
        <v>1</v>
      </c>
      <c r="O217">
        <v>0.04</v>
      </c>
      <c r="P217">
        <v>0.84</v>
      </c>
      <c r="Q217">
        <v>3.76</v>
      </c>
      <c r="R217">
        <v>3.76</v>
      </c>
      <c r="S217" t="s">
        <v>256</v>
      </c>
      <c r="T217" t="s">
        <v>257</v>
      </c>
      <c r="U217">
        <v>11</v>
      </c>
      <c r="V217">
        <v>7927.51</v>
      </c>
      <c r="W217">
        <v>4999.16</v>
      </c>
      <c r="X217">
        <v>4999.16</v>
      </c>
      <c r="Y217">
        <v>0</v>
      </c>
      <c r="Z217">
        <v>0</v>
      </c>
      <c r="AA217">
        <v>35</v>
      </c>
      <c r="AB217">
        <v>50</v>
      </c>
      <c r="AC217">
        <v>5000</v>
      </c>
      <c r="AD217">
        <v>0</v>
      </c>
      <c r="AE217">
        <v>0</v>
      </c>
      <c r="AF217">
        <v>7930.71</v>
      </c>
      <c r="AG217">
        <v>7930.71</v>
      </c>
      <c r="AH217" s="14">
        <v>46267</v>
      </c>
      <c r="AI217" t="s">
        <v>258</v>
      </c>
      <c r="AJ217" s="13">
        <v>46262.213402777779</v>
      </c>
      <c r="AK217">
        <v>6066.68</v>
      </c>
      <c r="AL217" t="s">
        <v>259</v>
      </c>
      <c r="AM217" t="s">
        <v>260</v>
      </c>
      <c r="AN217">
        <v>1400</v>
      </c>
      <c r="AO217">
        <v>0</v>
      </c>
      <c r="AP217">
        <v>35</v>
      </c>
      <c r="AQ217">
        <v>85</v>
      </c>
      <c r="AR217">
        <v>35</v>
      </c>
      <c r="AS217">
        <v>2</v>
      </c>
      <c r="AT217">
        <v>23</v>
      </c>
      <c r="AU217">
        <v>1</v>
      </c>
      <c r="AV217">
        <v>0</v>
      </c>
      <c r="AW217">
        <v>10</v>
      </c>
      <c r="AX217">
        <v>1</v>
      </c>
      <c r="AY217">
        <v>10</v>
      </c>
      <c r="AZ217">
        <v>5</v>
      </c>
      <c r="BA217">
        <v>1</v>
      </c>
      <c r="BB217">
        <v>1440</v>
      </c>
      <c r="BC217">
        <v>0</v>
      </c>
      <c r="BD217">
        <v>0</v>
      </c>
      <c r="BE217">
        <v>14</v>
      </c>
      <c r="BF217">
        <v>25</v>
      </c>
      <c r="BG217">
        <v>3</v>
      </c>
      <c r="BH217">
        <v>8</v>
      </c>
      <c r="BI217">
        <v>3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0</v>
      </c>
      <c r="BQ217">
        <v>60</v>
      </c>
      <c r="BR217">
        <v>0</v>
      </c>
      <c r="BS217">
        <v>3</v>
      </c>
      <c r="BT217" t="s">
        <v>243</v>
      </c>
      <c r="BU217" t="s">
        <v>261</v>
      </c>
      <c r="BV217" t="b">
        <v>0</v>
      </c>
      <c r="BW217" t="s">
        <v>262</v>
      </c>
    </row>
    <row r="218" spans="1:75">
      <c r="A218" t="s">
        <v>243</v>
      </c>
      <c r="B218" t="s">
        <v>252</v>
      </c>
      <c r="C218">
        <v>1131</v>
      </c>
      <c r="D218" t="s">
        <v>253</v>
      </c>
      <c r="E218" t="s">
        <v>254</v>
      </c>
      <c r="F218">
        <v>5</v>
      </c>
      <c r="G218" s="13">
        <v>46267.139594907407</v>
      </c>
      <c r="H218" s="13">
        <v>46267.144594907404</v>
      </c>
      <c r="I218">
        <v>432</v>
      </c>
      <c r="J218" t="s">
        <v>264</v>
      </c>
      <c r="K218">
        <v>2</v>
      </c>
      <c r="L218">
        <v>0.08</v>
      </c>
      <c r="M218">
        <v>0.04</v>
      </c>
      <c r="N218">
        <v>2</v>
      </c>
      <c r="O218">
        <v>0.08</v>
      </c>
      <c r="P218">
        <v>24.04</v>
      </c>
      <c r="Q218">
        <v>24.52</v>
      </c>
      <c r="R218">
        <v>14.36</v>
      </c>
      <c r="S218" t="s">
        <v>263</v>
      </c>
      <c r="T218" t="s">
        <v>257</v>
      </c>
      <c r="U218">
        <v>11</v>
      </c>
      <c r="V218">
        <v>7930.07</v>
      </c>
      <c r="W218">
        <v>4999.3599999999997</v>
      </c>
      <c r="X218">
        <v>4975.96</v>
      </c>
      <c r="Y218">
        <v>0</v>
      </c>
      <c r="Z218">
        <v>0</v>
      </c>
      <c r="AA218">
        <v>35</v>
      </c>
      <c r="AB218">
        <v>50</v>
      </c>
      <c r="AC218">
        <v>5000</v>
      </c>
      <c r="AD218">
        <v>0</v>
      </c>
      <c r="AE218">
        <v>0</v>
      </c>
      <c r="AF218">
        <v>7945.11</v>
      </c>
      <c r="AG218">
        <v>7945.11</v>
      </c>
      <c r="AH218" s="14">
        <v>46267</v>
      </c>
      <c r="AI218" t="s">
        <v>258</v>
      </c>
      <c r="AJ218" s="13">
        <v>46262.213402777779</v>
      </c>
      <c r="AK218">
        <v>6066.68</v>
      </c>
      <c r="AL218" t="s">
        <v>259</v>
      </c>
      <c r="AM218" t="s">
        <v>260</v>
      </c>
      <c r="AN218">
        <v>1400</v>
      </c>
      <c r="AO218">
        <v>0</v>
      </c>
      <c r="AP218">
        <v>35</v>
      </c>
      <c r="AQ218">
        <v>85</v>
      </c>
      <c r="AR218">
        <v>35</v>
      </c>
      <c r="AS218">
        <v>2</v>
      </c>
      <c r="AT218">
        <v>23</v>
      </c>
      <c r="AU218">
        <v>1</v>
      </c>
      <c r="AV218">
        <v>0</v>
      </c>
      <c r="AW218">
        <v>10</v>
      </c>
      <c r="AX218">
        <v>1</v>
      </c>
      <c r="AY218">
        <v>10</v>
      </c>
      <c r="AZ218">
        <v>5</v>
      </c>
      <c r="BA218">
        <v>1</v>
      </c>
      <c r="BB218">
        <v>1440</v>
      </c>
      <c r="BC218">
        <v>0</v>
      </c>
      <c r="BD218">
        <v>0</v>
      </c>
      <c r="BE218">
        <v>14</v>
      </c>
      <c r="BF218">
        <v>25</v>
      </c>
      <c r="BG218">
        <v>3</v>
      </c>
      <c r="BH218">
        <v>8</v>
      </c>
      <c r="BI218">
        <v>3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0</v>
      </c>
      <c r="BQ218">
        <v>60</v>
      </c>
      <c r="BR218">
        <v>0</v>
      </c>
      <c r="BS218">
        <v>3</v>
      </c>
      <c r="BT218" t="s">
        <v>243</v>
      </c>
      <c r="BU218" t="s">
        <v>261</v>
      </c>
      <c r="BV218" t="b">
        <v>0</v>
      </c>
      <c r="BW218" t="s">
        <v>262</v>
      </c>
    </row>
    <row r="219" spans="1:75">
      <c r="A219" t="s">
        <v>243</v>
      </c>
      <c r="B219" t="s">
        <v>252</v>
      </c>
      <c r="C219">
        <v>1132</v>
      </c>
      <c r="D219" t="s">
        <v>253</v>
      </c>
      <c r="E219" t="s">
        <v>254</v>
      </c>
      <c r="F219">
        <v>5</v>
      </c>
      <c r="G219" s="13">
        <v>46267.146631944444</v>
      </c>
      <c r="H219" s="13">
        <v>46267.147013888891</v>
      </c>
      <c r="I219">
        <v>33</v>
      </c>
      <c r="J219" t="s">
        <v>264</v>
      </c>
      <c r="K219">
        <v>1</v>
      </c>
      <c r="L219">
        <v>0.04</v>
      </c>
      <c r="M219">
        <v>0.04</v>
      </c>
      <c r="N219">
        <v>1</v>
      </c>
      <c r="O219">
        <v>0.04</v>
      </c>
      <c r="P219">
        <v>0.64</v>
      </c>
      <c r="Q219">
        <v>4.12</v>
      </c>
      <c r="R219">
        <v>3.68</v>
      </c>
      <c r="S219" t="s">
        <v>256</v>
      </c>
      <c r="T219" t="s">
        <v>257</v>
      </c>
      <c r="U219">
        <v>10</v>
      </c>
      <c r="V219">
        <v>7944.47</v>
      </c>
      <c r="W219">
        <v>4999.3599999999997</v>
      </c>
      <c r="X219">
        <v>4999.3599999999997</v>
      </c>
      <c r="Y219">
        <v>0</v>
      </c>
      <c r="Z219">
        <v>0</v>
      </c>
      <c r="AA219">
        <v>35</v>
      </c>
      <c r="AB219">
        <v>50</v>
      </c>
      <c r="AC219">
        <v>5000</v>
      </c>
      <c r="AD219">
        <v>0</v>
      </c>
      <c r="AE219">
        <v>0</v>
      </c>
      <c r="AF219">
        <v>7947.83</v>
      </c>
      <c r="AG219">
        <v>7947.83</v>
      </c>
      <c r="AH219" s="14">
        <v>46267</v>
      </c>
      <c r="AI219" t="s">
        <v>258</v>
      </c>
      <c r="AJ219" s="13">
        <v>46262.213402777779</v>
      </c>
      <c r="AK219">
        <v>6066.68</v>
      </c>
      <c r="AL219" t="s">
        <v>259</v>
      </c>
      <c r="AM219" t="s">
        <v>260</v>
      </c>
      <c r="AN219">
        <v>1400</v>
      </c>
      <c r="AO219">
        <v>0</v>
      </c>
      <c r="AP219">
        <v>35</v>
      </c>
      <c r="AQ219">
        <v>85</v>
      </c>
      <c r="AR219">
        <v>35</v>
      </c>
      <c r="AS219">
        <v>2</v>
      </c>
      <c r="AT219">
        <v>23</v>
      </c>
      <c r="AU219">
        <v>1</v>
      </c>
      <c r="AV219">
        <v>0</v>
      </c>
      <c r="AW219">
        <v>10</v>
      </c>
      <c r="AX219">
        <v>1</v>
      </c>
      <c r="AY219">
        <v>10</v>
      </c>
      <c r="AZ219">
        <v>5</v>
      </c>
      <c r="BA219">
        <v>1</v>
      </c>
      <c r="BB219">
        <v>1440</v>
      </c>
      <c r="BC219">
        <v>0</v>
      </c>
      <c r="BD219">
        <v>0</v>
      </c>
      <c r="BE219">
        <v>14</v>
      </c>
      <c r="BF219">
        <v>25</v>
      </c>
      <c r="BG219">
        <v>3</v>
      </c>
      <c r="BH219">
        <v>8</v>
      </c>
      <c r="BI219">
        <v>3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0</v>
      </c>
      <c r="BQ219">
        <v>60</v>
      </c>
      <c r="BR219">
        <v>0</v>
      </c>
      <c r="BS219">
        <v>3</v>
      </c>
      <c r="BT219" t="s">
        <v>243</v>
      </c>
      <c r="BU219" t="s">
        <v>261</v>
      </c>
      <c r="BV219" t="b">
        <v>0</v>
      </c>
      <c r="BW219" t="s">
        <v>262</v>
      </c>
    </row>
    <row r="220" spans="1:75">
      <c r="A220" t="s">
        <v>243</v>
      </c>
      <c r="B220" t="s">
        <v>252</v>
      </c>
      <c r="C220">
        <v>1133</v>
      </c>
      <c r="D220" t="s">
        <v>253</v>
      </c>
      <c r="E220" t="s">
        <v>254</v>
      </c>
      <c r="F220">
        <v>5</v>
      </c>
      <c r="G220" s="13">
        <v>46267.14984953704</v>
      </c>
      <c r="H220" s="13">
        <v>46267.150208333333</v>
      </c>
      <c r="I220">
        <v>31</v>
      </c>
      <c r="J220" t="s">
        <v>255</v>
      </c>
      <c r="K220">
        <v>1</v>
      </c>
      <c r="L220">
        <v>0.04</v>
      </c>
      <c r="M220">
        <v>0.04</v>
      </c>
      <c r="N220">
        <v>1</v>
      </c>
      <c r="O220">
        <v>0.04</v>
      </c>
      <c r="P220">
        <v>0.68</v>
      </c>
      <c r="Q220">
        <v>7.84</v>
      </c>
      <c r="R220">
        <v>7.36</v>
      </c>
      <c r="S220" t="s">
        <v>256</v>
      </c>
      <c r="T220" t="s">
        <v>257</v>
      </c>
      <c r="U220">
        <v>11</v>
      </c>
      <c r="V220">
        <v>7947.15</v>
      </c>
      <c r="W220">
        <v>4999.32</v>
      </c>
      <c r="X220">
        <v>4999.32</v>
      </c>
      <c r="Y220">
        <v>0</v>
      </c>
      <c r="Z220">
        <v>0</v>
      </c>
      <c r="AA220">
        <v>35</v>
      </c>
      <c r="AB220">
        <v>50</v>
      </c>
      <c r="AC220">
        <v>5000</v>
      </c>
      <c r="AD220">
        <v>0</v>
      </c>
      <c r="AE220">
        <v>0</v>
      </c>
      <c r="AF220">
        <v>7954.27</v>
      </c>
      <c r="AG220">
        <v>7954.27</v>
      </c>
      <c r="AH220" s="14">
        <v>46267</v>
      </c>
      <c r="AI220" t="s">
        <v>258</v>
      </c>
      <c r="AJ220" s="13">
        <v>46262.213402777779</v>
      </c>
      <c r="AK220">
        <v>6066.68</v>
      </c>
      <c r="AL220" t="s">
        <v>259</v>
      </c>
      <c r="AM220" t="s">
        <v>260</v>
      </c>
      <c r="AN220">
        <v>1400</v>
      </c>
      <c r="AO220">
        <v>0</v>
      </c>
      <c r="AP220">
        <v>35</v>
      </c>
      <c r="AQ220">
        <v>85</v>
      </c>
      <c r="AR220">
        <v>35</v>
      </c>
      <c r="AS220">
        <v>2</v>
      </c>
      <c r="AT220">
        <v>23</v>
      </c>
      <c r="AU220">
        <v>1</v>
      </c>
      <c r="AV220">
        <v>0</v>
      </c>
      <c r="AW220">
        <v>10</v>
      </c>
      <c r="AX220">
        <v>1</v>
      </c>
      <c r="AY220">
        <v>10</v>
      </c>
      <c r="AZ220">
        <v>5</v>
      </c>
      <c r="BA220">
        <v>1</v>
      </c>
      <c r="BB220">
        <v>1440</v>
      </c>
      <c r="BC220">
        <v>0</v>
      </c>
      <c r="BD220">
        <v>0</v>
      </c>
      <c r="BE220">
        <v>14</v>
      </c>
      <c r="BF220">
        <v>25</v>
      </c>
      <c r="BG220">
        <v>3</v>
      </c>
      <c r="BH220">
        <v>8</v>
      </c>
      <c r="BI220">
        <v>3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0</v>
      </c>
      <c r="BQ220">
        <v>60</v>
      </c>
      <c r="BR220">
        <v>0</v>
      </c>
      <c r="BS220">
        <v>3</v>
      </c>
      <c r="BT220" t="s">
        <v>243</v>
      </c>
      <c r="BU220" t="s">
        <v>261</v>
      </c>
      <c r="BV220" t="b">
        <v>0</v>
      </c>
      <c r="BW220" t="s">
        <v>262</v>
      </c>
    </row>
    <row r="221" spans="1:75">
      <c r="A221" t="s">
        <v>243</v>
      </c>
      <c r="B221" t="s">
        <v>252</v>
      </c>
      <c r="C221">
        <v>1134</v>
      </c>
      <c r="D221" t="s">
        <v>253</v>
      </c>
      <c r="E221" t="s">
        <v>254</v>
      </c>
      <c r="F221">
        <v>5</v>
      </c>
      <c r="G221" s="13">
        <v>46267.155300925922</v>
      </c>
      <c r="H221" s="13">
        <v>46267.156064814815</v>
      </c>
      <c r="I221">
        <v>66</v>
      </c>
      <c r="J221" t="s">
        <v>255</v>
      </c>
      <c r="K221">
        <v>1</v>
      </c>
      <c r="L221">
        <v>0.04</v>
      </c>
      <c r="M221">
        <v>0.04</v>
      </c>
      <c r="N221">
        <v>1</v>
      </c>
      <c r="O221">
        <v>0.04</v>
      </c>
      <c r="P221">
        <v>1.84</v>
      </c>
      <c r="Q221">
        <v>16.64</v>
      </c>
      <c r="R221">
        <v>16.04</v>
      </c>
      <c r="S221" t="s">
        <v>256</v>
      </c>
      <c r="T221" t="s">
        <v>257</v>
      </c>
      <c r="U221">
        <v>10</v>
      </c>
      <c r="V221">
        <v>7953.59</v>
      </c>
      <c r="W221">
        <v>4999.32</v>
      </c>
      <c r="X221">
        <v>4998.16</v>
      </c>
      <c r="Y221">
        <v>0</v>
      </c>
      <c r="Z221">
        <v>0</v>
      </c>
      <c r="AA221">
        <v>35</v>
      </c>
      <c r="AB221">
        <v>50</v>
      </c>
      <c r="AC221">
        <v>5000</v>
      </c>
      <c r="AD221">
        <v>0</v>
      </c>
      <c r="AE221">
        <v>0</v>
      </c>
      <c r="AF221">
        <v>7969.51</v>
      </c>
      <c r="AG221">
        <v>7969.51</v>
      </c>
      <c r="AH221" s="14">
        <v>46267</v>
      </c>
      <c r="AI221" t="s">
        <v>258</v>
      </c>
      <c r="AJ221" s="13">
        <v>46262.213402777779</v>
      </c>
      <c r="AK221">
        <v>6066.68</v>
      </c>
      <c r="AL221" t="s">
        <v>259</v>
      </c>
      <c r="AM221" t="s">
        <v>260</v>
      </c>
      <c r="AN221">
        <v>1400</v>
      </c>
      <c r="AO221">
        <v>0</v>
      </c>
      <c r="AP221">
        <v>35</v>
      </c>
      <c r="AQ221">
        <v>85</v>
      </c>
      <c r="AR221">
        <v>35</v>
      </c>
      <c r="AS221">
        <v>2</v>
      </c>
      <c r="AT221">
        <v>23</v>
      </c>
      <c r="AU221">
        <v>1</v>
      </c>
      <c r="AV221">
        <v>0</v>
      </c>
      <c r="AW221">
        <v>10</v>
      </c>
      <c r="AX221">
        <v>1</v>
      </c>
      <c r="AY221">
        <v>10</v>
      </c>
      <c r="AZ221">
        <v>5</v>
      </c>
      <c r="BA221">
        <v>1</v>
      </c>
      <c r="BB221">
        <v>1440</v>
      </c>
      <c r="BC221">
        <v>0</v>
      </c>
      <c r="BD221">
        <v>0</v>
      </c>
      <c r="BE221">
        <v>14</v>
      </c>
      <c r="BF221">
        <v>25</v>
      </c>
      <c r="BG221">
        <v>3</v>
      </c>
      <c r="BH221">
        <v>8</v>
      </c>
      <c r="BI221">
        <v>3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0</v>
      </c>
      <c r="BQ221">
        <v>60</v>
      </c>
      <c r="BR221">
        <v>0</v>
      </c>
      <c r="BS221">
        <v>3</v>
      </c>
      <c r="BT221" t="s">
        <v>243</v>
      </c>
      <c r="BU221" t="s">
        <v>261</v>
      </c>
      <c r="BV221" t="b">
        <v>0</v>
      </c>
      <c r="BW221" t="s">
        <v>262</v>
      </c>
    </row>
    <row r="222" spans="1:75">
      <c r="A222" t="s">
        <v>243</v>
      </c>
      <c r="B222" t="s">
        <v>252</v>
      </c>
      <c r="C222">
        <v>1135</v>
      </c>
      <c r="D222" t="s">
        <v>253</v>
      </c>
      <c r="E222" t="s">
        <v>254</v>
      </c>
      <c r="F222">
        <v>5</v>
      </c>
      <c r="G222" s="13">
        <v>46267.157754629632</v>
      </c>
      <c r="H222" s="13">
        <v>46267.158275462964</v>
      </c>
      <c r="I222">
        <v>45</v>
      </c>
      <c r="J222" t="s">
        <v>264</v>
      </c>
      <c r="K222">
        <v>1</v>
      </c>
      <c r="L222">
        <v>0.04</v>
      </c>
      <c r="M222">
        <v>0.04</v>
      </c>
      <c r="N222">
        <v>1</v>
      </c>
      <c r="O222">
        <v>0.04</v>
      </c>
      <c r="P222">
        <v>3.36</v>
      </c>
      <c r="Q222">
        <v>4.4000000000000004</v>
      </c>
      <c r="R222">
        <v>3.84</v>
      </c>
      <c r="S222" t="s">
        <v>256</v>
      </c>
      <c r="T222" t="s">
        <v>257</v>
      </c>
      <c r="U222">
        <v>10</v>
      </c>
      <c r="V222">
        <v>7968.87</v>
      </c>
      <c r="W222">
        <v>4999.3599999999997</v>
      </c>
      <c r="X222">
        <v>4996.6400000000003</v>
      </c>
      <c r="Y222">
        <v>0</v>
      </c>
      <c r="Z222">
        <v>0</v>
      </c>
      <c r="AA222">
        <v>35</v>
      </c>
      <c r="AB222">
        <v>50</v>
      </c>
      <c r="AC222">
        <v>5000</v>
      </c>
      <c r="AD222">
        <v>0</v>
      </c>
      <c r="AE222">
        <v>0</v>
      </c>
      <c r="AF222">
        <v>7972.51</v>
      </c>
      <c r="AG222">
        <v>7972.51</v>
      </c>
      <c r="AH222" s="14">
        <v>46267</v>
      </c>
      <c r="AI222" t="s">
        <v>258</v>
      </c>
      <c r="AJ222" s="13">
        <v>46262.213402777779</v>
      </c>
      <c r="AK222">
        <v>6066.68</v>
      </c>
      <c r="AL222" t="s">
        <v>259</v>
      </c>
      <c r="AM222" t="s">
        <v>260</v>
      </c>
      <c r="AN222">
        <v>1400</v>
      </c>
      <c r="AO222">
        <v>0</v>
      </c>
      <c r="AP222">
        <v>35</v>
      </c>
      <c r="AQ222">
        <v>85</v>
      </c>
      <c r="AR222">
        <v>35</v>
      </c>
      <c r="AS222">
        <v>2</v>
      </c>
      <c r="AT222">
        <v>23</v>
      </c>
      <c r="AU222">
        <v>1</v>
      </c>
      <c r="AV222">
        <v>0</v>
      </c>
      <c r="AW222">
        <v>10</v>
      </c>
      <c r="AX222">
        <v>1</v>
      </c>
      <c r="AY222">
        <v>10</v>
      </c>
      <c r="AZ222">
        <v>5</v>
      </c>
      <c r="BA222">
        <v>1</v>
      </c>
      <c r="BB222">
        <v>1440</v>
      </c>
      <c r="BC222">
        <v>0</v>
      </c>
      <c r="BD222">
        <v>0</v>
      </c>
      <c r="BE222">
        <v>14</v>
      </c>
      <c r="BF222">
        <v>25</v>
      </c>
      <c r="BG222">
        <v>3</v>
      </c>
      <c r="BH222">
        <v>8</v>
      </c>
      <c r="BI222">
        <v>3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0</v>
      </c>
      <c r="BQ222">
        <v>60</v>
      </c>
      <c r="BR222">
        <v>0</v>
      </c>
      <c r="BS222">
        <v>3</v>
      </c>
      <c r="BT222" t="s">
        <v>243</v>
      </c>
      <c r="BU222" t="s">
        <v>261</v>
      </c>
      <c r="BV222" t="b">
        <v>0</v>
      </c>
      <c r="BW222" t="s">
        <v>262</v>
      </c>
    </row>
    <row r="223" spans="1:75">
      <c r="A223" t="s">
        <v>243</v>
      </c>
      <c r="B223" t="s">
        <v>252</v>
      </c>
      <c r="C223">
        <v>1136</v>
      </c>
      <c r="D223" t="s">
        <v>253</v>
      </c>
      <c r="E223" t="s">
        <v>254</v>
      </c>
      <c r="F223">
        <v>5</v>
      </c>
      <c r="G223" s="13">
        <v>46267.162187499998</v>
      </c>
      <c r="H223" s="13">
        <v>46267.162708333337</v>
      </c>
      <c r="I223">
        <v>45</v>
      </c>
      <c r="J223" t="s">
        <v>264</v>
      </c>
      <c r="K223">
        <v>1</v>
      </c>
      <c r="L223">
        <v>0.04</v>
      </c>
      <c r="M223">
        <v>0.04</v>
      </c>
      <c r="N223">
        <v>1</v>
      </c>
      <c r="O223">
        <v>0.04</v>
      </c>
      <c r="P223">
        <v>3.96</v>
      </c>
      <c r="Q223">
        <v>5.32</v>
      </c>
      <c r="R223">
        <v>5.24</v>
      </c>
      <c r="S223" t="s">
        <v>256</v>
      </c>
      <c r="T223" t="s">
        <v>257</v>
      </c>
      <c r="U223">
        <v>11</v>
      </c>
      <c r="V223">
        <v>7971.83</v>
      </c>
      <c r="W223">
        <v>4999.32</v>
      </c>
      <c r="X223">
        <v>4996.04</v>
      </c>
      <c r="Y223">
        <v>0</v>
      </c>
      <c r="Z223">
        <v>0</v>
      </c>
      <c r="AA223">
        <v>35</v>
      </c>
      <c r="AB223">
        <v>50</v>
      </c>
      <c r="AC223">
        <v>5000</v>
      </c>
      <c r="AD223">
        <v>0</v>
      </c>
      <c r="AE223">
        <v>0</v>
      </c>
      <c r="AF223">
        <v>7976.43</v>
      </c>
      <c r="AG223">
        <v>7976.43</v>
      </c>
      <c r="AH223" s="14">
        <v>46267</v>
      </c>
      <c r="AI223" t="s">
        <v>258</v>
      </c>
      <c r="AJ223" s="13">
        <v>46262.213402777779</v>
      </c>
      <c r="AK223">
        <v>6066.68</v>
      </c>
      <c r="AL223" t="s">
        <v>259</v>
      </c>
      <c r="AM223" t="s">
        <v>260</v>
      </c>
      <c r="AN223">
        <v>1400</v>
      </c>
      <c r="AO223">
        <v>0</v>
      </c>
      <c r="AP223">
        <v>35</v>
      </c>
      <c r="AQ223">
        <v>85</v>
      </c>
      <c r="AR223">
        <v>35</v>
      </c>
      <c r="AS223">
        <v>2</v>
      </c>
      <c r="AT223">
        <v>23</v>
      </c>
      <c r="AU223">
        <v>1</v>
      </c>
      <c r="AV223">
        <v>0</v>
      </c>
      <c r="AW223">
        <v>10</v>
      </c>
      <c r="AX223">
        <v>1</v>
      </c>
      <c r="AY223">
        <v>10</v>
      </c>
      <c r="AZ223">
        <v>5</v>
      </c>
      <c r="BA223">
        <v>1</v>
      </c>
      <c r="BB223">
        <v>1440</v>
      </c>
      <c r="BC223">
        <v>0</v>
      </c>
      <c r="BD223">
        <v>0</v>
      </c>
      <c r="BE223">
        <v>14</v>
      </c>
      <c r="BF223">
        <v>25</v>
      </c>
      <c r="BG223">
        <v>3</v>
      </c>
      <c r="BH223">
        <v>8</v>
      </c>
      <c r="BI223">
        <v>3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0</v>
      </c>
      <c r="BQ223">
        <v>60</v>
      </c>
      <c r="BR223">
        <v>0</v>
      </c>
      <c r="BS223">
        <v>3</v>
      </c>
      <c r="BT223" t="s">
        <v>243</v>
      </c>
      <c r="BU223" t="s">
        <v>261</v>
      </c>
      <c r="BV223" t="b">
        <v>0</v>
      </c>
      <c r="BW223" t="s">
        <v>262</v>
      </c>
    </row>
    <row r="224" spans="1:75">
      <c r="A224" t="s">
        <v>243</v>
      </c>
      <c r="B224" t="s">
        <v>252</v>
      </c>
      <c r="C224">
        <v>1137</v>
      </c>
      <c r="D224" t="s">
        <v>253</v>
      </c>
      <c r="E224" t="s">
        <v>254</v>
      </c>
      <c r="F224">
        <v>5</v>
      </c>
      <c r="G224" s="13">
        <v>46267.164004629631</v>
      </c>
      <c r="H224" s="13">
        <v>46267.165393518517</v>
      </c>
      <c r="I224">
        <v>120</v>
      </c>
      <c r="J224" t="s">
        <v>255</v>
      </c>
      <c r="K224">
        <v>1</v>
      </c>
      <c r="L224">
        <v>0.04</v>
      </c>
      <c r="M224">
        <v>0.04</v>
      </c>
      <c r="N224">
        <v>1</v>
      </c>
      <c r="O224">
        <v>0.04</v>
      </c>
      <c r="P224">
        <v>8.8800000000000008</v>
      </c>
      <c r="Q224">
        <v>7.56</v>
      </c>
      <c r="R224">
        <v>6.76</v>
      </c>
      <c r="S224" t="s">
        <v>256</v>
      </c>
      <c r="T224" t="s">
        <v>257</v>
      </c>
      <c r="U224">
        <v>10</v>
      </c>
      <c r="V224">
        <v>7975.75</v>
      </c>
      <c r="W224">
        <v>4999.32</v>
      </c>
      <c r="X224">
        <v>4991.12</v>
      </c>
      <c r="Y224">
        <v>0</v>
      </c>
      <c r="Z224">
        <v>0</v>
      </c>
      <c r="AA224">
        <v>35</v>
      </c>
      <c r="AB224">
        <v>50</v>
      </c>
      <c r="AC224">
        <v>5000</v>
      </c>
      <c r="AD224">
        <v>0</v>
      </c>
      <c r="AE224">
        <v>0</v>
      </c>
      <c r="AF224">
        <v>7982.59</v>
      </c>
      <c r="AG224">
        <v>7982.59</v>
      </c>
      <c r="AH224" s="14">
        <v>46267</v>
      </c>
      <c r="AI224" t="s">
        <v>258</v>
      </c>
      <c r="AJ224" s="13">
        <v>46262.213402777779</v>
      </c>
      <c r="AK224">
        <v>6066.68</v>
      </c>
      <c r="AL224" t="s">
        <v>259</v>
      </c>
      <c r="AM224" t="s">
        <v>260</v>
      </c>
      <c r="AN224">
        <v>1400</v>
      </c>
      <c r="AO224">
        <v>0</v>
      </c>
      <c r="AP224">
        <v>35</v>
      </c>
      <c r="AQ224">
        <v>85</v>
      </c>
      <c r="AR224">
        <v>35</v>
      </c>
      <c r="AS224">
        <v>2</v>
      </c>
      <c r="AT224">
        <v>23</v>
      </c>
      <c r="AU224">
        <v>1</v>
      </c>
      <c r="AV224">
        <v>0</v>
      </c>
      <c r="AW224">
        <v>10</v>
      </c>
      <c r="AX224">
        <v>1</v>
      </c>
      <c r="AY224">
        <v>10</v>
      </c>
      <c r="AZ224">
        <v>5</v>
      </c>
      <c r="BA224">
        <v>1</v>
      </c>
      <c r="BB224">
        <v>1440</v>
      </c>
      <c r="BC224">
        <v>0</v>
      </c>
      <c r="BD224">
        <v>0</v>
      </c>
      <c r="BE224">
        <v>14</v>
      </c>
      <c r="BF224">
        <v>25</v>
      </c>
      <c r="BG224">
        <v>3</v>
      </c>
      <c r="BH224">
        <v>8</v>
      </c>
      <c r="BI224">
        <v>3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0</v>
      </c>
      <c r="BQ224">
        <v>60</v>
      </c>
      <c r="BR224">
        <v>0</v>
      </c>
      <c r="BS224">
        <v>3</v>
      </c>
      <c r="BT224" t="s">
        <v>243</v>
      </c>
      <c r="BU224" t="s">
        <v>261</v>
      </c>
      <c r="BV224" t="b">
        <v>0</v>
      </c>
      <c r="BW224" t="s">
        <v>262</v>
      </c>
    </row>
    <row r="225" spans="1:75">
      <c r="A225" t="s">
        <v>243</v>
      </c>
      <c r="B225" t="s">
        <v>252</v>
      </c>
      <c r="C225">
        <v>1138</v>
      </c>
      <c r="D225" t="s">
        <v>253</v>
      </c>
      <c r="E225" t="s">
        <v>254</v>
      </c>
      <c r="F225">
        <v>5</v>
      </c>
      <c r="G225" s="13">
        <v>46267.167175925926</v>
      </c>
      <c r="H225" s="13">
        <v>46267.167951388888</v>
      </c>
      <c r="I225">
        <v>67</v>
      </c>
      <c r="J225" t="s">
        <v>264</v>
      </c>
      <c r="K225">
        <v>1</v>
      </c>
      <c r="L225">
        <v>0.04</v>
      </c>
      <c r="M225">
        <v>0.04</v>
      </c>
      <c r="N225">
        <v>1</v>
      </c>
      <c r="O225">
        <v>0.04</v>
      </c>
      <c r="P225">
        <v>8.84</v>
      </c>
      <c r="Q225">
        <v>6.8</v>
      </c>
      <c r="R225">
        <v>6.8</v>
      </c>
      <c r="S225" t="s">
        <v>256</v>
      </c>
      <c r="T225" t="s">
        <v>257</v>
      </c>
      <c r="U225">
        <v>14</v>
      </c>
      <c r="V225">
        <v>7981.75</v>
      </c>
      <c r="W225">
        <v>4999.16</v>
      </c>
      <c r="X225">
        <v>4991.16</v>
      </c>
      <c r="Y225">
        <v>0</v>
      </c>
      <c r="Z225">
        <v>0</v>
      </c>
      <c r="AA225">
        <v>35</v>
      </c>
      <c r="AB225">
        <v>50</v>
      </c>
      <c r="AC225">
        <v>5000</v>
      </c>
      <c r="AD225">
        <v>0</v>
      </c>
      <c r="AE225">
        <v>0</v>
      </c>
      <c r="AF225">
        <v>7987.99</v>
      </c>
      <c r="AG225">
        <v>7987.99</v>
      </c>
      <c r="AH225" s="14">
        <v>46267</v>
      </c>
      <c r="AI225" t="s">
        <v>258</v>
      </c>
      <c r="AJ225" s="13">
        <v>46262.213402777779</v>
      </c>
      <c r="AK225">
        <v>6066.68</v>
      </c>
      <c r="AL225" t="s">
        <v>259</v>
      </c>
      <c r="AM225" t="s">
        <v>260</v>
      </c>
      <c r="AN225">
        <v>1400</v>
      </c>
      <c r="AO225">
        <v>0</v>
      </c>
      <c r="AP225">
        <v>35</v>
      </c>
      <c r="AQ225">
        <v>85</v>
      </c>
      <c r="AR225">
        <v>35</v>
      </c>
      <c r="AS225">
        <v>2</v>
      </c>
      <c r="AT225">
        <v>23</v>
      </c>
      <c r="AU225">
        <v>1</v>
      </c>
      <c r="AV225">
        <v>0</v>
      </c>
      <c r="AW225">
        <v>10</v>
      </c>
      <c r="AX225">
        <v>1</v>
      </c>
      <c r="AY225">
        <v>10</v>
      </c>
      <c r="AZ225">
        <v>5</v>
      </c>
      <c r="BA225">
        <v>1</v>
      </c>
      <c r="BB225">
        <v>1440</v>
      </c>
      <c r="BC225">
        <v>0</v>
      </c>
      <c r="BD225">
        <v>0</v>
      </c>
      <c r="BE225">
        <v>14</v>
      </c>
      <c r="BF225">
        <v>25</v>
      </c>
      <c r="BG225">
        <v>3</v>
      </c>
      <c r="BH225">
        <v>8</v>
      </c>
      <c r="BI225">
        <v>3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0</v>
      </c>
      <c r="BQ225">
        <v>60</v>
      </c>
      <c r="BR225">
        <v>0</v>
      </c>
      <c r="BS225">
        <v>3</v>
      </c>
      <c r="BT225" t="s">
        <v>243</v>
      </c>
      <c r="BU225" t="s">
        <v>261</v>
      </c>
      <c r="BV225" t="b">
        <v>0</v>
      </c>
      <c r="BW225" t="s">
        <v>262</v>
      </c>
    </row>
    <row r="226" spans="1:75">
      <c r="A226" t="s">
        <v>243</v>
      </c>
      <c r="B226" t="s">
        <v>252</v>
      </c>
      <c r="C226">
        <v>1139</v>
      </c>
      <c r="D226" t="s">
        <v>253</v>
      </c>
      <c r="E226" t="s">
        <v>254</v>
      </c>
      <c r="F226">
        <v>5</v>
      </c>
      <c r="G226" s="13">
        <v>46267.17046296296</v>
      </c>
      <c r="H226" s="13">
        <v>46267.170694444445</v>
      </c>
      <c r="I226">
        <v>20</v>
      </c>
      <c r="J226" t="s">
        <v>264</v>
      </c>
      <c r="K226">
        <v>1</v>
      </c>
      <c r="L226">
        <v>0.04</v>
      </c>
      <c r="M226">
        <v>0.04</v>
      </c>
      <c r="N226">
        <v>1</v>
      </c>
      <c r="O226">
        <v>0.04</v>
      </c>
      <c r="P226">
        <v>0.64</v>
      </c>
      <c r="Q226">
        <v>7.96</v>
      </c>
      <c r="R226">
        <v>7.92</v>
      </c>
      <c r="S226" t="s">
        <v>256</v>
      </c>
      <c r="T226" t="s">
        <v>257</v>
      </c>
      <c r="U226">
        <v>10</v>
      </c>
      <c r="V226">
        <v>7987.35</v>
      </c>
      <c r="W226">
        <v>4999.3599999999997</v>
      </c>
      <c r="X226">
        <v>4999.3599999999997</v>
      </c>
      <c r="Y226">
        <v>0</v>
      </c>
      <c r="Z226">
        <v>0</v>
      </c>
      <c r="AA226">
        <v>35</v>
      </c>
      <c r="AB226">
        <v>50</v>
      </c>
      <c r="AC226">
        <v>5000</v>
      </c>
      <c r="AD226">
        <v>0</v>
      </c>
      <c r="AE226">
        <v>0</v>
      </c>
      <c r="AF226">
        <v>7994.55</v>
      </c>
      <c r="AG226">
        <v>7994.55</v>
      </c>
      <c r="AH226" s="14">
        <v>46267</v>
      </c>
      <c r="AI226" t="s">
        <v>258</v>
      </c>
      <c r="AJ226" s="13">
        <v>46262.213402777779</v>
      </c>
      <c r="AK226">
        <v>6066.68</v>
      </c>
      <c r="AL226" t="s">
        <v>259</v>
      </c>
      <c r="AM226" t="s">
        <v>260</v>
      </c>
      <c r="AN226">
        <v>1400</v>
      </c>
      <c r="AO226">
        <v>0</v>
      </c>
      <c r="AP226">
        <v>35</v>
      </c>
      <c r="AQ226">
        <v>85</v>
      </c>
      <c r="AR226">
        <v>35</v>
      </c>
      <c r="AS226">
        <v>2</v>
      </c>
      <c r="AT226">
        <v>23</v>
      </c>
      <c r="AU226">
        <v>1</v>
      </c>
      <c r="AV226">
        <v>0</v>
      </c>
      <c r="AW226">
        <v>10</v>
      </c>
      <c r="AX226">
        <v>1</v>
      </c>
      <c r="AY226">
        <v>10</v>
      </c>
      <c r="AZ226">
        <v>5</v>
      </c>
      <c r="BA226">
        <v>1</v>
      </c>
      <c r="BB226">
        <v>1440</v>
      </c>
      <c r="BC226">
        <v>0</v>
      </c>
      <c r="BD226">
        <v>0</v>
      </c>
      <c r="BE226">
        <v>14</v>
      </c>
      <c r="BF226">
        <v>25</v>
      </c>
      <c r="BG226">
        <v>3</v>
      </c>
      <c r="BH226">
        <v>8</v>
      </c>
      <c r="BI226">
        <v>3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0</v>
      </c>
      <c r="BQ226">
        <v>60</v>
      </c>
      <c r="BR226">
        <v>0</v>
      </c>
      <c r="BS226">
        <v>3</v>
      </c>
      <c r="BT226" t="s">
        <v>243</v>
      </c>
      <c r="BU226" t="s">
        <v>261</v>
      </c>
      <c r="BV226" t="b">
        <v>0</v>
      </c>
      <c r="BW226" t="s">
        <v>262</v>
      </c>
    </row>
    <row r="227" spans="1:75">
      <c r="A227" t="s">
        <v>243</v>
      </c>
      <c r="B227" t="s">
        <v>252</v>
      </c>
      <c r="C227">
        <v>1140</v>
      </c>
      <c r="D227" t="s">
        <v>253</v>
      </c>
      <c r="E227" t="s">
        <v>254</v>
      </c>
      <c r="F227">
        <v>5</v>
      </c>
      <c r="G227" s="13">
        <v>46267.173935185187</v>
      </c>
      <c r="H227" s="13">
        <v>46267.174050925925</v>
      </c>
      <c r="I227">
        <v>10</v>
      </c>
      <c r="J227" t="s">
        <v>255</v>
      </c>
      <c r="K227">
        <v>1</v>
      </c>
      <c r="L227">
        <v>0.04</v>
      </c>
      <c r="M227">
        <v>0.04</v>
      </c>
      <c r="N227">
        <v>1</v>
      </c>
      <c r="O227">
        <v>0.04</v>
      </c>
      <c r="P227">
        <v>0.68</v>
      </c>
      <c r="Q227">
        <v>3.48</v>
      </c>
      <c r="R227">
        <v>3.12</v>
      </c>
      <c r="S227" t="s">
        <v>256</v>
      </c>
      <c r="T227" t="s">
        <v>257</v>
      </c>
      <c r="U227">
        <v>14</v>
      </c>
      <c r="V227">
        <v>7993.87</v>
      </c>
      <c r="W227">
        <v>4999.32</v>
      </c>
      <c r="X227">
        <v>4999.32</v>
      </c>
      <c r="Y227">
        <v>0</v>
      </c>
      <c r="Z227">
        <v>0</v>
      </c>
      <c r="AA227">
        <v>35</v>
      </c>
      <c r="AB227">
        <v>50</v>
      </c>
      <c r="AC227">
        <v>5000</v>
      </c>
      <c r="AD227">
        <v>0</v>
      </c>
      <c r="AE227">
        <v>0</v>
      </c>
      <c r="AF227">
        <v>7996.63</v>
      </c>
      <c r="AG227">
        <v>7996.63</v>
      </c>
      <c r="AH227" s="14">
        <v>46267</v>
      </c>
      <c r="AI227" t="s">
        <v>258</v>
      </c>
      <c r="AJ227" s="13">
        <v>46262.213402777779</v>
      </c>
      <c r="AK227">
        <v>6066.68</v>
      </c>
      <c r="AL227" t="s">
        <v>259</v>
      </c>
      <c r="AM227" t="s">
        <v>260</v>
      </c>
      <c r="AN227">
        <v>1400</v>
      </c>
      <c r="AO227">
        <v>0</v>
      </c>
      <c r="AP227">
        <v>35</v>
      </c>
      <c r="AQ227">
        <v>85</v>
      </c>
      <c r="AR227">
        <v>35</v>
      </c>
      <c r="AS227">
        <v>2</v>
      </c>
      <c r="AT227">
        <v>23</v>
      </c>
      <c r="AU227">
        <v>1</v>
      </c>
      <c r="AV227">
        <v>0</v>
      </c>
      <c r="AW227">
        <v>10</v>
      </c>
      <c r="AX227">
        <v>1</v>
      </c>
      <c r="AY227">
        <v>10</v>
      </c>
      <c r="AZ227">
        <v>5</v>
      </c>
      <c r="BA227">
        <v>1</v>
      </c>
      <c r="BB227">
        <v>1440</v>
      </c>
      <c r="BC227">
        <v>0</v>
      </c>
      <c r="BD227">
        <v>0</v>
      </c>
      <c r="BE227">
        <v>14</v>
      </c>
      <c r="BF227">
        <v>25</v>
      </c>
      <c r="BG227">
        <v>3</v>
      </c>
      <c r="BH227">
        <v>8</v>
      </c>
      <c r="BI227">
        <v>3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0</v>
      </c>
      <c r="BQ227">
        <v>60</v>
      </c>
      <c r="BR227">
        <v>0</v>
      </c>
      <c r="BS227">
        <v>3</v>
      </c>
      <c r="BT227" t="s">
        <v>243</v>
      </c>
      <c r="BU227" t="s">
        <v>261</v>
      </c>
      <c r="BV227" t="b">
        <v>0</v>
      </c>
      <c r="BW227" t="s">
        <v>262</v>
      </c>
    </row>
    <row r="228" spans="1:75">
      <c r="A228" t="s">
        <v>243</v>
      </c>
      <c r="B228" t="s">
        <v>252</v>
      </c>
      <c r="C228">
        <v>1141</v>
      </c>
      <c r="D228" t="s">
        <v>253</v>
      </c>
      <c r="E228" t="s">
        <v>254</v>
      </c>
      <c r="F228">
        <v>5</v>
      </c>
      <c r="G228" s="13">
        <v>46267.17728009259</v>
      </c>
      <c r="H228" s="13">
        <v>46267.177488425928</v>
      </c>
      <c r="I228">
        <v>18</v>
      </c>
      <c r="J228" t="s">
        <v>255</v>
      </c>
      <c r="K228">
        <v>1</v>
      </c>
      <c r="L228">
        <v>0.04</v>
      </c>
      <c r="M228">
        <v>0.04</v>
      </c>
      <c r="N228">
        <v>1</v>
      </c>
      <c r="O228">
        <v>0.04</v>
      </c>
      <c r="P228">
        <v>0.68</v>
      </c>
      <c r="Q228">
        <v>4.88</v>
      </c>
      <c r="R228">
        <v>3.64</v>
      </c>
      <c r="S228" t="s">
        <v>256</v>
      </c>
      <c r="T228" t="s">
        <v>257</v>
      </c>
      <c r="U228">
        <v>10</v>
      </c>
      <c r="V228">
        <v>7995.95</v>
      </c>
      <c r="W228">
        <v>4999.32</v>
      </c>
      <c r="X228">
        <v>4999.32</v>
      </c>
      <c r="Y228">
        <v>0</v>
      </c>
      <c r="Z228">
        <v>0</v>
      </c>
      <c r="AA228">
        <v>35</v>
      </c>
      <c r="AB228">
        <v>50</v>
      </c>
      <c r="AC228">
        <v>5000</v>
      </c>
      <c r="AD228">
        <v>0</v>
      </c>
      <c r="AE228">
        <v>0</v>
      </c>
      <c r="AF228">
        <v>8000.11</v>
      </c>
      <c r="AG228">
        <v>8000.11</v>
      </c>
      <c r="AH228" s="14">
        <v>46267</v>
      </c>
      <c r="AI228" t="s">
        <v>258</v>
      </c>
      <c r="AJ228" s="13">
        <v>46262.213402777779</v>
      </c>
      <c r="AK228">
        <v>6066.68</v>
      </c>
      <c r="AL228" t="s">
        <v>259</v>
      </c>
      <c r="AM228" t="s">
        <v>260</v>
      </c>
      <c r="AN228">
        <v>1400</v>
      </c>
      <c r="AO228">
        <v>0</v>
      </c>
      <c r="AP228">
        <v>35</v>
      </c>
      <c r="AQ228">
        <v>85</v>
      </c>
      <c r="AR228">
        <v>35</v>
      </c>
      <c r="AS228">
        <v>2</v>
      </c>
      <c r="AT228">
        <v>23</v>
      </c>
      <c r="AU228">
        <v>1</v>
      </c>
      <c r="AV228">
        <v>0</v>
      </c>
      <c r="AW228">
        <v>10</v>
      </c>
      <c r="AX228">
        <v>1</v>
      </c>
      <c r="AY228">
        <v>10</v>
      </c>
      <c r="AZ228">
        <v>5</v>
      </c>
      <c r="BA228">
        <v>1</v>
      </c>
      <c r="BB228">
        <v>1440</v>
      </c>
      <c r="BC228">
        <v>0</v>
      </c>
      <c r="BD228">
        <v>0</v>
      </c>
      <c r="BE228">
        <v>14</v>
      </c>
      <c r="BF228">
        <v>25</v>
      </c>
      <c r="BG228">
        <v>3</v>
      </c>
      <c r="BH228">
        <v>8</v>
      </c>
      <c r="BI228">
        <v>3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0</v>
      </c>
      <c r="BQ228">
        <v>60</v>
      </c>
      <c r="BR228">
        <v>0</v>
      </c>
      <c r="BS228">
        <v>3</v>
      </c>
      <c r="BT228" t="s">
        <v>243</v>
      </c>
      <c r="BU228" t="s">
        <v>261</v>
      </c>
      <c r="BV228" t="b">
        <v>0</v>
      </c>
      <c r="BW228" t="s">
        <v>262</v>
      </c>
    </row>
    <row r="229" spans="1:75">
      <c r="A229" t="s">
        <v>243</v>
      </c>
      <c r="B229" t="s">
        <v>252</v>
      </c>
      <c r="C229">
        <v>1142</v>
      </c>
      <c r="D229" t="s">
        <v>253</v>
      </c>
      <c r="E229" t="s">
        <v>254</v>
      </c>
      <c r="F229">
        <v>5</v>
      </c>
      <c r="G229" s="13">
        <v>46267.182708333334</v>
      </c>
      <c r="H229" s="13">
        <v>46267.183819444443</v>
      </c>
      <c r="I229">
        <v>96</v>
      </c>
      <c r="J229" t="s">
        <v>264</v>
      </c>
      <c r="K229">
        <v>1</v>
      </c>
      <c r="L229">
        <v>0.04</v>
      </c>
      <c r="M229">
        <v>0.04</v>
      </c>
      <c r="N229">
        <v>1</v>
      </c>
      <c r="O229">
        <v>0.04</v>
      </c>
      <c r="P229">
        <v>17.28</v>
      </c>
      <c r="Q229">
        <v>3.92</v>
      </c>
      <c r="R229">
        <v>3.44</v>
      </c>
      <c r="S229" t="s">
        <v>256</v>
      </c>
      <c r="T229" t="s">
        <v>257</v>
      </c>
      <c r="U229">
        <v>11</v>
      </c>
      <c r="V229">
        <v>7999.47</v>
      </c>
      <c r="W229">
        <v>4999.3599999999997</v>
      </c>
      <c r="X229">
        <v>4982.72</v>
      </c>
      <c r="Y229">
        <v>0</v>
      </c>
      <c r="Z229">
        <v>0</v>
      </c>
      <c r="AA229">
        <v>35</v>
      </c>
      <c r="AB229">
        <v>50</v>
      </c>
      <c r="AC229">
        <v>5000</v>
      </c>
      <c r="AD229">
        <v>0</v>
      </c>
      <c r="AE229">
        <v>0</v>
      </c>
      <c r="AF229">
        <v>8002.63</v>
      </c>
      <c r="AG229">
        <v>8002.63</v>
      </c>
      <c r="AH229" s="14">
        <v>46267</v>
      </c>
      <c r="AI229" t="s">
        <v>258</v>
      </c>
      <c r="AJ229" s="13">
        <v>46262.213402777779</v>
      </c>
      <c r="AK229">
        <v>6066.68</v>
      </c>
      <c r="AL229" t="s">
        <v>259</v>
      </c>
      <c r="AM229" t="s">
        <v>260</v>
      </c>
      <c r="AN229">
        <v>1400</v>
      </c>
      <c r="AO229">
        <v>0</v>
      </c>
      <c r="AP229">
        <v>35</v>
      </c>
      <c r="AQ229">
        <v>85</v>
      </c>
      <c r="AR229">
        <v>35</v>
      </c>
      <c r="AS229">
        <v>2</v>
      </c>
      <c r="AT229">
        <v>23</v>
      </c>
      <c r="AU229">
        <v>1</v>
      </c>
      <c r="AV229">
        <v>0</v>
      </c>
      <c r="AW229">
        <v>10</v>
      </c>
      <c r="AX229">
        <v>1</v>
      </c>
      <c r="AY229">
        <v>10</v>
      </c>
      <c r="AZ229">
        <v>5</v>
      </c>
      <c r="BA229">
        <v>1</v>
      </c>
      <c r="BB229">
        <v>1440</v>
      </c>
      <c r="BC229">
        <v>0</v>
      </c>
      <c r="BD229">
        <v>0</v>
      </c>
      <c r="BE229">
        <v>14</v>
      </c>
      <c r="BF229">
        <v>25</v>
      </c>
      <c r="BG229">
        <v>3</v>
      </c>
      <c r="BH229">
        <v>8</v>
      </c>
      <c r="BI229">
        <v>3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0</v>
      </c>
      <c r="BQ229">
        <v>60</v>
      </c>
      <c r="BR229">
        <v>0</v>
      </c>
      <c r="BS229">
        <v>3</v>
      </c>
      <c r="BT229" t="s">
        <v>243</v>
      </c>
      <c r="BU229" t="s">
        <v>261</v>
      </c>
      <c r="BV229" t="b">
        <v>0</v>
      </c>
      <c r="BW229" t="s">
        <v>262</v>
      </c>
    </row>
    <row r="230" spans="1:75">
      <c r="A230" t="s">
        <v>243</v>
      </c>
      <c r="B230" t="s">
        <v>252</v>
      </c>
      <c r="C230">
        <v>1143</v>
      </c>
      <c r="D230" t="s">
        <v>253</v>
      </c>
      <c r="E230" t="s">
        <v>254</v>
      </c>
      <c r="F230">
        <v>5</v>
      </c>
      <c r="G230" s="13">
        <v>46267.184837962966</v>
      </c>
      <c r="H230" s="13">
        <v>46267.184953703705</v>
      </c>
      <c r="I230">
        <v>10</v>
      </c>
      <c r="J230" t="s">
        <v>255</v>
      </c>
      <c r="K230">
        <v>0</v>
      </c>
      <c r="L230">
        <v>0</v>
      </c>
      <c r="M230">
        <v>0.04</v>
      </c>
      <c r="N230">
        <v>1</v>
      </c>
      <c r="O230">
        <v>0.04</v>
      </c>
      <c r="P230">
        <v>1.1200000000000001</v>
      </c>
      <c r="Q230">
        <v>3.76</v>
      </c>
      <c r="R230">
        <v>0</v>
      </c>
      <c r="S230" t="s">
        <v>256</v>
      </c>
      <c r="T230" t="s">
        <v>256</v>
      </c>
      <c r="U230">
        <v>11</v>
      </c>
      <c r="V230">
        <v>8001.95</v>
      </c>
      <c r="W230">
        <v>4999.32</v>
      </c>
      <c r="X230">
        <v>4998.88</v>
      </c>
      <c r="Y230">
        <v>0</v>
      </c>
      <c r="Z230">
        <v>0</v>
      </c>
      <c r="AA230">
        <v>35</v>
      </c>
      <c r="AB230">
        <v>50</v>
      </c>
      <c r="AC230">
        <v>5000</v>
      </c>
      <c r="AD230">
        <v>0</v>
      </c>
      <c r="AE230">
        <v>0</v>
      </c>
      <c r="AF230">
        <v>8004.99</v>
      </c>
      <c r="AG230">
        <v>8004.99</v>
      </c>
      <c r="AH230" s="14">
        <v>46267</v>
      </c>
      <c r="AI230" t="s">
        <v>258</v>
      </c>
      <c r="AJ230" s="13">
        <v>46262.213402777779</v>
      </c>
      <c r="AK230">
        <v>6066.68</v>
      </c>
      <c r="AL230" t="s">
        <v>259</v>
      </c>
      <c r="AM230" t="s">
        <v>260</v>
      </c>
      <c r="AN230">
        <v>1400</v>
      </c>
      <c r="AO230">
        <v>0</v>
      </c>
      <c r="AP230">
        <v>35</v>
      </c>
      <c r="AQ230">
        <v>85</v>
      </c>
      <c r="AR230">
        <v>35</v>
      </c>
      <c r="AS230">
        <v>2</v>
      </c>
      <c r="AT230">
        <v>23</v>
      </c>
      <c r="AU230">
        <v>1</v>
      </c>
      <c r="AV230">
        <v>0</v>
      </c>
      <c r="AW230">
        <v>10</v>
      </c>
      <c r="AX230">
        <v>1</v>
      </c>
      <c r="AY230">
        <v>10</v>
      </c>
      <c r="AZ230">
        <v>5</v>
      </c>
      <c r="BA230">
        <v>1</v>
      </c>
      <c r="BB230">
        <v>1440</v>
      </c>
      <c r="BC230">
        <v>0</v>
      </c>
      <c r="BD230">
        <v>0</v>
      </c>
      <c r="BE230">
        <v>14</v>
      </c>
      <c r="BF230">
        <v>25</v>
      </c>
      <c r="BG230">
        <v>3</v>
      </c>
      <c r="BH230">
        <v>8</v>
      </c>
      <c r="BI230">
        <v>3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0</v>
      </c>
      <c r="BQ230">
        <v>60</v>
      </c>
      <c r="BR230">
        <v>0</v>
      </c>
      <c r="BS230">
        <v>3</v>
      </c>
      <c r="BT230" t="s">
        <v>243</v>
      </c>
      <c r="BU230" t="s">
        <v>261</v>
      </c>
      <c r="BV230" t="b">
        <v>0</v>
      </c>
      <c r="BW230" t="s">
        <v>262</v>
      </c>
    </row>
    <row r="231" spans="1:75">
      <c r="A231" t="s">
        <v>243</v>
      </c>
      <c r="B231" t="s">
        <v>252</v>
      </c>
      <c r="C231">
        <v>1144</v>
      </c>
      <c r="D231" t="s">
        <v>253</v>
      </c>
      <c r="E231" t="s">
        <v>254</v>
      </c>
      <c r="F231">
        <v>5</v>
      </c>
      <c r="G231" s="13">
        <v>46267.189039351855</v>
      </c>
      <c r="H231" s="13">
        <v>46267.189351851855</v>
      </c>
      <c r="I231">
        <v>27</v>
      </c>
      <c r="J231" t="s">
        <v>264</v>
      </c>
      <c r="K231">
        <v>1</v>
      </c>
      <c r="L231">
        <v>0.04</v>
      </c>
      <c r="M231">
        <v>0.04</v>
      </c>
      <c r="N231">
        <v>1</v>
      </c>
      <c r="O231">
        <v>0.04</v>
      </c>
      <c r="P231">
        <v>2.96</v>
      </c>
      <c r="Q231">
        <v>6.16</v>
      </c>
      <c r="R231">
        <v>6.16</v>
      </c>
      <c r="S231" t="s">
        <v>256</v>
      </c>
      <c r="T231" t="s">
        <v>257</v>
      </c>
      <c r="U231">
        <v>11</v>
      </c>
      <c r="V231">
        <v>8004.19</v>
      </c>
      <c r="W231">
        <v>4999.2</v>
      </c>
      <c r="X231">
        <v>4997.04</v>
      </c>
      <c r="Y231">
        <v>0</v>
      </c>
      <c r="Z231">
        <v>0</v>
      </c>
      <c r="AA231">
        <v>35</v>
      </c>
      <c r="AB231">
        <v>50</v>
      </c>
      <c r="AC231">
        <v>5000</v>
      </c>
      <c r="AD231">
        <v>0</v>
      </c>
      <c r="AE231">
        <v>0</v>
      </c>
      <c r="AF231">
        <v>8009.75</v>
      </c>
      <c r="AG231">
        <v>8009.75</v>
      </c>
      <c r="AH231" s="14">
        <v>46267</v>
      </c>
      <c r="AI231" t="s">
        <v>258</v>
      </c>
      <c r="AJ231" s="13">
        <v>46262.213402777779</v>
      </c>
      <c r="AK231">
        <v>6066.68</v>
      </c>
      <c r="AL231" t="s">
        <v>259</v>
      </c>
      <c r="AM231" t="s">
        <v>260</v>
      </c>
      <c r="AN231">
        <v>1400</v>
      </c>
      <c r="AO231">
        <v>0</v>
      </c>
      <c r="AP231">
        <v>35</v>
      </c>
      <c r="AQ231">
        <v>85</v>
      </c>
      <c r="AR231">
        <v>35</v>
      </c>
      <c r="AS231">
        <v>2</v>
      </c>
      <c r="AT231">
        <v>23</v>
      </c>
      <c r="AU231">
        <v>1</v>
      </c>
      <c r="AV231">
        <v>0</v>
      </c>
      <c r="AW231">
        <v>10</v>
      </c>
      <c r="AX231">
        <v>1</v>
      </c>
      <c r="AY231">
        <v>10</v>
      </c>
      <c r="AZ231">
        <v>5</v>
      </c>
      <c r="BA231">
        <v>1</v>
      </c>
      <c r="BB231">
        <v>1440</v>
      </c>
      <c r="BC231">
        <v>0</v>
      </c>
      <c r="BD231">
        <v>0</v>
      </c>
      <c r="BE231">
        <v>14</v>
      </c>
      <c r="BF231">
        <v>25</v>
      </c>
      <c r="BG231">
        <v>3</v>
      </c>
      <c r="BH231">
        <v>8</v>
      </c>
      <c r="BI231">
        <v>3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0</v>
      </c>
      <c r="BQ231">
        <v>60</v>
      </c>
      <c r="BR231">
        <v>0</v>
      </c>
      <c r="BS231">
        <v>3</v>
      </c>
      <c r="BT231" t="s">
        <v>243</v>
      </c>
      <c r="BU231" t="s">
        <v>261</v>
      </c>
      <c r="BV231" t="b">
        <v>0</v>
      </c>
      <c r="BW231" t="s">
        <v>262</v>
      </c>
    </row>
    <row r="232" spans="1:75">
      <c r="A232" t="s">
        <v>243</v>
      </c>
      <c r="B232" t="s">
        <v>252</v>
      </c>
      <c r="C232">
        <v>1145</v>
      </c>
      <c r="D232" t="s">
        <v>253</v>
      </c>
      <c r="E232" t="s">
        <v>254</v>
      </c>
      <c r="F232">
        <v>5</v>
      </c>
      <c r="G232" s="13">
        <v>46267.193113425928</v>
      </c>
      <c r="H232" s="13">
        <v>46267.199664351851</v>
      </c>
      <c r="I232">
        <v>566</v>
      </c>
      <c r="J232" t="s">
        <v>264</v>
      </c>
      <c r="K232">
        <v>3</v>
      </c>
      <c r="L232">
        <v>0.12</v>
      </c>
      <c r="M232">
        <v>0.04</v>
      </c>
      <c r="N232">
        <v>3</v>
      </c>
      <c r="O232">
        <v>0.12</v>
      </c>
      <c r="P232">
        <v>24.8</v>
      </c>
      <c r="Q232">
        <v>22.48</v>
      </c>
      <c r="R232">
        <v>15.76</v>
      </c>
      <c r="S232" t="s">
        <v>263</v>
      </c>
      <c r="T232" t="s">
        <v>257</v>
      </c>
      <c r="U232">
        <v>10</v>
      </c>
      <c r="V232">
        <v>8009.11</v>
      </c>
      <c r="W232">
        <v>4999.3599999999997</v>
      </c>
      <c r="X232">
        <v>4975.2</v>
      </c>
      <c r="Y232">
        <v>0</v>
      </c>
      <c r="Z232">
        <v>0</v>
      </c>
      <c r="AA232">
        <v>35</v>
      </c>
      <c r="AB232">
        <v>50</v>
      </c>
      <c r="AC232">
        <v>5000</v>
      </c>
      <c r="AD232">
        <v>0</v>
      </c>
      <c r="AE232">
        <v>0</v>
      </c>
      <c r="AF232">
        <v>8025.35</v>
      </c>
      <c r="AG232">
        <v>8025.35</v>
      </c>
      <c r="AH232" s="14">
        <v>46267</v>
      </c>
      <c r="AI232" t="s">
        <v>258</v>
      </c>
      <c r="AJ232" s="13">
        <v>46262.213402777779</v>
      </c>
      <c r="AK232">
        <v>6066.68</v>
      </c>
      <c r="AL232" t="s">
        <v>259</v>
      </c>
      <c r="AM232" t="s">
        <v>260</v>
      </c>
      <c r="AN232">
        <v>1400</v>
      </c>
      <c r="AO232">
        <v>0</v>
      </c>
      <c r="AP232">
        <v>35</v>
      </c>
      <c r="AQ232">
        <v>85</v>
      </c>
      <c r="AR232">
        <v>35</v>
      </c>
      <c r="AS232">
        <v>2</v>
      </c>
      <c r="AT232">
        <v>23</v>
      </c>
      <c r="AU232">
        <v>1</v>
      </c>
      <c r="AV232">
        <v>0</v>
      </c>
      <c r="AW232">
        <v>10</v>
      </c>
      <c r="AX232">
        <v>1</v>
      </c>
      <c r="AY232">
        <v>10</v>
      </c>
      <c r="AZ232">
        <v>5</v>
      </c>
      <c r="BA232">
        <v>1</v>
      </c>
      <c r="BB232">
        <v>1440</v>
      </c>
      <c r="BC232">
        <v>0</v>
      </c>
      <c r="BD232">
        <v>0</v>
      </c>
      <c r="BE232">
        <v>14</v>
      </c>
      <c r="BF232">
        <v>25</v>
      </c>
      <c r="BG232">
        <v>3</v>
      </c>
      <c r="BH232">
        <v>8</v>
      </c>
      <c r="BI232">
        <v>3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0</v>
      </c>
      <c r="BQ232">
        <v>60</v>
      </c>
      <c r="BR232">
        <v>0</v>
      </c>
      <c r="BS232">
        <v>3</v>
      </c>
      <c r="BT232" t="s">
        <v>243</v>
      </c>
      <c r="BU232" t="s">
        <v>261</v>
      </c>
      <c r="BV232" t="b">
        <v>0</v>
      </c>
      <c r="BW232" t="s">
        <v>262</v>
      </c>
    </row>
    <row r="233" spans="1:75">
      <c r="A233" t="s">
        <v>243</v>
      </c>
      <c r="B233" t="s">
        <v>252</v>
      </c>
      <c r="C233">
        <v>1146</v>
      </c>
      <c r="D233" t="s">
        <v>253</v>
      </c>
      <c r="E233" t="s">
        <v>254</v>
      </c>
      <c r="F233">
        <v>5</v>
      </c>
      <c r="G233" s="13">
        <v>46267.202465277776</v>
      </c>
      <c r="H233" s="13">
        <v>46267.203344907408</v>
      </c>
      <c r="I233">
        <v>76</v>
      </c>
      <c r="J233" t="s">
        <v>264</v>
      </c>
      <c r="K233">
        <v>1</v>
      </c>
      <c r="L233">
        <v>0.04</v>
      </c>
      <c r="M233">
        <v>0.04</v>
      </c>
      <c r="N233">
        <v>1</v>
      </c>
      <c r="O233">
        <v>0.04</v>
      </c>
      <c r="P233">
        <v>2.88</v>
      </c>
      <c r="Q233">
        <v>23.92</v>
      </c>
      <c r="R233">
        <v>23.84</v>
      </c>
      <c r="S233" t="s">
        <v>256</v>
      </c>
      <c r="T233" t="s">
        <v>257</v>
      </c>
      <c r="U233">
        <v>10</v>
      </c>
      <c r="V233">
        <v>8024.55</v>
      </c>
      <c r="W233">
        <v>4999.2</v>
      </c>
      <c r="X233">
        <v>4997.12</v>
      </c>
      <c r="Y233">
        <v>0</v>
      </c>
      <c r="Z233">
        <v>0</v>
      </c>
      <c r="AA233">
        <v>35</v>
      </c>
      <c r="AB233">
        <v>50</v>
      </c>
      <c r="AC233">
        <v>5000</v>
      </c>
      <c r="AD233">
        <v>0</v>
      </c>
      <c r="AE233">
        <v>0</v>
      </c>
      <c r="AF233">
        <v>8047.87</v>
      </c>
      <c r="AG233">
        <v>8047.87</v>
      </c>
      <c r="AH233" s="14">
        <v>46267</v>
      </c>
      <c r="AI233" t="s">
        <v>258</v>
      </c>
      <c r="AJ233" s="13">
        <v>46262.213402777779</v>
      </c>
      <c r="AK233">
        <v>6066.68</v>
      </c>
      <c r="AL233" t="s">
        <v>259</v>
      </c>
      <c r="AM233" t="s">
        <v>260</v>
      </c>
      <c r="AN233">
        <v>1400</v>
      </c>
      <c r="AO233">
        <v>0</v>
      </c>
      <c r="AP233">
        <v>35</v>
      </c>
      <c r="AQ233">
        <v>85</v>
      </c>
      <c r="AR233">
        <v>35</v>
      </c>
      <c r="AS233">
        <v>2</v>
      </c>
      <c r="AT233">
        <v>23</v>
      </c>
      <c r="AU233">
        <v>1</v>
      </c>
      <c r="AV233">
        <v>0</v>
      </c>
      <c r="AW233">
        <v>10</v>
      </c>
      <c r="AX233">
        <v>1</v>
      </c>
      <c r="AY233">
        <v>10</v>
      </c>
      <c r="AZ233">
        <v>5</v>
      </c>
      <c r="BA233">
        <v>1</v>
      </c>
      <c r="BB233">
        <v>1440</v>
      </c>
      <c r="BC233">
        <v>0</v>
      </c>
      <c r="BD233">
        <v>0</v>
      </c>
      <c r="BE233">
        <v>14</v>
      </c>
      <c r="BF233">
        <v>25</v>
      </c>
      <c r="BG233">
        <v>3</v>
      </c>
      <c r="BH233">
        <v>8</v>
      </c>
      <c r="BI233">
        <v>3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0</v>
      </c>
      <c r="BQ233">
        <v>60</v>
      </c>
      <c r="BR233">
        <v>0</v>
      </c>
      <c r="BS233">
        <v>3</v>
      </c>
      <c r="BT233" t="s">
        <v>243</v>
      </c>
      <c r="BU233" t="s">
        <v>261</v>
      </c>
      <c r="BV233" t="b">
        <v>0</v>
      </c>
      <c r="BW233" t="s">
        <v>262</v>
      </c>
    </row>
    <row r="234" spans="1:75">
      <c r="A234" t="s">
        <v>243</v>
      </c>
      <c r="B234" t="s">
        <v>252</v>
      </c>
      <c r="C234">
        <v>1147</v>
      </c>
      <c r="D234" t="s">
        <v>253</v>
      </c>
      <c r="E234" t="s">
        <v>254</v>
      </c>
      <c r="F234">
        <v>5</v>
      </c>
      <c r="G234" s="13">
        <v>46267.205763888887</v>
      </c>
      <c r="H234" s="13">
        <v>46267.206053240741</v>
      </c>
      <c r="I234">
        <v>25</v>
      </c>
      <c r="J234" t="s">
        <v>264</v>
      </c>
      <c r="K234">
        <v>1</v>
      </c>
      <c r="L234">
        <v>0.04</v>
      </c>
      <c r="M234">
        <v>0.04</v>
      </c>
      <c r="N234">
        <v>1</v>
      </c>
      <c r="O234">
        <v>0.04</v>
      </c>
      <c r="P234">
        <v>0.64</v>
      </c>
      <c r="Q234">
        <v>8.64</v>
      </c>
      <c r="R234">
        <v>8.64</v>
      </c>
      <c r="S234" t="s">
        <v>256</v>
      </c>
      <c r="T234" t="s">
        <v>257</v>
      </c>
      <c r="U234">
        <v>11</v>
      </c>
      <c r="V234">
        <v>8047.23</v>
      </c>
      <c r="W234">
        <v>4999.3599999999997</v>
      </c>
      <c r="X234">
        <v>4999.3599999999997</v>
      </c>
      <c r="Y234">
        <v>0</v>
      </c>
      <c r="Z234">
        <v>0</v>
      </c>
      <c r="AA234">
        <v>35</v>
      </c>
      <c r="AB234">
        <v>50</v>
      </c>
      <c r="AC234">
        <v>5000</v>
      </c>
      <c r="AD234">
        <v>0</v>
      </c>
      <c r="AE234">
        <v>0</v>
      </c>
      <c r="AF234">
        <v>8055.07</v>
      </c>
      <c r="AG234">
        <v>8055.07</v>
      </c>
      <c r="AH234" s="14">
        <v>46267</v>
      </c>
      <c r="AI234" t="s">
        <v>258</v>
      </c>
      <c r="AJ234" s="13">
        <v>46262.213402777779</v>
      </c>
      <c r="AK234">
        <v>6066.68</v>
      </c>
      <c r="AL234" t="s">
        <v>259</v>
      </c>
      <c r="AM234" t="s">
        <v>260</v>
      </c>
      <c r="AN234">
        <v>1400</v>
      </c>
      <c r="AO234">
        <v>0</v>
      </c>
      <c r="AP234">
        <v>35</v>
      </c>
      <c r="AQ234">
        <v>85</v>
      </c>
      <c r="AR234">
        <v>35</v>
      </c>
      <c r="AS234">
        <v>2</v>
      </c>
      <c r="AT234">
        <v>23</v>
      </c>
      <c r="AU234">
        <v>1</v>
      </c>
      <c r="AV234">
        <v>0</v>
      </c>
      <c r="AW234">
        <v>10</v>
      </c>
      <c r="AX234">
        <v>1</v>
      </c>
      <c r="AY234">
        <v>10</v>
      </c>
      <c r="AZ234">
        <v>5</v>
      </c>
      <c r="BA234">
        <v>1</v>
      </c>
      <c r="BB234">
        <v>1440</v>
      </c>
      <c r="BC234">
        <v>0</v>
      </c>
      <c r="BD234">
        <v>0</v>
      </c>
      <c r="BE234">
        <v>14</v>
      </c>
      <c r="BF234">
        <v>25</v>
      </c>
      <c r="BG234">
        <v>3</v>
      </c>
      <c r="BH234">
        <v>8</v>
      </c>
      <c r="BI234">
        <v>3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0</v>
      </c>
      <c r="BQ234">
        <v>60</v>
      </c>
      <c r="BR234">
        <v>0</v>
      </c>
      <c r="BS234">
        <v>3</v>
      </c>
      <c r="BT234" t="s">
        <v>243</v>
      </c>
      <c r="BU234" t="s">
        <v>261</v>
      </c>
      <c r="BV234" t="b">
        <v>0</v>
      </c>
      <c r="BW234" t="s">
        <v>262</v>
      </c>
    </row>
    <row r="235" spans="1:75">
      <c r="A235" t="s">
        <v>243</v>
      </c>
      <c r="B235" t="s">
        <v>252</v>
      </c>
      <c r="C235">
        <v>1148</v>
      </c>
      <c r="D235" t="s">
        <v>253</v>
      </c>
      <c r="E235" t="s">
        <v>254</v>
      </c>
      <c r="F235">
        <v>5</v>
      </c>
      <c r="G235" s="13">
        <v>46267.20884259259</v>
      </c>
      <c r="H235" s="13">
        <v>46267.21634259259</v>
      </c>
      <c r="I235">
        <v>648</v>
      </c>
      <c r="J235" t="s">
        <v>264</v>
      </c>
      <c r="K235">
        <v>2</v>
      </c>
      <c r="L235">
        <v>0.08</v>
      </c>
      <c r="M235">
        <v>0.04</v>
      </c>
      <c r="N235">
        <v>2</v>
      </c>
      <c r="O235">
        <v>0.08</v>
      </c>
      <c r="P235">
        <v>56.24</v>
      </c>
      <c r="Q235">
        <v>28.68</v>
      </c>
      <c r="R235">
        <v>-0.12</v>
      </c>
      <c r="S235" t="s">
        <v>263</v>
      </c>
      <c r="T235" t="s">
        <v>256</v>
      </c>
      <c r="U235">
        <v>14</v>
      </c>
      <c r="V235">
        <v>8054.27</v>
      </c>
      <c r="W235">
        <v>4999.2</v>
      </c>
      <c r="X235">
        <v>4943.76</v>
      </c>
      <c r="Y235">
        <v>0</v>
      </c>
      <c r="Z235">
        <v>0</v>
      </c>
      <c r="AA235">
        <v>35</v>
      </c>
      <c r="AB235">
        <v>50</v>
      </c>
      <c r="AC235">
        <v>5000</v>
      </c>
      <c r="AD235">
        <v>0</v>
      </c>
      <c r="AE235">
        <v>0</v>
      </c>
      <c r="AF235">
        <v>8054.99</v>
      </c>
      <c r="AG235">
        <v>8054.99</v>
      </c>
      <c r="AH235" s="14">
        <v>46267</v>
      </c>
      <c r="AI235" t="s">
        <v>258</v>
      </c>
      <c r="AJ235" s="13">
        <v>46262.213402777779</v>
      </c>
      <c r="AK235">
        <v>6066.68</v>
      </c>
      <c r="AL235" t="s">
        <v>259</v>
      </c>
      <c r="AM235" t="s">
        <v>260</v>
      </c>
      <c r="AN235">
        <v>1400</v>
      </c>
      <c r="AO235">
        <v>0</v>
      </c>
      <c r="AP235">
        <v>35</v>
      </c>
      <c r="AQ235">
        <v>85</v>
      </c>
      <c r="AR235">
        <v>35</v>
      </c>
      <c r="AS235">
        <v>2</v>
      </c>
      <c r="AT235">
        <v>23</v>
      </c>
      <c r="AU235">
        <v>1</v>
      </c>
      <c r="AV235">
        <v>0</v>
      </c>
      <c r="AW235">
        <v>10</v>
      </c>
      <c r="AX235">
        <v>1</v>
      </c>
      <c r="AY235">
        <v>10</v>
      </c>
      <c r="AZ235">
        <v>5</v>
      </c>
      <c r="BA235">
        <v>1</v>
      </c>
      <c r="BB235">
        <v>1440</v>
      </c>
      <c r="BC235">
        <v>0</v>
      </c>
      <c r="BD235">
        <v>0</v>
      </c>
      <c r="BE235">
        <v>14</v>
      </c>
      <c r="BF235">
        <v>25</v>
      </c>
      <c r="BG235">
        <v>3</v>
      </c>
      <c r="BH235">
        <v>8</v>
      </c>
      <c r="BI235">
        <v>3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0</v>
      </c>
      <c r="BQ235">
        <v>60</v>
      </c>
      <c r="BR235">
        <v>0</v>
      </c>
      <c r="BS235">
        <v>3</v>
      </c>
      <c r="BT235" t="s">
        <v>243</v>
      </c>
      <c r="BU235" t="s">
        <v>261</v>
      </c>
      <c r="BV235" t="b">
        <v>0</v>
      </c>
      <c r="BW235" t="s">
        <v>262</v>
      </c>
    </row>
    <row r="236" spans="1:75">
      <c r="A236" t="s">
        <v>243</v>
      </c>
      <c r="B236" t="s">
        <v>252</v>
      </c>
      <c r="C236">
        <v>1149</v>
      </c>
      <c r="D236" t="s">
        <v>253</v>
      </c>
      <c r="E236" t="s">
        <v>254</v>
      </c>
      <c r="F236">
        <v>5</v>
      </c>
      <c r="G236" s="13">
        <v>46267.21634259259</v>
      </c>
      <c r="H236" s="13">
        <v>46267.217800925922</v>
      </c>
      <c r="I236">
        <v>126</v>
      </c>
      <c r="J236" t="s">
        <v>255</v>
      </c>
      <c r="K236">
        <v>1</v>
      </c>
      <c r="L236">
        <v>0.04</v>
      </c>
      <c r="M236">
        <v>0.04</v>
      </c>
      <c r="N236">
        <v>1</v>
      </c>
      <c r="O236">
        <v>0.04</v>
      </c>
      <c r="P236">
        <v>7.68</v>
      </c>
      <c r="Q236">
        <v>4.28</v>
      </c>
      <c r="R236">
        <v>4.28</v>
      </c>
      <c r="S236" t="s">
        <v>256</v>
      </c>
      <c r="T236" t="s">
        <v>257</v>
      </c>
      <c r="U236">
        <v>11</v>
      </c>
      <c r="V236">
        <v>8054.19</v>
      </c>
      <c r="W236">
        <v>4999.2</v>
      </c>
      <c r="X236">
        <v>4992.32</v>
      </c>
      <c r="Y236">
        <v>0</v>
      </c>
      <c r="Z236">
        <v>0</v>
      </c>
      <c r="AA236">
        <v>35</v>
      </c>
      <c r="AB236">
        <v>50</v>
      </c>
      <c r="AC236">
        <v>5000</v>
      </c>
      <c r="AD236">
        <v>0</v>
      </c>
      <c r="AE236">
        <v>0</v>
      </c>
      <c r="AF236">
        <v>8057.87</v>
      </c>
      <c r="AG236">
        <v>8057.87</v>
      </c>
      <c r="AH236" s="14">
        <v>46267</v>
      </c>
      <c r="AI236" t="s">
        <v>258</v>
      </c>
      <c r="AJ236" s="13">
        <v>46262.213402777779</v>
      </c>
      <c r="AK236">
        <v>6066.68</v>
      </c>
      <c r="AL236" t="s">
        <v>259</v>
      </c>
      <c r="AM236" t="s">
        <v>260</v>
      </c>
      <c r="AN236">
        <v>1400</v>
      </c>
      <c r="AO236">
        <v>0</v>
      </c>
      <c r="AP236">
        <v>35</v>
      </c>
      <c r="AQ236">
        <v>85</v>
      </c>
      <c r="AR236">
        <v>35</v>
      </c>
      <c r="AS236">
        <v>2</v>
      </c>
      <c r="AT236">
        <v>23</v>
      </c>
      <c r="AU236">
        <v>1</v>
      </c>
      <c r="AV236">
        <v>0</v>
      </c>
      <c r="AW236">
        <v>10</v>
      </c>
      <c r="AX236">
        <v>1</v>
      </c>
      <c r="AY236">
        <v>10</v>
      </c>
      <c r="AZ236">
        <v>5</v>
      </c>
      <c r="BA236">
        <v>1</v>
      </c>
      <c r="BB236">
        <v>1440</v>
      </c>
      <c r="BC236">
        <v>0</v>
      </c>
      <c r="BD236">
        <v>0</v>
      </c>
      <c r="BE236">
        <v>14</v>
      </c>
      <c r="BF236">
        <v>25</v>
      </c>
      <c r="BG236">
        <v>3</v>
      </c>
      <c r="BH236">
        <v>8</v>
      </c>
      <c r="BI236">
        <v>3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0</v>
      </c>
      <c r="BQ236">
        <v>60</v>
      </c>
      <c r="BR236">
        <v>0</v>
      </c>
      <c r="BS236">
        <v>3</v>
      </c>
      <c r="BT236" t="s">
        <v>243</v>
      </c>
      <c r="BU236" t="s">
        <v>261</v>
      </c>
      <c r="BV236" t="b">
        <v>0</v>
      </c>
      <c r="BW236" t="s">
        <v>262</v>
      </c>
    </row>
    <row r="237" spans="1:75">
      <c r="A237" t="s">
        <v>243</v>
      </c>
      <c r="B237" t="s">
        <v>252</v>
      </c>
      <c r="C237">
        <v>1150</v>
      </c>
      <c r="D237" t="s">
        <v>253</v>
      </c>
      <c r="E237" t="s">
        <v>254</v>
      </c>
      <c r="F237">
        <v>5</v>
      </c>
      <c r="G237" s="13">
        <v>46267.219884259262</v>
      </c>
      <c r="H237" s="13">
        <v>46267.221643518518</v>
      </c>
      <c r="I237">
        <v>152</v>
      </c>
      <c r="J237" t="s">
        <v>255</v>
      </c>
      <c r="K237">
        <v>1</v>
      </c>
      <c r="L237">
        <v>0.04</v>
      </c>
      <c r="M237">
        <v>0.04</v>
      </c>
      <c r="N237">
        <v>1</v>
      </c>
      <c r="O237">
        <v>0.04</v>
      </c>
      <c r="P237">
        <v>4.04</v>
      </c>
      <c r="Q237">
        <v>4.08</v>
      </c>
      <c r="R237">
        <v>2.76</v>
      </c>
      <c r="S237" t="s">
        <v>256</v>
      </c>
      <c r="T237" t="s">
        <v>257</v>
      </c>
      <c r="U237">
        <v>14</v>
      </c>
      <c r="V237">
        <v>8057.07</v>
      </c>
      <c r="W237">
        <v>4999.2</v>
      </c>
      <c r="X237">
        <v>4995.96</v>
      </c>
      <c r="Y237">
        <v>0</v>
      </c>
      <c r="Z237">
        <v>0</v>
      </c>
      <c r="AA237">
        <v>35</v>
      </c>
      <c r="AB237">
        <v>50</v>
      </c>
      <c r="AC237">
        <v>5000</v>
      </c>
      <c r="AD237">
        <v>0</v>
      </c>
      <c r="AE237">
        <v>0</v>
      </c>
      <c r="AF237">
        <v>8060.55</v>
      </c>
      <c r="AG237">
        <v>8060.55</v>
      </c>
      <c r="AH237" s="14">
        <v>46267</v>
      </c>
      <c r="AI237" t="s">
        <v>258</v>
      </c>
      <c r="AJ237" s="13">
        <v>46262.213402777779</v>
      </c>
      <c r="AK237">
        <v>6066.68</v>
      </c>
      <c r="AL237" t="s">
        <v>259</v>
      </c>
      <c r="AM237" t="s">
        <v>260</v>
      </c>
      <c r="AN237">
        <v>1400</v>
      </c>
      <c r="AO237">
        <v>0</v>
      </c>
      <c r="AP237">
        <v>35</v>
      </c>
      <c r="AQ237">
        <v>85</v>
      </c>
      <c r="AR237">
        <v>35</v>
      </c>
      <c r="AS237">
        <v>2</v>
      </c>
      <c r="AT237">
        <v>23</v>
      </c>
      <c r="AU237">
        <v>1</v>
      </c>
      <c r="AV237">
        <v>0</v>
      </c>
      <c r="AW237">
        <v>10</v>
      </c>
      <c r="AX237">
        <v>1</v>
      </c>
      <c r="AY237">
        <v>10</v>
      </c>
      <c r="AZ237">
        <v>5</v>
      </c>
      <c r="BA237">
        <v>1</v>
      </c>
      <c r="BB237">
        <v>1440</v>
      </c>
      <c r="BC237">
        <v>0</v>
      </c>
      <c r="BD237">
        <v>0</v>
      </c>
      <c r="BE237">
        <v>14</v>
      </c>
      <c r="BF237">
        <v>25</v>
      </c>
      <c r="BG237">
        <v>3</v>
      </c>
      <c r="BH237">
        <v>8</v>
      </c>
      <c r="BI237">
        <v>3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0</v>
      </c>
      <c r="BQ237">
        <v>60</v>
      </c>
      <c r="BR237">
        <v>0</v>
      </c>
      <c r="BS237">
        <v>3</v>
      </c>
      <c r="BT237" t="s">
        <v>243</v>
      </c>
      <c r="BU237" t="s">
        <v>261</v>
      </c>
      <c r="BV237" t="b">
        <v>0</v>
      </c>
      <c r="BW237" t="s">
        <v>262</v>
      </c>
    </row>
    <row r="238" spans="1:75">
      <c r="A238" t="s">
        <v>243</v>
      </c>
      <c r="B238" t="s">
        <v>252</v>
      </c>
      <c r="C238">
        <v>1151</v>
      </c>
      <c r="D238" t="s">
        <v>253</v>
      </c>
      <c r="E238" t="s">
        <v>254</v>
      </c>
      <c r="F238">
        <v>5</v>
      </c>
      <c r="G238" s="13">
        <v>46267.222928240742</v>
      </c>
      <c r="H238" s="13">
        <v>46267.231168981481</v>
      </c>
      <c r="I238">
        <v>712</v>
      </c>
      <c r="J238" t="s">
        <v>255</v>
      </c>
      <c r="K238">
        <v>3</v>
      </c>
      <c r="L238">
        <v>0.12</v>
      </c>
      <c r="M238">
        <v>0.04</v>
      </c>
      <c r="N238">
        <v>3</v>
      </c>
      <c r="O238">
        <v>0.12</v>
      </c>
      <c r="P238">
        <v>29.84</v>
      </c>
      <c r="Q238">
        <v>20.36</v>
      </c>
      <c r="R238">
        <v>12.2</v>
      </c>
      <c r="S238" t="s">
        <v>263</v>
      </c>
      <c r="T238" t="s">
        <v>257</v>
      </c>
      <c r="U238">
        <v>11</v>
      </c>
      <c r="V238">
        <v>8059.87</v>
      </c>
      <c r="W238">
        <v>4999.32</v>
      </c>
      <c r="X238">
        <v>4970.16</v>
      </c>
      <c r="Y238">
        <v>0</v>
      </c>
      <c r="Z238">
        <v>0</v>
      </c>
      <c r="AA238">
        <v>35</v>
      </c>
      <c r="AB238">
        <v>50</v>
      </c>
      <c r="AC238">
        <v>5000</v>
      </c>
      <c r="AD238">
        <v>0</v>
      </c>
      <c r="AE238">
        <v>0</v>
      </c>
      <c r="AF238">
        <v>8072.75</v>
      </c>
      <c r="AG238">
        <v>8072.75</v>
      </c>
      <c r="AH238" s="14">
        <v>46267</v>
      </c>
      <c r="AI238" t="s">
        <v>258</v>
      </c>
      <c r="AJ238" s="13">
        <v>46262.213402777779</v>
      </c>
      <c r="AK238">
        <v>6066.68</v>
      </c>
      <c r="AL238" t="s">
        <v>259</v>
      </c>
      <c r="AM238" t="s">
        <v>260</v>
      </c>
      <c r="AN238">
        <v>1400</v>
      </c>
      <c r="AO238">
        <v>0</v>
      </c>
      <c r="AP238">
        <v>35</v>
      </c>
      <c r="AQ238">
        <v>85</v>
      </c>
      <c r="AR238">
        <v>35</v>
      </c>
      <c r="AS238">
        <v>2</v>
      </c>
      <c r="AT238">
        <v>23</v>
      </c>
      <c r="AU238">
        <v>1</v>
      </c>
      <c r="AV238">
        <v>0</v>
      </c>
      <c r="AW238">
        <v>10</v>
      </c>
      <c r="AX238">
        <v>1</v>
      </c>
      <c r="AY238">
        <v>10</v>
      </c>
      <c r="AZ238">
        <v>5</v>
      </c>
      <c r="BA238">
        <v>1</v>
      </c>
      <c r="BB238">
        <v>1440</v>
      </c>
      <c r="BC238">
        <v>0</v>
      </c>
      <c r="BD238">
        <v>0</v>
      </c>
      <c r="BE238">
        <v>14</v>
      </c>
      <c r="BF238">
        <v>25</v>
      </c>
      <c r="BG238">
        <v>3</v>
      </c>
      <c r="BH238">
        <v>8</v>
      </c>
      <c r="BI238">
        <v>3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60</v>
      </c>
      <c r="BR238">
        <v>0</v>
      </c>
      <c r="BS238">
        <v>3</v>
      </c>
      <c r="BT238" t="s">
        <v>243</v>
      </c>
      <c r="BU238" t="s">
        <v>261</v>
      </c>
      <c r="BV238" t="b">
        <v>0</v>
      </c>
      <c r="BW238" t="s">
        <v>262</v>
      </c>
    </row>
    <row r="239" spans="1:75">
      <c r="A239" t="s">
        <v>243</v>
      </c>
      <c r="B239" t="s">
        <v>252</v>
      </c>
      <c r="C239">
        <v>1152</v>
      </c>
      <c r="D239" t="s">
        <v>253</v>
      </c>
      <c r="E239" t="s">
        <v>254</v>
      </c>
      <c r="F239">
        <v>5</v>
      </c>
      <c r="G239" s="13">
        <v>46267.233622685184</v>
      </c>
      <c r="H239" s="13">
        <v>46267.234444444446</v>
      </c>
      <c r="I239">
        <v>71</v>
      </c>
      <c r="J239" t="s">
        <v>255</v>
      </c>
      <c r="K239">
        <v>1</v>
      </c>
      <c r="L239">
        <v>0.04</v>
      </c>
      <c r="M239">
        <v>0.04</v>
      </c>
      <c r="N239">
        <v>1</v>
      </c>
      <c r="O239">
        <v>0.04</v>
      </c>
      <c r="P239">
        <v>6</v>
      </c>
      <c r="Q239">
        <v>5.44</v>
      </c>
      <c r="R239">
        <v>4.08</v>
      </c>
      <c r="S239" t="s">
        <v>256</v>
      </c>
      <c r="T239" t="s">
        <v>257</v>
      </c>
      <c r="U239">
        <v>10</v>
      </c>
      <c r="V239">
        <v>8072.11</v>
      </c>
      <c r="W239">
        <v>4999.3599999999997</v>
      </c>
      <c r="X239">
        <v>4994</v>
      </c>
      <c r="Y239">
        <v>0</v>
      </c>
      <c r="Z239">
        <v>0</v>
      </c>
      <c r="AA239">
        <v>35</v>
      </c>
      <c r="AB239">
        <v>50</v>
      </c>
      <c r="AC239">
        <v>5000</v>
      </c>
      <c r="AD239">
        <v>0</v>
      </c>
      <c r="AE239">
        <v>0</v>
      </c>
      <c r="AF239">
        <v>8076.79</v>
      </c>
      <c r="AG239">
        <v>8076.79</v>
      </c>
      <c r="AH239" s="14">
        <v>46267</v>
      </c>
      <c r="AI239" t="s">
        <v>258</v>
      </c>
      <c r="AJ239" s="13">
        <v>46262.213402777779</v>
      </c>
      <c r="AK239">
        <v>6066.68</v>
      </c>
      <c r="AL239" t="s">
        <v>259</v>
      </c>
      <c r="AM239" t="s">
        <v>260</v>
      </c>
      <c r="AN239">
        <v>1400</v>
      </c>
      <c r="AO239">
        <v>0</v>
      </c>
      <c r="AP239">
        <v>35</v>
      </c>
      <c r="AQ239">
        <v>85</v>
      </c>
      <c r="AR239">
        <v>35</v>
      </c>
      <c r="AS239">
        <v>2</v>
      </c>
      <c r="AT239">
        <v>23</v>
      </c>
      <c r="AU239">
        <v>1</v>
      </c>
      <c r="AV239">
        <v>0</v>
      </c>
      <c r="AW239">
        <v>10</v>
      </c>
      <c r="AX239">
        <v>1</v>
      </c>
      <c r="AY239">
        <v>10</v>
      </c>
      <c r="AZ239">
        <v>5</v>
      </c>
      <c r="BA239">
        <v>1</v>
      </c>
      <c r="BB239">
        <v>1440</v>
      </c>
      <c r="BC239">
        <v>0</v>
      </c>
      <c r="BD239">
        <v>0</v>
      </c>
      <c r="BE239">
        <v>14</v>
      </c>
      <c r="BF239">
        <v>25</v>
      </c>
      <c r="BG239">
        <v>3</v>
      </c>
      <c r="BH239">
        <v>8</v>
      </c>
      <c r="BI239">
        <v>3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0</v>
      </c>
      <c r="BQ239">
        <v>60</v>
      </c>
      <c r="BR239">
        <v>0</v>
      </c>
      <c r="BS239">
        <v>3</v>
      </c>
      <c r="BT239" t="s">
        <v>243</v>
      </c>
      <c r="BU239" t="s">
        <v>261</v>
      </c>
      <c r="BV239" t="b">
        <v>0</v>
      </c>
      <c r="BW239" t="s">
        <v>262</v>
      </c>
    </row>
    <row r="240" spans="1:75">
      <c r="A240" t="s">
        <v>243</v>
      </c>
      <c r="B240" t="s">
        <v>252</v>
      </c>
      <c r="C240">
        <v>1153</v>
      </c>
      <c r="D240" t="s">
        <v>253</v>
      </c>
      <c r="E240" t="s">
        <v>254</v>
      </c>
      <c r="F240">
        <v>5</v>
      </c>
      <c r="G240" s="13">
        <v>46267.238402777781</v>
      </c>
      <c r="H240" s="13">
        <v>46267.239745370367</v>
      </c>
      <c r="I240">
        <v>116</v>
      </c>
      <c r="J240" t="s">
        <v>264</v>
      </c>
      <c r="K240">
        <v>1</v>
      </c>
      <c r="L240">
        <v>0.04</v>
      </c>
      <c r="M240">
        <v>0.04</v>
      </c>
      <c r="N240">
        <v>1</v>
      </c>
      <c r="O240">
        <v>0.04</v>
      </c>
      <c r="P240">
        <v>12.84</v>
      </c>
      <c r="Q240">
        <v>3.48</v>
      </c>
      <c r="R240">
        <v>2.4</v>
      </c>
      <c r="S240" t="s">
        <v>256</v>
      </c>
      <c r="T240" t="s">
        <v>257</v>
      </c>
      <c r="U240">
        <v>10</v>
      </c>
      <c r="V240">
        <v>8076.15</v>
      </c>
      <c r="W240">
        <v>4999.3599999999997</v>
      </c>
      <c r="X240">
        <v>4987.16</v>
      </c>
      <c r="Y240">
        <v>0</v>
      </c>
      <c r="Z240">
        <v>0</v>
      </c>
      <c r="AA240">
        <v>35</v>
      </c>
      <c r="AB240">
        <v>50</v>
      </c>
      <c r="AC240">
        <v>5000</v>
      </c>
      <c r="AD240">
        <v>0</v>
      </c>
      <c r="AE240">
        <v>0</v>
      </c>
      <c r="AF240">
        <v>8078.87</v>
      </c>
      <c r="AG240">
        <v>8078.87</v>
      </c>
      <c r="AH240" s="14">
        <v>46267</v>
      </c>
      <c r="AI240" t="s">
        <v>258</v>
      </c>
      <c r="AJ240" s="13">
        <v>46262.213402777779</v>
      </c>
      <c r="AK240">
        <v>6066.68</v>
      </c>
      <c r="AL240" t="s">
        <v>259</v>
      </c>
      <c r="AM240" t="s">
        <v>260</v>
      </c>
      <c r="AN240">
        <v>1400</v>
      </c>
      <c r="AO240">
        <v>0</v>
      </c>
      <c r="AP240">
        <v>35</v>
      </c>
      <c r="AQ240">
        <v>85</v>
      </c>
      <c r="AR240">
        <v>35</v>
      </c>
      <c r="AS240">
        <v>2</v>
      </c>
      <c r="AT240">
        <v>23</v>
      </c>
      <c r="AU240">
        <v>1</v>
      </c>
      <c r="AV240">
        <v>0</v>
      </c>
      <c r="AW240">
        <v>10</v>
      </c>
      <c r="AX240">
        <v>1</v>
      </c>
      <c r="AY240">
        <v>10</v>
      </c>
      <c r="AZ240">
        <v>5</v>
      </c>
      <c r="BA240">
        <v>1</v>
      </c>
      <c r="BB240">
        <v>1440</v>
      </c>
      <c r="BC240">
        <v>0</v>
      </c>
      <c r="BD240">
        <v>0</v>
      </c>
      <c r="BE240">
        <v>14</v>
      </c>
      <c r="BF240">
        <v>25</v>
      </c>
      <c r="BG240">
        <v>3</v>
      </c>
      <c r="BH240">
        <v>8</v>
      </c>
      <c r="BI240">
        <v>3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60</v>
      </c>
      <c r="BR240">
        <v>0</v>
      </c>
      <c r="BS240">
        <v>3</v>
      </c>
      <c r="BT240" t="s">
        <v>243</v>
      </c>
      <c r="BU240" t="s">
        <v>261</v>
      </c>
      <c r="BV240" t="b">
        <v>0</v>
      </c>
      <c r="BW240" t="s">
        <v>262</v>
      </c>
    </row>
    <row r="241" spans="1:75">
      <c r="A241" t="s">
        <v>243</v>
      </c>
      <c r="B241" t="s">
        <v>252</v>
      </c>
      <c r="C241">
        <v>1154</v>
      </c>
      <c r="D241" t="s">
        <v>253</v>
      </c>
      <c r="E241" t="s">
        <v>254</v>
      </c>
      <c r="F241">
        <v>5</v>
      </c>
      <c r="G241" s="13">
        <v>46267.243946759256</v>
      </c>
      <c r="H241" s="13">
        <v>46267.246064814812</v>
      </c>
      <c r="I241">
        <v>183</v>
      </c>
      <c r="J241" t="s">
        <v>264</v>
      </c>
      <c r="K241">
        <v>1</v>
      </c>
      <c r="L241">
        <v>0.04</v>
      </c>
      <c r="M241">
        <v>0.04</v>
      </c>
      <c r="N241">
        <v>1</v>
      </c>
      <c r="O241">
        <v>0.04</v>
      </c>
      <c r="P241">
        <v>5.04</v>
      </c>
      <c r="Q241">
        <v>4.88</v>
      </c>
      <c r="R241">
        <v>3.64</v>
      </c>
      <c r="S241" t="s">
        <v>256</v>
      </c>
      <c r="T241" t="s">
        <v>257</v>
      </c>
      <c r="U241">
        <v>10</v>
      </c>
      <c r="V241">
        <v>8078.23</v>
      </c>
      <c r="W241">
        <v>4999.3599999999997</v>
      </c>
      <c r="X241">
        <v>4994.96</v>
      </c>
      <c r="Y241">
        <v>0</v>
      </c>
      <c r="Z241">
        <v>0</v>
      </c>
      <c r="AA241">
        <v>35</v>
      </c>
      <c r="AB241">
        <v>50</v>
      </c>
      <c r="AC241">
        <v>5000</v>
      </c>
      <c r="AD241">
        <v>0</v>
      </c>
      <c r="AE241">
        <v>0</v>
      </c>
      <c r="AF241">
        <v>8082.31</v>
      </c>
      <c r="AG241">
        <v>8082.31</v>
      </c>
      <c r="AH241" s="14">
        <v>46267</v>
      </c>
      <c r="AI241" t="s">
        <v>258</v>
      </c>
      <c r="AJ241" s="13">
        <v>46262.213402777779</v>
      </c>
      <c r="AK241">
        <v>6066.68</v>
      </c>
      <c r="AL241" t="s">
        <v>259</v>
      </c>
      <c r="AM241" t="s">
        <v>260</v>
      </c>
      <c r="AN241">
        <v>1400</v>
      </c>
      <c r="AO241">
        <v>0</v>
      </c>
      <c r="AP241">
        <v>35</v>
      </c>
      <c r="AQ241">
        <v>85</v>
      </c>
      <c r="AR241">
        <v>35</v>
      </c>
      <c r="AS241">
        <v>2</v>
      </c>
      <c r="AT241">
        <v>23</v>
      </c>
      <c r="AU241">
        <v>1</v>
      </c>
      <c r="AV241">
        <v>0</v>
      </c>
      <c r="AW241">
        <v>10</v>
      </c>
      <c r="AX241">
        <v>1</v>
      </c>
      <c r="AY241">
        <v>10</v>
      </c>
      <c r="AZ241">
        <v>5</v>
      </c>
      <c r="BA241">
        <v>1</v>
      </c>
      <c r="BB241">
        <v>1440</v>
      </c>
      <c r="BC241">
        <v>0</v>
      </c>
      <c r="BD241">
        <v>0</v>
      </c>
      <c r="BE241">
        <v>14</v>
      </c>
      <c r="BF241">
        <v>25</v>
      </c>
      <c r="BG241">
        <v>3</v>
      </c>
      <c r="BH241">
        <v>8</v>
      </c>
      <c r="BI241">
        <v>3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60</v>
      </c>
      <c r="BR241">
        <v>0</v>
      </c>
      <c r="BS241">
        <v>3</v>
      </c>
      <c r="BT241" t="s">
        <v>243</v>
      </c>
      <c r="BU241" t="s">
        <v>261</v>
      </c>
      <c r="BV241" t="b">
        <v>0</v>
      </c>
      <c r="BW241" t="s">
        <v>262</v>
      </c>
    </row>
    <row r="242" spans="1:75">
      <c r="A242" t="s">
        <v>243</v>
      </c>
      <c r="B242" t="s">
        <v>252</v>
      </c>
      <c r="C242">
        <v>1155</v>
      </c>
      <c r="D242" t="s">
        <v>253</v>
      </c>
      <c r="E242" t="s">
        <v>254</v>
      </c>
      <c r="F242">
        <v>5</v>
      </c>
      <c r="G242" s="13">
        <v>46267.247974537036</v>
      </c>
      <c r="H242" s="13">
        <v>46267.248831018522</v>
      </c>
      <c r="I242">
        <v>74</v>
      </c>
      <c r="J242" t="s">
        <v>264</v>
      </c>
      <c r="K242">
        <v>1</v>
      </c>
      <c r="L242">
        <v>0.04</v>
      </c>
      <c r="M242">
        <v>0.04</v>
      </c>
      <c r="N242">
        <v>1</v>
      </c>
      <c r="O242">
        <v>0.04</v>
      </c>
      <c r="P242">
        <v>5.52</v>
      </c>
      <c r="Q242">
        <v>3.68</v>
      </c>
      <c r="R242">
        <v>3.68</v>
      </c>
      <c r="S242" t="s">
        <v>256</v>
      </c>
      <c r="T242" t="s">
        <v>257</v>
      </c>
      <c r="U242">
        <v>11</v>
      </c>
      <c r="V242">
        <v>8081.67</v>
      </c>
      <c r="W242">
        <v>4999.3599999999997</v>
      </c>
      <c r="X242">
        <v>4994.4799999999996</v>
      </c>
      <c r="Y242">
        <v>0</v>
      </c>
      <c r="Z242">
        <v>0</v>
      </c>
      <c r="AA242">
        <v>35</v>
      </c>
      <c r="AB242">
        <v>50</v>
      </c>
      <c r="AC242">
        <v>5000</v>
      </c>
      <c r="AD242">
        <v>0</v>
      </c>
      <c r="AE242">
        <v>0</v>
      </c>
      <c r="AF242">
        <v>8084.59</v>
      </c>
      <c r="AG242">
        <v>8084.59</v>
      </c>
      <c r="AH242" s="14">
        <v>46267</v>
      </c>
      <c r="AI242" t="s">
        <v>258</v>
      </c>
      <c r="AJ242" s="13">
        <v>46262.213402777779</v>
      </c>
      <c r="AK242">
        <v>6066.68</v>
      </c>
      <c r="AL242" t="s">
        <v>259</v>
      </c>
      <c r="AM242" t="s">
        <v>260</v>
      </c>
      <c r="AN242">
        <v>1400</v>
      </c>
      <c r="AO242">
        <v>0</v>
      </c>
      <c r="AP242">
        <v>35</v>
      </c>
      <c r="AQ242">
        <v>85</v>
      </c>
      <c r="AR242">
        <v>35</v>
      </c>
      <c r="AS242">
        <v>2</v>
      </c>
      <c r="AT242">
        <v>23</v>
      </c>
      <c r="AU242">
        <v>1</v>
      </c>
      <c r="AV242">
        <v>0</v>
      </c>
      <c r="AW242">
        <v>10</v>
      </c>
      <c r="AX242">
        <v>1</v>
      </c>
      <c r="AY242">
        <v>10</v>
      </c>
      <c r="AZ242">
        <v>5</v>
      </c>
      <c r="BA242">
        <v>1</v>
      </c>
      <c r="BB242">
        <v>1440</v>
      </c>
      <c r="BC242">
        <v>0</v>
      </c>
      <c r="BD242">
        <v>0</v>
      </c>
      <c r="BE242">
        <v>14</v>
      </c>
      <c r="BF242">
        <v>25</v>
      </c>
      <c r="BG242">
        <v>3</v>
      </c>
      <c r="BH242">
        <v>8</v>
      </c>
      <c r="BI242">
        <v>3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0</v>
      </c>
      <c r="BQ242">
        <v>60</v>
      </c>
      <c r="BR242">
        <v>0</v>
      </c>
      <c r="BS242">
        <v>3</v>
      </c>
      <c r="BT242" t="s">
        <v>243</v>
      </c>
      <c r="BU242" t="s">
        <v>261</v>
      </c>
      <c r="BV242" t="b">
        <v>0</v>
      </c>
      <c r="BW242" t="s">
        <v>262</v>
      </c>
    </row>
    <row r="243" spans="1:75">
      <c r="A243" t="s">
        <v>243</v>
      </c>
      <c r="B243" t="s">
        <v>252</v>
      </c>
      <c r="C243">
        <v>1156</v>
      </c>
      <c r="D243" t="s">
        <v>253</v>
      </c>
      <c r="E243" t="s">
        <v>254</v>
      </c>
      <c r="F243">
        <v>5</v>
      </c>
      <c r="G243" s="13">
        <v>46267.251747685186</v>
      </c>
      <c r="H243" s="13">
        <v>46267.251979166664</v>
      </c>
      <c r="I243">
        <v>20</v>
      </c>
      <c r="J243" t="s">
        <v>264</v>
      </c>
      <c r="K243">
        <v>1</v>
      </c>
      <c r="L243">
        <v>0.04</v>
      </c>
      <c r="M243">
        <v>0.04</v>
      </c>
      <c r="N243">
        <v>1</v>
      </c>
      <c r="O243">
        <v>0.04</v>
      </c>
      <c r="P243">
        <v>0.88</v>
      </c>
      <c r="Q243">
        <v>4.16</v>
      </c>
      <c r="R243">
        <v>3.8</v>
      </c>
      <c r="S243" t="s">
        <v>256</v>
      </c>
      <c r="T243" t="s">
        <v>257</v>
      </c>
      <c r="U243">
        <v>10</v>
      </c>
      <c r="V243">
        <v>8083.95</v>
      </c>
      <c r="W243">
        <v>4999.3599999999997</v>
      </c>
      <c r="X243">
        <v>4999.12</v>
      </c>
      <c r="Y243">
        <v>0</v>
      </c>
      <c r="Z243">
        <v>0</v>
      </c>
      <c r="AA243">
        <v>35</v>
      </c>
      <c r="AB243">
        <v>50</v>
      </c>
      <c r="AC243">
        <v>5000</v>
      </c>
      <c r="AD243">
        <v>0</v>
      </c>
      <c r="AE243">
        <v>0</v>
      </c>
      <c r="AF243">
        <v>8087.31</v>
      </c>
      <c r="AG243">
        <v>8087.31</v>
      </c>
      <c r="AH243" s="14">
        <v>46267</v>
      </c>
      <c r="AI243" t="s">
        <v>258</v>
      </c>
      <c r="AJ243" s="13">
        <v>46262.213402777779</v>
      </c>
      <c r="AK243">
        <v>6066.68</v>
      </c>
      <c r="AL243" t="s">
        <v>259</v>
      </c>
      <c r="AM243" t="s">
        <v>260</v>
      </c>
      <c r="AN243">
        <v>1400</v>
      </c>
      <c r="AO243">
        <v>0</v>
      </c>
      <c r="AP243">
        <v>35</v>
      </c>
      <c r="AQ243">
        <v>85</v>
      </c>
      <c r="AR243">
        <v>35</v>
      </c>
      <c r="AS243">
        <v>2</v>
      </c>
      <c r="AT243">
        <v>23</v>
      </c>
      <c r="AU243">
        <v>1</v>
      </c>
      <c r="AV243">
        <v>0</v>
      </c>
      <c r="AW243">
        <v>10</v>
      </c>
      <c r="AX243">
        <v>1</v>
      </c>
      <c r="AY243">
        <v>10</v>
      </c>
      <c r="AZ243">
        <v>5</v>
      </c>
      <c r="BA243">
        <v>1</v>
      </c>
      <c r="BB243">
        <v>1440</v>
      </c>
      <c r="BC243">
        <v>0</v>
      </c>
      <c r="BD243">
        <v>0</v>
      </c>
      <c r="BE243">
        <v>14</v>
      </c>
      <c r="BF243">
        <v>25</v>
      </c>
      <c r="BG243">
        <v>3</v>
      </c>
      <c r="BH243">
        <v>8</v>
      </c>
      <c r="BI243">
        <v>3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0</v>
      </c>
      <c r="BQ243">
        <v>60</v>
      </c>
      <c r="BR243">
        <v>0</v>
      </c>
      <c r="BS243">
        <v>3</v>
      </c>
      <c r="BT243" t="s">
        <v>243</v>
      </c>
      <c r="BU243" t="s">
        <v>261</v>
      </c>
      <c r="BV243" t="b">
        <v>0</v>
      </c>
      <c r="BW243" t="s">
        <v>262</v>
      </c>
    </row>
    <row r="244" spans="1:75">
      <c r="A244" t="s">
        <v>243</v>
      </c>
      <c r="B244" t="s">
        <v>252</v>
      </c>
      <c r="C244">
        <v>1157</v>
      </c>
      <c r="D244" t="s">
        <v>253</v>
      </c>
      <c r="E244" t="s">
        <v>254</v>
      </c>
      <c r="F244">
        <v>5</v>
      </c>
      <c r="G244" s="13">
        <v>46267.254918981482</v>
      </c>
      <c r="H244" s="13">
        <v>46267.263831018521</v>
      </c>
      <c r="I244">
        <v>770</v>
      </c>
      <c r="J244" t="s">
        <v>264</v>
      </c>
      <c r="K244">
        <v>2</v>
      </c>
      <c r="L244">
        <v>0.08</v>
      </c>
      <c r="M244">
        <v>0.04</v>
      </c>
      <c r="N244">
        <v>2</v>
      </c>
      <c r="O244">
        <v>0.08</v>
      </c>
      <c r="P244">
        <v>20</v>
      </c>
      <c r="Q244">
        <v>11.52</v>
      </c>
      <c r="R244">
        <v>6.16</v>
      </c>
      <c r="S244" t="s">
        <v>263</v>
      </c>
      <c r="T244" t="s">
        <v>257</v>
      </c>
      <c r="U244">
        <v>11</v>
      </c>
      <c r="V244">
        <v>8086.67</v>
      </c>
      <c r="W244">
        <v>4999.3599999999997</v>
      </c>
      <c r="X244">
        <v>4980</v>
      </c>
      <c r="Y244">
        <v>0</v>
      </c>
      <c r="Z244">
        <v>0</v>
      </c>
      <c r="AA244">
        <v>35</v>
      </c>
      <c r="AB244">
        <v>50</v>
      </c>
      <c r="AC244">
        <v>5000</v>
      </c>
      <c r="AD244">
        <v>0</v>
      </c>
      <c r="AE244">
        <v>0</v>
      </c>
      <c r="AF244">
        <v>8093.59</v>
      </c>
      <c r="AG244">
        <v>8093.59</v>
      </c>
      <c r="AH244" s="14">
        <v>46267</v>
      </c>
      <c r="AI244" t="s">
        <v>258</v>
      </c>
      <c r="AJ244" s="13">
        <v>46262.213402777779</v>
      </c>
      <c r="AK244">
        <v>6066.68</v>
      </c>
      <c r="AL244" t="s">
        <v>259</v>
      </c>
      <c r="AM244" t="s">
        <v>260</v>
      </c>
      <c r="AN244">
        <v>1400</v>
      </c>
      <c r="AO244">
        <v>0</v>
      </c>
      <c r="AP244">
        <v>35</v>
      </c>
      <c r="AQ244">
        <v>85</v>
      </c>
      <c r="AR244">
        <v>35</v>
      </c>
      <c r="AS244">
        <v>2</v>
      </c>
      <c r="AT244">
        <v>23</v>
      </c>
      <c r="AU244">
        <v>1</v>
      </c>
      <c r="AV244">
        <v>0</v>
      </c>
      <c r="AW244">
        <v>10</v>
      </c>
      <c r="AX244">
        <v>1</v>
      </c>
      <c r="AY244">
        <v>10</v>
      </c>
      <c r="AZ244">
        <v>5</v>
      </c>
      <c r="BA244">
        <v>1</v>
      </c>
      <c r="BB244">
        <v>1440</v>
      </c>
      <c r="BC244">
        <v>0</v>
      </c>
      <c r="BD244">
        <v>0</v>
      </c>
      <c r="BE244">
        <v>14</v>
      </c>
      <c r="BF244">
        <v>25</v>
      </c>
      <c r="BG244">
        <v>3</v>
      </c>
      <c r="BH244">
        <v>8</v>
      </c>
      <c r="BI244">
        <v>3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0</v>
      </c>
      <c r="BQ244">
        <v>60</v>
      </c>
      <c r="BR244">
        <v>0</v>
      </c>
      <c r="BS244">
        <v>3</v>
      </c>
      <c r="BT244" t="s">
        <v>243</v>
      </c>
      <c r="BU244" t="s">
        <v>261</v>
      </c>
      <c r="BV244" t="b">
        <v>0</v>
      </c>
      <c r="BW244" t="s">
        <v>262</v>
      </c>
    </row>
    <row r="245" spans="1:75">
      <c r="A245" t="s">
        <v>243</v>
      </c>
      <c r="B245" t="s">
        <v>252</v>
      </c>
      <c r="C245">
        <v>1158</v>
      </c>
      <c r="D245" t="s">
        <v>253</v>
      </c>
      <c r="E245" t="s">
        <v>254</v>
      </c>
      <c r="F245">
        <v>5</v>
      </c>
      <c r="G245" s="13">
        <v>46267.264432870368</v>
      </c>
      <c r="H245" s="13">
        <v>46267.264768518522</v>
      </c>
      <c r="I245">
        <v>29</v>
      </c>
      <c r="J245" t="s">
        <v>264</v>
      </c>
      <c r="K245">
        <v>1</v>
      </c>
      <c r="L245">
        <v>0.04</v>
      </c>
      <c r="M245">
        <v>0.04</v>
      </c>
      <c r="N245">
        <v>1</v>
      </c>
      <c r="O245">
        <v>0.04</v>
      </c>
      <c r="P245">
        <v>1.2</v>
      </c>
      <c r="Q245">
        <v>7.36</v>
      </c>
      <c r="R245">
        <v>6.08</v>
      </c>
      <c r="S245" t="s">
        <v>256</v>
      </c>
      <c r="T245" t="s">
        <v>257</v>
      </c>
      <c r="U245">
        <v>10</v>
      </c>
      <c r="V245">
        <v>8092.95</v>
      </c>
      <c r="W245">
        <v>4999.3599999999997</v>
      </c>
      <c r="X245">
        <v>4998.8</v>
      </c>
      <c r="Y245">
        <v>0</v>
      </c>
      <c r="Z245">
        <v>0</v>
      </c>
      <c r="AA245">
        <v>35</v>
      </c>
      <c r="AB245">
        <v>50</v>
      </c>
      <c r="AC245">
        <v>5000</v>
      </c>
      <c r="AD245">
        <v>0</v>
      </c>
      <c r="AE245">
        <v>0</v>
      </c>
      <c r="AF245">
        <v>8099.55</v>
      </c>
      <c r="AG245">
        <v>8099.55</v>
      </c>
      <c r="AH245" s="14">
        <v>46267</v>
      </c>
      <c r="AI245" t="s">
        <v>258</v>
      </c>
      <c r="AJ245" s="13">
        <v>46262.213402777779</v>
      </c>
      <c r="AK245">
        <v>6066.68</v>
      </c>
      <c r="AL245" t="s">
        <v>259</v>
      </c>
      <c r="AM245" t="s">
        <v>260</v>
      </c>
      <c r="AN245">
        <v>1400</v>
      </c>
      <c r="AO245">
        <v>0</v>
      </c>
      <c r="AP245">
        <v>35</v>
      </c>
      <c r="AQ245">
        <v>85</v>
      </c>
      <c r="AR245">
        <v>35</v>
      </c>
      <c r="AS245">
        <v>2</v>
      </c>
      <c r="AT245">
        <v>23</v>
      </c>
      <c r="AU245">
        <v>1</v>
      </c>
      <c r="AV245">
        <v>0</v>
      </c>
      <c r="AW245">
        <v>10</v>
      </c>
      <c r="AX245">
        <v>1</v>
      </c>
      <c r="AY245">
        <v>10</v>
      </c>
      <c r="AZ245">
        <v>5</v>
      </c>
      <c r="BA245">
        <v>1</v>
      </c>
      <c r="BB245">
        <v>1440</v>
      </c>
      <c r="BC245">
        <v>0</v>
      </c>
      <c r="BD245">
        <v>0</v>
      </c>
      <c r="BE245">
        <v>14</v>
      </c>
      <c r="BF245">
        <v>25</v>
      </c>
      <c r="BG245">
        <v>3</v>
      </c>
      <c r="BH245">
        <v>8</v>
      </c>
      <c r="BI245">
        <v>3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0</v>
      </c>
      <c r="BQ245">
        <v>60</v>
      </c>
      <c r="BR245">
        <v>0</v>
      </c>
      <c r="BS245">
        <v>3</v>
      </c>
      <c r="BT245" t="s">
        <v>243</v>
      </c>
      <c r="BU245" t="s">
        <v>261</v>
      </c>
      <c r="BV245" t="b">
        <v>0</v>
      </c>
      <c r="BW245" t="s">
        <v>262</v>
      </c>
    </row>
    <row r="246" spans="1:75">
      <c r="A246" t="s">
        <v>243</v>
      </c>
      <c r="B246" t="s">
        <v>252</v>
      </c>
      <c r="C246">
        <v>1159</v>
      </c>
      <c r="D246" t="s">
        <v>253</v>
      </c>
      <c r="E246" t="s">
        <v>254</v>
      </c>
      <c r="F246">
        <v>5</v>
      </c>
      <c r="G246" s="13">
        <v>46267.267858796295</v>
      </c>
      <c r="H246" s="13">
        <v>46267.268136574072</v>
      </c>
      <c r="I246">
        <v>24</v>
      </c>
      <c r="J246" t="s">
        <v>255</v>
      </c>
      <c r="K246">
        <v>1</v>
      </c>
      <c r="L246">
        <v>0.04</v>
      </c>
      <c r="M246">
        <v>0.04</v>
      </c>
      <c r="N246">
        <v>1</v>
      </c>
      <c r="O246">
        <v>0.04</v>
      </c>
      <c r="P246">
        <v>0.64</v>
      </c>
      <c r="Q246">
        <v>4</v>
      </c>
      <c r="R246">
        <v>3.4</v>
      </c>
      <c r="S246" t="s">
        <v>256</v>
      </c>
      <c r="T246" t="s">
        <v>257</v>
      </c>
      <c r="U246">
        <v>10</v>
      </c>
      <c r="V246">
        <v>8098.91</v>
      </c>
      <c r="W246">
        <v>4999.3599999999997</v>
      </c>
      <c r="X246">
        <v>4999.3599999999997</v>
      </c>
      <c r="Y246">
        <v>0</v>
      </c>
      <c r="Z246">
        <v>0</v>
      </c>
      <c r="AA246">
        <v>35</v>
      </c>
      <c r="AB246">
        <v>50</v>
      </c>
      <c r="AC246">
        <v>5000</v>
      </c>
      <c r="AD246">
        <v>0</v>
      </c>
      <c r="AE246">
        <v>0</v>
      </c>
      <c r="AF246">
        <v>8102.15</v>
      </c>
      <c r="AG246">
        <v>8102.15</v>
      </c>
      <c r="AH246" s="14">
        <v>46267</v>
      </c>
      <c r="AI246" t="s">
        <v>258</v>
      </c>
      <c r="AJ246" s="13">
        <v>46262.213402777779</v>
      </c>
      <c r="AK246">
        <v>6066.68</v>
      </c>
      <c r="AL246" t="s">
        <v>259</v>
      </c>
      <c r="AM246" t="s">
        <v>260</v>
      </c>
      <c r="AN246">
        <v>1400</v>
      </c>
      <c r="AO246">
        <v>0</v>
      </c>
      <c r="AP246">
        <v>35</v>
      </c>
      <c r="AQ246">
        <v>85</v>
      </c>
      <c r="AR246">
        <v>35</v>
      </c>
      <c r="AS246">
        <v>2</v>
      </c>
      <c r="AT246">
        <v>23</v>
      </c>
      <c r="AU246">
        <v>1</v>
      </c>
      <c r="AV246">
        <v>0</v>
      </c>
      <c r="AW246">
        <v>10</v>
      </c>
      <c r="AX246">
        <v>1</v>
      </c>
      <c r="AY246">
        <v>10</v>
      </c>
      <c r="AZ246">
        <v>5</v>
      </c>
      <c r="BA246">
        <v>1</v>
      </c>
      <c r="BB246">
        <v>1440</v>
      </c>
      <c r="BC246">
        <v>0</v>
      </c>
      <c r="BD246">
        <v>0</v>
      </c>
      <c r="BE246">
        <v>14</v>
      </c>
      <c r="BF246">
        <v>25</v>
      </c>
      <c r="BG246">
        <v>3</v>
      </c>
      <c r="BH246">
        <v>8</v>
      </c>
      <c r="BI246">
        <v>3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0</v>
      </c>
      <c r="BQ246">
        <v>60</v>
      </c>
      <c r="BR246">
        <v>0</v>
      </c>
      <c r="BS246">
        <v>3</v>
      </c>
      <c r="BT246" t="s">
        <v>243</v>
      </c>
      <c r="BU246" t="s">
        <v>261</v>
      </c>
      <c r="BV246" t="b">
        <v>0</v>
      </c>
      <c r="BW246" t="s">
        <v>262</v>
      </c>
    </row>
    <row r="247" spans="1:75">
      <c r="A247" t="s">
        <v>243</v>
      </c>
      <c r="B247" t="s">
        <v>252</v>
      </c>
      <c r="C247">
        <v>1160</v>
      </c>
      <c r="D247" t="s">
        <v>253</v>
      </c>
      <c r="E247" t="s">
        <v>254</v>
      </c>
      <c r="F247">
        <v>5</v>
      </c>
      <c r="G247" s="13">
        <v>46267.272777777776</v>
      </c>
      <c r="H247" s="13">
        <v>46267.273587962962</v>
      </c>
      <c r="I247">
        <v>70</v>
      </c>
      <c r="J247" t="s">
        <v>264</v>
      </c>
      <c r="K247">
        <v>1</v>
      </c>
      <c r="L247">
        <v>0.04</v>
      </c>
      <c r="M247">
        <v>0.04</v>
      </c>
      <c r="N247">
        <v>1</v>
      </c>
      <c r="O247">
        <v>0.04</v>
      </c>
      <c r="P247">
        <v>3.28</v>
      </c>
      <c r="Q247">
        <v>3.24</v>
      </c>
      <c r="R247">
        <v>1.96</v>
      </c>
      <c r="S247" t="s">
        <v>256</v>
      </c>
      <c r="T247" t="s">
        <v>257</v>
      </c>
      <c r="U247">
        <v>11</v>
      </c>
      <c r="V247">
        <v>8101.51</v>
      </c>
      <c r="W247">
        <v>4999.3599999999997</v>
      </c>
      <c r="X247">
        <v>4996.72</v>
      </c>
      <c r="Y247">
        <v>0</v>
      </c>
      <c r="Z247">
        <v>0</v>
      </c>
      <c r="AA247">
        <v>35</v>
      </c>
      <c r="AB247">
        <v>50</v>
      </c>
      <c r="AC247">
        <v>5000</v>
      </c>
      <c r="AD247">
        <v>0</v>
      </c>
      <c r="AE247">
        <v>0</v>
      </c>
      <c r="AF247">
        <v>8103.99</v>
      </c>
      <c r="AG247">
        <v>8103.99</v>
      </c>
      <c r="AH247" s="14">
        <v>46267</v>
      </c>
      <c r="AI247" t="s">
        <v>258</v>
      </c>
      <c r="AJ247" s="13">
        <v>46262.213402777779</v>
      </c>
      <c r="AK247">
        <v>6066.68</v>
      </c>
      <c r="AL247" t="s">
        <v>259</v>
      </c>
      <c r="AM247" t="s">
        <v>260</v>
      </c>
      <c r="AN247">
        <v>1400</v>
      </c>
      <c r="AO247">
        <v>0</v>
      </c>
      <c r="AP247">
        <v>35</v>
      </c>
      <c r="AQ247">
        <v>85</v>
      </c>
      <c r="AR247">
        <v>35</v>
      </c>
      <c r="AS247">
        <v>2</v>
      </c>
      <c r="AT247">
        <v>23</v>
      </c>
      <c r="AU247">
        <v>1</v>
      </c>
      <c r="AV247">
        <v>0</v>
      </c>
      <c r="AW247">
        <v>10</v>
      </c>
      <c r="AX247">
        <v>1</v>
      </c>
      <c r="AY247">
        <v>10</v>
      </c>
      <c r="AZ247">
        <v>5</v>
      </c>
      <c r="BA247">
        <v>1</v>
      </c>
      <c r="BB247">
        <v>1440</v>
      </c>
      <c r="BC247">
        <v>0</v>
      </c>
      <c r="BD247">
        <v>0</v>
      </c>
      <c r="BE247">
        <v>14</v>
      </c>
      <c r="BF247">
        <v>25</v>
      </c>
      <c r="BG247">
        <v>3</v>
      </c>
      <c r="BH247">
        <v>8</v>
      </c>
      <c r="BI247">
        <v>3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0</v>
      </c>
      <c r="BQ247">
        <v>60</v>
      </c>
      <c r="BR247">
        <v>0</v>
      </c>
      <c r="BS247">
        <v>3</v>
      </c>
      <c r="BT247" t="s">
        <v>243</v>
      </c>
      <c r="BU247" t="s">
        <v>261</v>
      </c>
      <c r="BV247" t="b">
        <v>0</v>
      </c>
      <c r="BW247" t="s">
        <v>262</v>
      </c>
    </row>
    <row r="248" spans="1:75">
      <c r="A248" t="s">
        <v>243</v>
      </c>
      <c r="B248" t="s">
        <v>252</v>
      </c>
      <c r="C248">
        <v>1161</v>
      </c>
      <c r="D248" t="s">
        <v>253</v>
      </c>
      <c r="E248" t="s">
        <v>254</v>
      </c>
      <c r="F248">
        <v>5</v>
      </c>
      <c r="G248" s="13">
        <v>46267.275370370371</v>
      </c>
      <c r="H248" s="13">
        <v>46267.276620370372</v>
      </c>
      <c r="I248">
        <v>108</v>
      </c>
      <c r="J248" t="s">
        <v>255</v>
      </c>
      <c r="K248">
        <v>1</v>
      </c>
      <c r="L248">
        <v>0.04</v>
      </c>
      <c r="M248">
        <v>0.04</v>
      </c>
      <c r="N248">
        <v>1</v>
      </c>
      <c r="O248">
        <v>0.04</v>
      </c>
      <c r="P248">
        <v>8</v>
      </c>
      <c r="Q248">
        <v>6.32</v>
      </c>
      <c r="R248">
        <v>5.04</v>
      </c>
      <c r="S248" t="s">
        <v>256</v>
      </c>
      <c r="T248" t="s">
        <v>257</v>
      </c>
      <c r="U248">
        <v>11</v>
      </c>
      <c r="V248">
        <v>8103.35</v>
      </c>
      <c r="W248">
        <v>4999.3599999999997</v>
      </c>
      <c r="X248">
        <v>4992</v>
      </c>
      <c r="Y248">
        <v>0</v>
      </c>
      <c r="Z248">
        <v>0</v>
      </c>
      <c r="AA248">
        <v>35</v>
      </c>
      <c r="AB248">
        <v>50</v>
      </c>
      <c r="AC248">
        <v>5000</v>
      </c>
      <c r="AD248">
        <v>0</v>
      </c>
      <c r="AE248">
        <v>0</v>
      </c>
      <c r="AF248">
        <v>8108.87</v>
      </c>
      <c r="AG248">
        <v>8108.87</v>
      </c>
      <c r="AH248" s="14">
        <v>46267</v>
      </c>
      <c r="AI248" t="s">
        <v>258</v>
      </c>
      <c r="AJ248" s="13">
        <v>46262.213402777779</v>
      </c>
      <c r="AK248">
        <v>6066.68</v>
      </c>
      <c r="AL248" t="s">
        <v>259</v>
      </c>
      <c r="AM248" t="s">
        <v>260</v>
      </c>
      <c r="AN248">
        <v>1400</v>
      </c>
      <c r="AO248">
        <v>0</v>
      </c>
      <c r="AP248">
        <v>35</v>
      </c>
      <c r="AQ248">
        <v>85</v>
      </c>
      <c r="AR248">
        <v>35</v>
      </c>
      <c r="AS248">
        <v>2</v>
      </c>
      <c r="AT248">
        <v>23</v>
      </c>
      <c r="AU248">
        <v>1</v>
      </c>
      <c r="AV248">
        <v>0</v>
      </c>
      <c r="AW248">
        <v>10</v>
      </c>
      <c r="AX248">
        <v>1</v>
      </c>
      <c r="AY248">
        <v>10</v>
      </c>
      <c r="AZ248">
        <v>5</v>
      </c>
      <c r="BA248">
        <v>1</v>
      </c>
      <c r="BB248">
        <v>1440</v>
      </c>
      <c r="BC248">
        <v>0</v>
      </c>
      <c r="BD248">
        <v>0</v>
      </c>
      <c r="BE248">
        <v>14</v>
      </c>
      <c r="BF248">
        <v>25</v>
      </c>
      <c r="BG248">
        <v>3</v>
      </c>
      <c r="BH248">
        <v>8</v>
      </c>
      <c r="BI248">
        <v>3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0</v>
      </c>
      <c r="BQ248">
        <v>60</v>
      </c>
      <c r="BR248">
        <v>0</v>
      </c>
      <c r="BS248">
        <v>3</v>
      </c>
      <c r="BT248" t="s">
        <v>243</v>
      </c>
      <c r="BU248" t="s">
        <v>261</v>
      </c>
      <c r="BV248" t="b">
        <v>0</v>
      </c>
      <c r="BW248" t="s">
        <v>262</v>
      </c>
    </row>
    <row r="249" spans="1:75">
      <c r="A249" t="s">
        <v>243</v>
      </c>
      <c r="B249" t="s">
        <v>252</v>
      </c>
      <c r="C249">
        <v>1162</v>
      </c>
      <c r="D249" t="s">
        <v>253</v>
      </c>
      <c r="E249" t="s">
        <v>254</v>
      </c>
      <c r="F249">
        <v>5</v>
      </c>
      <c r="G249" s="13">
        <v>46267.278680555559</v>
      </c>
      <c r="H249" s="13">
        <v>46267.278923611113</v>
      </c>
      <c r="I249">
        <v>21</v>
      </c>
      <c r="J249" t="s">
        <v>264</v>
      </c>
      <c r="K249">
        <v>1</v>
      </c>
      <c r="L249">
        <v>0.04</v>
      </c>
      <c r="M249">
        <v>0.04</v>
      </c>
      <c r="N249">
        <v>1</v>
      </c>
      <c r="O249">
        <v>0.04</v>
      </c>
      <c r="P249">
        <v>1</v>
      </c>
      <c r="Q249">
        <v>4.24</v>
      </c>
      <c r="R249">
        <v>2.56</v>
      </c>
      <c r="S249" t="s">
        <v>256</v>
      </c>
      <c r="T249" t="s">
        <v>257</v>
      </c>
      <c r="U249">
        <v>11</v>
      </c>
      <c r="V249">
        <v>8108.19</v>
      </c>
      <c r="W249">
        <v>4999.32</v>
      </c>
      <c r="X249">
        <v>4999</v>
      </c>
      <c r="Y249">
        <v>0</v>
      </c>
      <c r="Z249">
        <v>0</v>
      </c>
      <c r="AA249">
        <v>35</v>
      </c>
      <c r="AB249">
        <v>50</v>
      </c>
      <c r="AC249">
        <v>5000</v>
      </c>
      <c r="AD249">
        <v>0</v>
      </c>
      <c r="AE249">
        <v>0</v>
      </c>
      <c r="AF249">
        <v>8111.27</v>
      </c>
      <c r="AG249">
        <v>8111.27</v>
      </c>
      <c r="AH249" s="14">
        <v>46267</v>
      </c>
      <c r="AI249" t="s">
        <v>258</v>
      </c>
      <c r="AJ249" s="13">
        <v>46262.213402777779</v>
      </c>
      <c r="AK249">
        <v>6066.68</v>
      </c>
      <c r="AL249" t="s">
        <v>259</v>
      </c>
      <c r="AM249" t="s">
        <v>260</v>
      </c>
      <c r="AN249">
        <v>1400</v>
      </c>
      <c r="AO249">
        <v>0</v>
      </c>
      <c r="AP249">
        <v>35</v>
      </c>
      <c r="AQ249">
        <v>85</v>
      </c>
      <c r="AR249">
        <v>35</v>
      </c>
      <c r="AS249">
        <v>2</v>
      </c>
      <c r="AT249">
        <v>23</v>
      </c>
      <c r="AU249">
        <v>1</v>
      </c>
      <c r="AV249">
        <v>0</v>
      </c>
      <c r="AW249">
        <v>10</v>
      </c>
      <c r="AX249">
        <v>1</v>
      </c>
      <c r="AY249">
        <v>10</v>
      </c>
      <c r="AZ249">
        <v>5</v>
      </c>
      <c r="BA249">
        <v>1</v>
      </c>
      <c r="BB249">
        <v>1440</v>
      </c>
      <c r="BC249">
        <v>0</v>
      </c>
      <c r="BD249">
        <v>0</v>
      </c>
      <c r="BE249">
        <v>14</v>
      </c>
      <c r="BF249">
        <v>25</v>
      </c>
      <c r="BG249">
        <v>3</v>
      </c>
      <c r="BH249">
        <v>8</v>
      </c>
      <c r="BI249">
        <v>3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0</v>
      </c>
      <c r="BQ249">
        <v>60</v>
      </c>
      <c r="BR249">
        <v>0</v>
      </c>
      <c r="BS249">
        <v>3</v>
      </c>
      <c r="BT249" t="s">
        <v>243</v>
      </c>
      <c r="BU249" t="s">
        <v>261</v>
      </c>
      <c r="BV249" t="b">
        <v>0</v>
      </c>
      <c r="BW249" t="s">
        <v>262</v>
      </c>
    </row>
    <row r="250" spans="1:75">
      <c r="A250" t="s">
        <v>243</v>
      </c>
      <c r="B250" t="s">
        <v>252</v>
      </c>
      <c r="C250">
        <v>1163</v>
      </c>
      <c r="D250" t="s">
        <v>253</v>
      </c>
      <c r="E250" t="s">
        <v>254</v>
      </c>
      <c r="F250">
        <v>5</v>
      </c>
      <c r="G250" s="13">
        <v>46267.281701388885</v>
      </c>
      <c r="H250" s="13">
        <v>46267.282337962963</v>
      </c>
      <c r="I250">
        <v>55</v>
      </c>
      <c r="J250" t="s">
        <v>255</v>
      </c>
      <c r="K250">
        <v>1</v>
      </c>
      <c r="L250">
        <v>0.04</v>
      </c>
      <c r="M250">
        <v>0.04</v>
      </c>
      <c r="N250">
        <v>1</v>
      </c>
      <c r="O250">
        <v>0.04</v>
      </c>
      <c r="P250">
        <v>3.56</v>
      </c>
      <c r="Q250">
        <v>5.48</v>
      </c>
      <c r="R250">
        <v>4.16</v>
      </c>
      <c r="S250" t="s">
        <v>256</v>
      </c>
      <c r="T250" t="s">
        <v>257</v>
      </c>
      <c r="U250">
        <v>11</v>
      </c>
      <c r="V250">
        <v>8110.59</v>
      </c>
      <c r="W250">
        <v>4999.32</v>
      </c>
      <c r="X250">
        <v>4996.4399999999996</v>
      </c>
      <c r="Y250">
        <v>0</v>
      </c>
      <c r="Z250">
        <v>0</v>
      </c>
      <c r="AA250">
        <v>35</v>
      </c>
      <c r="AB250">
        <v>50</v>
      </c>
      <c r="AC250">
        <v>5000</v>
      </c>
      <c r="AD250">
        <v>0</v>
      </c>
      <c r="AE250">
        <v>0</v>
      </c>
      <c r="AF250">
        <v>8115.35</v>
      </c>
      <c r="AG250">
        <v>8115.35</v>
      </c>
      <c r="AH250" s="14">
        <v>46267</v>
      </c>
      <c r="AI250" t="s">
        <v>258</v>
      </c>
      <c r="AJ250" s="13">
        <v>46262.213402777779</v>
      </c>
      <c r="AK250">
        <v>6066.68</v>
      </c>
      <c r="AL250" t="s">
        <v>259</v>
      </c>
      <c r="AM250" t="s">
        <v>260</v>
      </c>
      <c r="AN250">
        <v>1400</v>
      </c>
      <c r="AO250">
        <v>0</v>
      </c>
      <c r="AP250">
        <v>35</v>
      </c>
      <c r="AQ250">
        <v>85</v>
      </c>
      <c r="AR250">
        <v>35</v>
      </c>
      <c r="AS250">
        <v>2</v>
      </c>
      <c r="AT250">
        <v>23</v>
      </c>
      <c r="AU250">
        <v>1</v>
      </c>
      <c r="AV250">
        <v>0</v>
      </c>
      <c r="AW250">
        <v>10</v>
      </c>
      <c r="AX250">
        <v>1</v>
      </c>
      <c r="AY250">
        <v>10</v>
      </c>
      <c r="AZ250">
        <v>5</v>
      </c>
      <c r="BA250">
        <v>1</v>
      </c>
      <c r="BB250">
        <v>1440</v>
      </c>
      <c r="BC250">
        <v>0</v>
      </c>
      <c r="BD250">
        <v>0</v>
      </c>
      <c r="BE250">
        <v>14</v>
      </c>
      <c r="BF250">
        <v>25</v>
      </c>
      <c r="BG250">
        <v>3</v>
      </c>
      <c r="BH250">
        <v>8</v>
      </c>
      <c r="BI250">
        <v>3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0</v>
      </c>
      <c r="BQ250">
        <v>60</v>
      </c>
      <c r="BR250">
        <v>0</v>
      </c>
      <c r="BS250">
        <v>3</v>
      </c>
      <c r="BT250" t="s">
        <v>243</v>
      </c>
      <c r="BU250" t="s">
        <v>261</v>
      </c>
      <c r="BV250" t="b">
        <v>0</v>
      </c>
      <c r="BW250" t="s">
        <v>262</v>
      </c>
    </row>
    <row r="251" spans="1:75">
      <c r="A251" t="s">
        <v>243</v>
      </c>
      <c r="B251" t="s">
        <v>252</v>
      </c>
      <c r="C251">
        <v>1164</v>
      </c>
      <c r="D251" t="s">
        <v>253</v>
      </c>
      <c r="E251" t="s">
        <v>254</v>
      </c>
      <c r="F251">
        <v>5</v>
      </c>
      <c r="G251" s="13">
        <v>46267.286620370367</v>
      </c>
      <c r="H251" s="13">
        <v>46267.288599537038</v>
      </c>
      <c r="I251">
        <v>171</v>
      </c>
      <c r="J251" t="s">
        <v>255</v>
      </c>
      <c r="K251">
        <v>1</v>
      </c>
      <c r="L251">
        <v>0.04</v>
      </c>
      <c r="M251">
        <v>0.04</v>
      </c>
      <c r="N251">
        <v>1</v>
      </c>
      <c r="O251">
        <v>0.04</v>
      </c>
      <c r="P251">
        <v>7.76</v>
      </c>
      <c r="Q251">
        <v>5.32</v>
      </c>
      <c r="R251">
        <v>3.96</v>
      </c>
      <c r="S251" t="s">
        <v>256</v>
      </c>
      <c r="T251" t="s">
        <v>257</v>
      </c>
      <c r="U251">
        <v>11</v>
      </c>
      <c r="V251">
        <v>8114.67</v>
      </c>
      <c r="W251">
        <v>4999.32</v>
      </c>
      <c r="X251">
        <v>4992.24</v>
      </c>
      <c r="Y251">
        <v>0</v>
      </c>
      <c r="Z251">
        <v>0</v>
      </c>
      <c r="AA251">
        <v>35</v>
      </c>
      <c r="AB251">
        <v>50</v>
      </c>
      <c r="AC251">
        <v>5000</v>
      </c>
      <c r="AD251">
        <v>0</v>
      </c>
      <c r="AE251">
        <v>0</v>
      </c>
      <c r="AF251">
        <v>8119.23</v>
      </c>
      <c r="AG251">
        <v>8119.23</v>
      </c>
      <c r="AH251" s="14">
        <v>46267</v>
      </c>
      <c r="AI251" t="s">
        <v>258</v>
      </c>
      <c r="AJ251" s="13">
        <v>46262.213402777779</v>
      </c>
      <c r="AK251">
        <v>6066.68</v>
      </c>
      <c r="AL251" t="s">
        <v>259</v>
      </c>
      <c r="AM251" t="s">
        <v>260</v>
      </c>
      <c r="AN251">
        <v>1400</v>
      </c>
      <c r="AO251">
        <v>0</v>
      </c>
      <c r="AP251">
        <v>35</v>
      </c>
      <c r="AQ251">
        <v>85</v>
      </c>
      <c r="AR251">
        <v>35</v>
      </c>
      <c r="AS251">
        <v>2</v>
      </c>
      <c r="AT251">
        <v>23</v>
      </c>
      <c r="AU251">
        <v>1</v>
      </c>
      <c r="AV251">
        <v>0</v>
      </c>
      <c r="AW251">
        <v>10</v>
      </c>
      <c r="AX251">
        <v>1</v>
      </c>
      <c r="AY251">
        <v>10</v>
      </c>
      <c r="AZ251">
        <v>5</v>
      </c>
      <c r="BA251">
        <v>1</v>
      </c>
      <c r="BB251">
        <v>1440</v>
      </c>
      <c r="BC251">
        <v>0</v>
      </c>
      <c r="BD251">
        <v>0</v>
      </c>
      <c r="BE251">
        <v>14</v>
      </c>
      <c r="BF251">
        <v>25</v>
      </c>
      <c r="BG251">
        <v>3</v>
      </c>
      <c r="BH251">
        <v>8</v>
      </c>
      <c r="BI251">
        <v>3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0</v>
      </c>
      <c r="BQ251">
        <v>60</v>
      </c>
      <c r="BR251">
        <v>0</v>
      </c>
      <c r="BS251">
        <v>3</v>
      </c>
      <c r="BT251" t="s">
        <v>243</v>
      </c>
      <c r="BU251" t="s">
        <v>261</v>
      </c>
      <c r="BV251" t="b">
        <v>0</v>
      </c>
      <c r="BW251" t="s">
        <v>262</v>
      </c>
    </row>
    <row r="252" spans="1:75">
      <c r="A252" t="s">
        <v>243</v>
      </c>
      <c r="B252" t="s">
        <v>252</v>
      </c>
      <c r="C252">
        <v>1165</v>
      </c>
      <c r="D252" t="s">
        <v>253</v>
      </c>
      <c r="E252" t="s">
        <v>254</v>
      </c>
      <c r="F252">
        <v>5</v>
      </c>
      <c r="G252" s="13">
        <v>46267.314270833333</v>
      </c>
      <c r="H252" s="13">
        <v>46267.314756944441</v>
      </c>
      <c r="I252">
        <v>42</v>
      </c>
      <c r="J252" t="s">
        <v>255</v>
      </c>
      <c r="K252">
        <v>1</v>
      </c>
      <c r="L252">
        <v>0.04</v>
      </c>
      <c r="M252">
        <v>0.04</v>
      </c>
      <c r="N252">
        <v>1</v>
      </c>
      <c r="O252">
        <v>0.04</v>
      </c>
      <c r="P252">
        <v>0.68</v>
      </c>
      <c r="Q252">
        <v>6</v>
      </c>
      <c r="R252">
        <v>4.96</v>
      </c>
      <c r="S252" t="s">
        <v>256</v>
      </c>
      <c r="T252" t="s">
        <v>257</v>
      </c>
      <c r="U252">
        <v>11</v>
      </c>
      <c r="V252">
        <v>8118.55</v>
      </c>
      <c r="W252">
        <v>4999.32</v>
      </c>
      <c r="X252">
        <v>4999.32</v>
      </c>
      <c r="Y252">
        <v>0</v>
      </c>
      <c r="Z252">
        <v>0</v>
      </c>
      <c r="AA252">
        <v>35</v>
      </c>
      <c r="AB252">
        <v>50</v>
      </c>
      <c r="AC252">
        <v>5000</v>
      </c>
      <c r="AD252">
        <v>0</v>
      </c>
      <c r="AE252">
        <v>0</v>
      </c>
      <c r="AF252">
        <v>8123.83</v>
      </c>
      <c r="AG252">
        <v>8123.83</v>
      </c>
      <c r="AH252" s="14">
        <v>46267</v>
      </c>
      <c r="AI252" t="s">
        <v>258</v>
      </c>
      <c r="AJ252" s="13">
        <v>46262.213402777779</v>
      </c>
      <c r="AK252">
        <v>6066.68</v>
      </c>
      <c r="AL252" t="s">
        <v>259</v>
      </c>
      <c r="AM252" t="s">
        <v>260</v>
      </c>
      <c r="AN252">
        <v>1400</v>
      </c>
      <c r="AO252">
        <v>0</v>
      </c>
      <c r="AP252">
        <v>35</v>
      </c>
      <c r="AQ252">
        <v>85</v>
      </c>
      <c r="AR252">
        <v>35</v>
      </c>
      <c r="AS252">
        <v>2</v>
      </c>
      <c r="AT252">
        <v>23</v>
      </c>
      <c r="AU252">
        <v>1</v>
      </c>
      <c r="AV252">
        <v>0</v>
      </c>
      <c r="AW252">
        <v>10</v>
      </c>
      <c r="AX252">
        <v>1</v>
      </c>
      <c r="AY252">
        <v>10</v>
      </c>
      <c r="AZ252">
        <v>5</v>
      </c>
      <c r="BA252">
        <v>1</v>
      </c>
      <c r="BB252">
        <v>1440</v>
      </c>
      <c r="BC252">
        <v>0</v>
      </c>
      <c r="BD252">
        <v>0</v>
      </c>
      <c r="BE252">
        <v>14</v>
      </c>
      <c r="BF252">
        <v>25</v>
      </c>
      <c r="BG252">
        <v>3</v>
      </c>
      <c r="BH252">
        <v>8</v>
      </c>
      <c r="BI252">
        <v>3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0</v>
      </c>
      <c r="BQ252">
        <v>60</v>
      </c>
      <c r="BR252">
        <v>0</v>
      </c>
      <c r="BS252">
        <v>3</v>
      </c>
      <c r="BT252" t="s">
        <v>243</v>
      </c>
      <c r="BU252" t="s">
        <v>261</v>
      </c>
      <c r="BV252" t="b">
        <v>0</v>
      </c>
      <c r="BW252" t="s">
        <v>262</v>
      </c>
    </row>
    <row r="253" spans="1:75">
      <c r="A253" t="s">
        <v>243</v>
      </c>
      <c r="B253" t="s">
        <v>252</v>
      </c>
      <c r="C253">
        <v>1166</v>
      </c>
      <c r="D253" t="s">
        <v>253</v>
      </c>
      <c r="E253" t="s">
        <v>254</v>
      </c>
      <c r="F253">
        <v>5</v>
      </c>
      <c r="G253" s="13">
        <v>46267.322152777779</v>
      </c>
      <c r="H253" s="13">
        <v>46267.332939814813</v>
      </c>
      <c r="I253">
        <v>932</v>
      </c>
      <c r="J253" t="s">
        <v>255</v>
      </c>
      <c r="K253">
        <v>1</v>
      </c>
      <c r="L253">
        <v>0.04</v>
      </c>
      <c r="M253">
        <v>0.04</v>
      </c>
      <c r="N253">
        <v>1</v>
      </c>
      <c r="O253">
        <v>0.04</v>
      </c>
      <c r="P253">
        <v>9.08</v>
      </c>
      <c r="Q253">
        <v>5.36</v>
      </c>
      <c r="R253">
        <v>5.32</v>
      </c>
      <c r="S253" t="s">
        <v>256</v>
      </c>
      <c r="T253" t="s">
        <v>257</v>
      </c>
      <c r="U253">
        <v>10</v>
      </c>
      <c r="V253">
        <v>8123.19</v>
      </c>
      <c r="W253">
        <v>4999.3599999999997</v>
      </c>
      <c r="X253">
        <v>4990.92</v>
      </c>
      <c r="Y253">
        <v>0</v>
      </c>
      <c r="Z253">
        <v>0</v>
      </c>
      <c r="AA253">
        <v>35</v>
      </c>
      <c r="AB253">
        <v>50</v>
      </c>
      <c r="AC253">
        <v>5000</v>
      </c>
      <c r="AD253">
        <v>0</v>
      </c>
      <c r="AE253">
        <v>0</v>
      </c>
      <c r="AF253">
        <v>8127.79</v>
      </c>
      <c r="AG253">
        <v>8127.79</v>
      </c>
      <c r="AH253" s="14">
        <v>46267</v>
      </c>
      <c r="AI253" t="s">
        <v>258</v>
      </c>
      <c r="AJ253" s="13">
        <v>46262.213402777779</v>
      </c>
      <c r="AK253">
        <v>6066.68</v>
      </c>
      <c r="AL253" t="s">
        <v>259</v>
      </c>
      <c r="AM253" t="s">
        <v>260</v>
      </c>
      <c r="AN253">
        <v>1400</v>
      </c>
      <c r="AO253">
        <v>0</v>
      </c>
      <c r="AP253">
        <v>35</v>
      </c>
      <c r="AQ253">
        <v>85</v>
      </c>
      <c r="AR253">
        <v>35</v>
      </c>
      <c r="AS253">
        <v>2</v>
      </c>
      <c r="AT253">
        <v>23</v>
      </c>
      <c r="AU253">
        <v>1</v>
      </c>
      <c r="AV253">
        <v>0</v>
      </c>
      <c r="AW253">
        <v>10</v>
      </c>
      <c r="AX253">
        <v>1</v>
      </c>
      <c r="AY253">
        <v>10</v>
      </c>
      <c r="AZ253">
        <v>5</v>
      </c>
      <c r="BA253">
        <v>1</v>
      </c>
      <c r="BB253">
        <v>1440</v>
      </c>
      <c r="BC253">
        <v>0</v>
      </c>
      <c r="BD253">
        <v>0</v>
      </c>
      <c r="BE253">
        <v>14</v>
      </c>
      <c r="BF253">
        <v>25</v>
      </c>
      <c r="BG253">
        <v>3</v>
      </c>
      <c r="BH253">
        <v>8</v>
      </c>
      <c r="BI253">
        <v>3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0</v>
      </c>
      <c r="BQ253">
        <v>60</v>
      </c>
      <c r="BR253">
        <v>0</v>
      </c>
      <c r="BS253">
        <v>3</v>
      </c>
      <c r="BT253" t="s">
        <v>243</v>
      </c>
      <c r="BU253" t="s">
        <v>261</v>
      </c>
      <c r="BV253" t="b">
        <v>0</v>
      </c>
      <c r="BW253" t="s">
        <v>262</v>
      </c>
    </row>
    <row r="254" spans="1:75">
      <c r="A254" t="s">
        <v>243</v>
      </c>
      <c r="B254" t="s">
        <v>252</v>
      </c>
      <c r="C254">
        <v>1167</v>
      </c>
      <c r="D254" t="s">
        <v>253</v>
      </c>
      <c r="E254" t="s">
        <v>254</v>
      </c>
      <c r="F254">
        <v>5</v>
      </c>
      <c r="G254" s="13">
        <v>46267.342280092591</v>
      </c>
      <c r="H254" s="13">
        <v>46267.342731481483</v>
      </c>
      <c r="I254">
        <v>39</v>
      </c>
      <c r="J254" t="s">
        <v>255</v>
      </c>
      <c r="K254">
        <v>1</v>
      </c>
      <c r="L254">
        <v>0.04</v>
      </c>
      <c r="M254">
        <v>0.04</v>
      </c>
      <c r="N254">
        <v>1</v>
      </c>
      <c r="O254">
        <v>0.04</v>
      </c>
      <c r="P254">
        <v>0.96</v>
      </c>
      <c r="Q254">
        <v>3.56</v>
      </c>
      <c r="R254">
        <v>2.4</v>
      </c>
      <c r="S254" t="s">
        <v>256</v>
      </c>
      <c r="T254" t="s">
        <v>257</v>
      </c>
      <c r="U254">
        <v>11</v>
      </c>
      <c r="V254">
        <v>8127.15</v>
      </c>
      <c r="W254">
        <v>4999.3599999999997</v>
      </c>
      <c r="X254">
        <v>4999.04</v>
      </c>
      <c r="Y254">
        <v>0</v>
      </c>
      <c r="Z254">
        <v>0</v>
      </c>
      <c r="AA254">
        <v>35</v>
      </c>
      <c r="AB254">
        <v>50</v>
      </c>
      <c r="AC254">
        <v>5000</v>
      </c>
      <c r="AD254">
        <v>0</v>
      </c>
      <c r="AE254">
        <v>0</v>
      </c>
      <c r="AF254">
        <v>8129.95</v>
      </c>
      <c r="AG254">
        <v>8129.95</v>
      </c>
      <c r="AH254" s="14">
        <v>46267</v>
      </c>
      <c r="AI254" t="s">
        <v>258</v>
      </c>
      <c r="AJ254" s="13">
        <v>46262.213402777779</v>
      </c>
      <c r="AK254">
        <v>6066.68</v>
      </c>
      <c r="AL254" t="s">
        <v>259</v>
      </c>
      <c r="AM254" t="s">
        <v>260</v>
      </c>
      <c r="AN254">
        <v>1400</v>
      </c>
      <c r="AO254">
        <v>0</v>
      </c>
      <c r="AP254">
        <v>35</v>
      </c>
      <c r="AQ254">
        <v>85</v>
      </c>
      <c r="AR254">
        <v>35</v>
      </c>
      <c r="AS254">
        <v>2</v>
      </c>
      <c r="AT254">
        <v>23</v>
      </c>
      <c r="AU254">
        <v>1</v>
      </c>
      <c r="AV254">
        <v>0</v>
      </c>
      <c r="AW254">
        <v>10</v>
      </c>
      <c r="AX254">
        <v>1</v>
      </c>
      <c r="AY254">
        <v>10</v>
      </c>
      <c r="AZ254">
        <v>5</v>
      </c>
      <c r="BA254">
        <v>1</v>
      </c>
      <c r="BB254">
        <v>1440</v>
      </c>
      <c r="BC254">
        <v>0</v>
      </c>
      <c r="BD254">
        <v>0</v>
      </c>
      <c r="BE254">
        <v>14</v>
      </c>
      <c r="BF254">
        <v>25</v>
      </c>
      <c r="BG254">
        <v>3</v>
      </c>
      <c r="BH254">
        <v>8</v>
      </c>
      <c r="BI254">
        <v>3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0</v>
      </c>
      <c r="BQ254">
        <v>60</v>
      </c>
      <c r="BR254">
        <v>0</v>
      </c>
      <c r="BS254">
        <v>3</v>
      </c>
      <c r="BT254" t="s">
        <v>243</v>
      </c>
      <c r="BU254" t="s">
        <v>261</v>
      </c>
      <c r="BV254" t="b">
        <v>0</v>
      </c>
      <c r="BW254" t="s">
        <v>262</v>
      </c>
    </row>
    <row r="255" spans="1:75">
      <c r="A255" t="s">
        <v>243</v>
      </c>
      <c r="B255" t="s">
        <v>252</v>
      </c>
      <c r="C255">
        <v>1168</v>
      </c>
      <c r="D255" t="s">
        <v>253</v>
      </c>
      <c r="E255" t="s">
        <v>254</v>
      </c>
      <c r="F255">
        <v>5</v>
      </c>
      <c r="G255" s="13">
        <v>46267.34584490741</v>
      </c>
      <c r="H255" s="13">
        <v>46267.356921296298</v>
      </c>
      <c r="I255">
        <v>957</v>
      </c>
      <c r="J255" t="s">
        <v>255</v>
      </c>
      <c r="K255">
        <v>3</v>
      </c>
      <c r="L255">
        <v>0.12</v>
      </c>
      <c r="M255">
        <v>0.04</v>
      </c>
      <c r="N255">
        <v>3</v>
      </c>
      <c r="O255">
        <v>0.12</v>
      </c>
      <c r="P255">
        <v>26.28</v>
      </c>
      <c r="Q255">
        <v>101.4</v>
      </c>
      <c r="R255">
        <v>101.4</v>
      </c>
      <c r="S255" t="s">
        <v>263</v>
      </c>
      <c r="T255" t="s">
        <v>257</v>
      </c>
      <c r="U255">
        <v>11</v>
      </c>
      <c r="V255">
        <v>8129.27</v>
      </c>
      <c r="W255">
        <v>4999.32</v>
      </c>
      <c r="X255">
        <v>4973.72</v>
      </c>
      <c r="Y255">
        <v>0</v>
      </c>
      <c r="Z255">
        <v>0</v>
      </c>
      <c r="AA255">
        <v>35</v>
      </c>
      <c r="AB255">
        <v>50</v>
      </c>
      <c r="AC255">
        <v>5000</v>
      </c>
      <c r="AD255">
        <v>0</v>
      </c>
      <c r="AE255">
        <v>0</v>
      </c>
      <c r="AF255">
        <v>8229.43</v>
      </c>
      <c r="AG255">
        <v>8229.43</v>
      </c>
      <c r="AH255" s="14">
        <v>46267</v>
      </c>
      <c r="AI255" t="s">
        <v>258</v>
      </c>
      <c r="AJ255" s="13">
        <v>46262.213402777779</v>
      </c>
      <c r="AK255">
        <v>6066.68</v>
      </c>
      <c r="AL255" t="s">
        <v>259</v>
      </c>
      <c r="AM255" t="s">
        <v>260</v>
      </c>
      <c r="AN255">
        <v>1400</v>
      </c>
      <c r="AO255">
        <v>0</v>
      </c>
      <c r="AP255">
        <v>35</v>
      </c>
      <c r="AQ255">
        <v>85</v>
      </c>
      <c r="AR255">
        <v>35</v>
      </c>
      <c r="AS255">
        <v>2</v>
      </c>
      <c r="AT255">
        <v>23</v>
      </c>
      <c r="AU255">
        <v>1</v>
      </c>
      <c r="AV255">
        <v>0</v>
      </c>
      <c r="AW255">
        <v>10</v>
      </c>
      <c r="AX255">
        <v>1</v>
      </c>
      <c r="AY255">
        <v>10</v>
      </c>
      <c r="AZ255">
        <v>5</v>
      </c>
      <c r="BA255">
        <v>1</v>
      </c>
      <c r="BB255">
        <v>1440</v>
      </c>
      <c r="BC255">
        <v>0</v>
      </c>
      <c r="BD255">
        <v>0</v>
      </c>
      <c r="BE255">
        <v>14</v>
      </c>
      <c r="BF255">
        <v>25</v>
      </c>
      <c r="BG255">
        <v>3</v>
      </c>
      <c r="BH255">
        <v>8</v>
      </c>
      <c r="BI255">
        <v>3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0</v>
      </c>
      <c r="BQ255">
        <v>60</v>
      </c>
      <c r="BR255">
        <v>0</v>
      </c>
      <c r="BS255">
        <v>3</v>
      </c>
      <c r="BT255" t="s">
        <v>243</v>
      </c>
      <c r="BU255" t="s">
        <v>261</v>
      </c>
      <c r="BV255" t="b">
        <v>0</v>
      </c>
      <c r="BW255" t="s">
        <v>262</v>
      </c>
    </row>
    <row r="256" spans="1:75">
      <c r="A256" t="s">
        <v>243</v>
      </c>
      <c r="B256" t="s">
        <v>252</v>
      </c>
      <c r="C256">
        <v>1169</v>
      </c>
      <c r="D256" t="s">
        <v>253</v>
      </c>
      <c r="E256" t="s">
        <v>254</v>
      </c>
      <c r="F256">
        <v>5</v>
      </c>
      <c r="G256" s="13">
        <v>46267.35864583333</v>
      </c>
      <c r="H256" s="13">
        <v>46267.359884259262</v>
      </c>
      <c r="I256">
        <v>107</v>
      </c>
      <c r="J256" t="s">
        <v>264</v>
      </c>
      <c r="K256">
        <v>1</v>
      </c>
      <c r="L256">
        <v>0.04</v>
      </c>
      <c r="M256">
        <v>0.04</v>
      </c>
      <c r="N256">
        <v>1</v>
      </c>
      <c r="O256">
        <v>0.04</v>
      </c>
      <c r="P256">
        <v>4.5599999999999996</v>
      </c>
      <c r="Q256">
        <v>9.32</v>
      </c>
      <c r="R256">
        <v>9.24</v>
      </c>
      <c r="S256" t="s">
        <v>256</v>
      </c>
      <c r="T256" t="s">
        <v>257</v>
      </c>
      <c r="U256">
        <v>11</v>
      </c>
      <c r="V256">
        <v>8228.75</v>
      </c>
      <c r="W256">
        <v>4999.32</v>
      </c>
      <c r="X256">
        <v>4995.4399999999996</v>
      </c>
      <c r="Y256">
        <v>0</v>
      </c>
      <c r="Z256">
        <v>0</v>
      </c>
      <c r="AA256">
        <v>35</v>
      </c>
      <c r="AB256">
        <v>50</v>
      </c>
      <c r="AC256">
        <v>5000</v>
      </c>
      <c r="AD256">
        <v>0</v>
      </c>
      <c r="AE256">
        <v>0</v>
      </c>
      <c r="AF256">
        <v>8237.35</v>
      </c>
      <c r="AG256">
        <v>8237.35</v>
      </c>
      <c r="AH256" s="14">
        <v>46267</v>
      </c>
      <c r="AI256" t="s">
        <v>258</v>
      </c>
      <c r="AJ256" s="13">
        <v>46262.213402777779</v>
      </c>
      <c r="AK256">
        <v>6066.68</v>
      </c>
      <c r="AL256" t="s">
        <v>259</v>
      </c>
      <c r="AM256" t="s">
        <v>260</v>
      </c>
      <c r="AN256">
        <v>1400</v>
      </c>
      <c r="AO256">
        <v>0</v>
      </c>
      <c r="AP256">
        <v>35</v>
      </c>
      <c r="AQ256">
        <v>85</v>
      </c>
      <c r="AR256">
        <v>35</v>
      </c>
      <c r="AS256">
        <v>2</v>
      </c>
      <c r="AT256">
        <v>23</v>
      </c>
      <c r="AU256">
        <v>1</v>
      </c>
      <c r="AV256">
        <v>0</v>
      </c>
      <c r="AW256">
        <v>10</v>
      </c>
      <c r="AX256">
        <v>1</v>
      </c>
      <c r="AY256">
        <v>10</v>
      </c>
      <c r="AZ256">
        <v>5</v>
      </c>
      <c r="BA256">
        <v>1</v>
      </c>
      <c r="BB256">
        <v>1440</v>
      </c>
      <c r="BC256">
        <v>0</v>
      </c>
      <c r="BD256">
        <v>0</v>
      </c>
      <c r="BE256">
        <v>14</v>
      </c>
      <c r="BF256">
        <v>25</v>
      </c>
      <c r="BG256">
        <v>3</v>
      </c>
      <c r="BH256">
        <v>8</v>
      </c>
      <c r="BI256">
        <v>3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0</v>
      </c>
      <c r="BQ256">
        <v>60</v>
      </c>
      <c r="BR256">
        <v>0</v>
      </c>
      <c r="BS256">
        <v>3</v>
      </c>
      <c r="BT256" t="s">
        <v>243</v>
      </c>
      <c r="BU256" t="s">
        <v>261</v>
      </c>
      <c r="BV256" t="b">
        <v>0</v>
      </c>
      <c r="BW256" t="s">
        <v>262</v>
      </c>
    </row>
    <row r="257" spans="1:75">
      <c r="A257" t="s">
        <v>243</v>
      </c>
      <c r="B257" t="s">
        <v>252</v>
      </c>
      <c r="C257">
        <v>1170</v>
      </c>
      <c r="D257" t="s">
        <v>253</v>
      </c>
      <c r="E257" t="s">
        <v>254</v>
      </c>
      <c r="F257">
        <v>5</v>
      </c>
      <c r="G257" s="13">
        <v>46267.362384259257</v>
      </c>
      <c r="H257" s="13">
        <v>46267.362812500003</v>
      </c>
      <c r="I257">
        <v>37</v>
      </c>
      <c r="J257" t="s">
        <v>255</v>
      </c>
      <c r="K257">
        <v>1</v>
      </c>
      <c r="L257">
        <v>0.04</v>
      </c>
      <c r="M257">
        <v>0.04</v>
      </c>
      <c r="N257">
        <v>1</v>
      </c>
      <c r="O257">
        <v>0.04</v>
      </c>
      <c r="P257">
        <v>1.28</v>
      </c>
      <c r="Q257">
        <v>7.32</v>
      </c>
      <c r="R257">
        <v>7.32</v>
      </c>
      <c r="S257" t="s">
        <v>256</v>
      </c>
      <c r="T257" t="s">
        <v>257</v>
      </c>
      <c r="U257">
        <v>11</v>
      </c>
      <c r="V257">
        <v>8236.7099999999991</v>
      </c>
      <c r="W257">
        <v>4999.3599999999997</v>
      </c>
      <c r="X257">
        <v>4998.72</v>
      </c>
      <c r="Y257">
        <v>0</v>
      </c>
      <c r="Z257">
        <v>0</v>
      </c>
      <c r="AA257">
        <v>35</v>
      </c>
      <c r="AB257">
        <v>50</v>
      </c>
      <c r="AC257">
        <v>5000</v>
      </c>
      <c r="AD257">
        <v>0</v>
      </c>
      <c r="AE257">
        <v>0</v>
      </c>
      <c r="AF257">
        <v>8243.27</v>
      </c>
      <c r="AG257">
        <v>8243.27</v>
      </c>
      <c r="AH257" s="14">
        <v>46267</v>
      </c>
      <c r="AI257" t="s">
        <v>258</v>
      </c>
      <c r="AJ257" s="13">
        <v>46262.213402777779</v>
      </c>
      <c r="AK257">
        <v>6066.68</v>
      </c>
      <c r="AL257" t="s">
        <v>259</v>
      </c>
      <c r="AM257" t="s">
        <v>260</v>
      </c>
      <c r="AN257">
        <v>1400</v>
      </c>
      <c r="AO257">
        <v>0</v>
      </c>
      <c r="AP257">
        <v>35</v>
      </c>
      <c r="AQ257">
        <v>85</v>
      </c>
      <c r="AR257">
        <v>35</v>
      </c>
      <c r="AS257">
        <v>2</v>
      </c>
      <c r="AT257">
        <v>23</v>
      </c>
      <c r="AU257">
        <v>1</v>
      </c>
      <c r="AV257">
        <v>0</v>
      </c>
      <c r="AW257">
        <v>10</v>
      </c>
      <c r="AX257">
        <v>1</v>
      </c>
      <c r="AY257">
        <v>10</v>
      </c>
      <c r="AZ257">
        <v>5</v>
      </c>
      <c r="BA257">
        <v>1</v>
      </c>
      <c r="BB257">
        <v>1440</v>
      </c>
      <c r="BC257">
        <v>0</v>
      </c>
      <c r="BD257">
        <v>0</v>
      </c>
      <c r="BE257">
        <v>14</v>
      </c>
      <c r="BF257">
        <v>25</v>
      </c>
      <c r="BG257">
        <v>3</v>
      </c>
      <c r="BH257">
        <v>8</v>
      </c>
      <c r="BI257">
        <v>3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0</v>
      </c>
      <c r="BQ257">
        <v>60</v>
      </c>
      <c r="BR257">
        <v>0</v>
      </c>
      <c r="BS257">
        <v>3</v>
      </c>
      <c r="BT257" t="s">
        <v>243</v>
      </c>
      <c r="BU257" t="s">
        <v>261</v>
      </c>
      <c r="BV257" t="b">
        <v>0</v>
      </c>
      <c r="BW257" t="s">
        <v>262</v>
      </c>
    </row>
    <row r="258" spans="1:75">
      <c r="A258" t="s">
        <v>243</v>
      </c>
      <c r="B258" t="s">
        <v>252</v>
      </c>
      <c r="C258">
        <v>1171</v>
      </c>
      <c r="D258" t="s">
        <v>253</v>
      </c>
      <c r="E258" t="s">
        <v>254</v>
      </c>
      <c r="F258">
        <v>5</v>
      </c>
      <c r="G258" s="13">
        <v>46267.367974537039</v>
      </c>
      <c r="H258" s="13">
        <v>46267.384560185186</v>
      </c>
      <c r="I258">
        <v>1433</v>
      </c>
      <c r="J258" t="s">
        <v>255</v>
      </c>
      <c r="K258">
        <v>3</v>
      </c>
      <c r="L258">
        <v>0.12</v>
      </c>
      <c r="M258">
        <v>0.04</v>
      </c>
      <c r="N258">
        <v>3</v>
      </c>
      <c r="O258">
        <v>0.12</v>
      </c>
      <c r="P258">
        <v>34.56</v>
      </c>
      <c r="Q258">
        <v>34.92</v>
      </c>
      <c r="R258">
        <v>28.16</v>
      </c>
      <c r="S258" t="s">
        <v>263</v>
      </c>
      <c r="T258" t="s">
        <v>257</v>
      </c>
      <c r="U258">
        <v>10</v>
      </c>
      <c r="V258">
        <v>8242.6299999999992</v>
      </c>
      <c r="W258">
        <v>4999.3599999999997</v>
      </c>
      <c r="X258">
        <v>4965.4399999999996</v>
      </c>
      <c r="Y258">
        <v>0</v>
      </c>
      <c r="Z258">
        <v>0</v>
      </c>
      <c r="AA258">
        <v>35</v>
      </c>
      <c r="AB258">
        <v>50</v>
      </c>
      <c r="AC258">
        <v>5000</v>
      </c>
      <c r="AD258">
        <v>0</v>
      </c>
      <c r="AE258">
        <v>0</v>
      </c>
      <c r="AF258">
        <v>8271.43</v>
      </c>
      <c r="AG258">
        <v>8271.43</v>
      </c>
      <c r="AH258" s="14">
        <v>46267</v>
      </c>
      <c r="AI258" t="s">
        <v>258</v>
      </c>
      <c r="AJ258" s="13">
        <v>46262.213402777779</v>
      </c>
      <c r="AK258">
        <v>6066.68</v>
      </c>
      <c r="AL258" t="s">
        <v>259</v>
      </c>
      <c r="AM258" t="s">
        <v>260</v>
      </c>
      <c r="AN258">
        <v>1400</v>
      </c>
      <c r="AO258">
        <v>0</v>
      </c>
      <c r="AP258">
        <v>35</v>
      </c>
      <c r="AQ258">
        <v>85</v>
      </c>
      <c r="AR258">
        <v>35</v>
      </c>
      <c r="AS258">
        <v>2</v>
      </c>
      <c r="AT258">
        <v>23</v>
      </c>
      <c r="AU258">
        <v>1</v>
      </c>
      <c r="AV258">
        <v>0</v>
      </c>
      <c r="AW258">
        <v>10</v>
      </c>
      <c r="AX258">
        <v>1</v>
      </c>
      <c r="AY258">
        <v>10</v>
      </c>
      <c r="AZ258">
        <v>5</v>
      </c>
      <c r="BA258">
        <v>1</v>
      </c>
      <c r="BB258">
        <v>1440</v>
      </c>
      <c r="BC258">
        <v>0</v>
      </c>
      <c r="BD258">
        <v>0</v>
      </c>
      <c r="BE258">
        <v>14</v>
      </c>
      <c r="BF258">
        <v>25</v>
      </c>
      <c r="BG258">
        <v>3</v>
      </c>
      <c r="BH258">
        <v>8</v>
      </c>
      <c r="BI258">
        <v>3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0</v>
      </c>
      <c r="BQ258">
        <v>60</v>
      </c>
      <c r="BR258">
        <v>0</v>
      </c>
      <c r="BS258">
        <v>3</v>
      </c>
      <c r="BT258" t="s">
        <v>243</v>
      </c>
      <c r="BU258" t="s">
        <v>261</v>
      </c>
      <c r="BV258" t="b">
        <v>0</v>
      </c>
      <c r="BW258" t="s">
        <v>262</v>
      </c>
    </row>
    <row r="259" spans="1:75">
      <c r="A259" t="s">
        <v>243</v>
      </c>
      <c r="B259" t="s">
        <v>252</v>
      </c>
      <c r="C259">
        <v>1172</v>
      </c>
      <c r="D259" t="s">
        <v>253</v>
      </c>
      <c r="E259" t="s">
        <v>254</v>
      </c>
      <c r="F259">
        <v>5</v>
      </c>
      <c r="G259" s="13">
        <v>46267.386192129627</v>
      </c>
      <c r="H259" s="13">
        <v>46267.386874999997</v>
      </c>
      <c r="I259">
        <v>59</v>
      </c>
      <c r="J259" t="s">
        <v>264</v>
      </c>
      <c r="K259">
        <v>1</v>
      </c>
      <c r="L259">
        <v>0.04</v>
      </c>
      <c r="M259">
        <v>0.04</v>
      </c>
      <c r="N259">
        <v>1</v>
      </c>
      <c r="O259">
        <v>0.04</v>
      </c>
      <c r="P259">
        <v>0.68</v>
      </c>
      <c r="Q259">
        <v>6.28</v>
      </c>
      <c r="R259">
        <v>6.28</v>
      </c>
      <c r="S259" t="s">
        <v>256</v>
      </c>
      <c r="T259" t="s">
        <v>257</v>
      </c>
      <c r="U259">
        <v>11</v>
      </c>
      <c r="V259">
        <v>8270.75</v>
      </c>
      <c r="W259">
        <v>4999.32</v>
      </c>
      <c r="X259">
        <v>4999.32</v>
      </c>
      <c r="Y259">
        <v>0</v>
      </c>
      <c r="Z259">
        <v>0</v>
      </c>
      <c r="AA259">
        <v>35</v>
      </c>
      <c r="AB259">
        <v>50</v>
      </c>
      <c r="AC259">
        <v>5000</v>
      </c>
      <c r="AD259">
        <v>0</v>
      </c>
      <c r="AE259">
        <v>0</v>
      </c>
      <c r="AF259">
        <v>8276.31</v>
      </c>
      <c r="AG259">
        <v>8276.31</v>
      </c>
      <c r="AH259" s="14">
        <v>46267</v>
      </c>
      <c r="AI259" t="s">
        <v>258</v>
      </c>
      <c r="AJ259" s="13">
        <v>46262.213402777779</v>
      </c>
      <c r="AK259">
        <v>6066.68</v>
      </c>
      <c r="AL259" t="s">
        <v>259</v>
      </c>
      <c r="AM259" t="s">
        <v>260</v>
      </c>
      <c r="AN259">
        <v>1400</v>
      </c>
      <c r="AO259">
        <v>0</v>
      </c>
      <c r="AP259">
        <v>35</v>
      </c>
      <c r="AQ259">
        <v>85</v>
      </c>
      <c r="AR259">
        <v>35</v>
      </c>
      <c r="AS259">
        <v>2</v>
      </c>
      <c r="AT259">
        <v>23</v>
      </c>
      <c r="AU259">
        <v>1</v>
      </c>
      <c r="AV259">
        <v>0</v>
      </c>
      <c r="AW259">
        <v>10</v>
      </c>
      <c r="AX259">
        <v>1</v>
      </c>
      <c r="AY259">
        <v>10</v>
      </c>
      <c r="AZ259">
        <v>5</v>
      </c>
      <c r="BA259">
        <v>1</v>
      </c>
      <c r="BB259">
        <v>1440</v>
      </c>
      <c r="BC259">
        <v>0</v>
      </c>
      <c r="BD259">
        <v>0</v>
      </c>
      <c r="BE259">
        <v>14</v>
      </c>
      <c r="BF259">
        <v>25</v>
      </c>
      <c r="BG259">
        <v>3</v>
      </c>
      <c r="BH259">
        <v>8</v>
      </c>
      <c r="BI259">
        <v>3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0</v>
      </c>
      <c r="BQ259">
        <v>60</v>
      </c>
      <c r="BR259">
        <v>0</v>
      </c>
      <c r="BS259">
        <v>3</v>
      </c>
      <c r="BT259" t="s">
        <v>243</v>
      </c>
      <c r="BU259" t="s">
        <v>261</v>
      </c>
      <c r="BV259" t="b">
        <v>0</v>
      </c>
      <c r="BW259" t="s">
        <v>262</v>
      </c>
    </row>
    <row r="260" spans="1:75">
      <c r="A260" t="s">
        <v>243</v>
      </c>
      <c r="B260" t="s">
        <v>252</v>
      </c>
      <c r="C260">
        <v>1173</v>
      </c>
      <c r="D260" t="s">
        <v>253</v>
      </c>
      <c r="E260" t="s">
        <v>254</v>
      </c>
      <c r="F260">
        <v>5</v>
      </c>
      <c r="G260" s="13">
        <v>46267.390601851854</v>
      </c>
      <c r="H260" s="13">
        <v>46267.397430555553</v>
      </c>
      <c r="I260">
        <v>590</v>
      </c>
      <c r="J260" t="s">
        <v>264</v>
      </c>
      <c r="K260">
        <v>2</v>
      </c>
      <c r="L260">
        <v>0.08</v>
      </c>
      <c r="M260">
        <v>0.04</v>
      </c>
      <c r="N260">
        <v>2</v>
      </c>
      <c r="O260">
        <v>0.08</v>
      </c>
      <c r="P260">
        <v>23.32</v>
      </c>
      <c r="Q260">
        <v>18.440000000000001</v>
      </c>
      <c r="R260">
        <v>13.32</v>
      </c>
      <c r="S260" t="s">
        <v>263</v>
      </c>
      <c r="T260" t="s">
        <v>257</v>
      </c>
      <c r="U260">
        <v>10</v>
      </c>
      <c r="V260">
        <v>8275.67</v>
      </c>
      <c r="W260">
        <v>4999.3599999999997</v>
      </c>
      <c r="X260">
        <v>4976.68</v>
      </c>
      <c r="Y260">
        <v>0</v>
      </c>
      <c r="Z260">
        <v>0</v>
      </c>
      <c r="AA260">
        <v>35</v>
      </c>
      <c r="AB260">
        <v>50</v>
      </c>
      <c r="AC260">
        <v>5000</v>
      </c>
      <c r="AD260">
        <v>0</v>
      </c>
      <c r="AE260">
        <v>0</v>
      </c>
      <c r="AF260">
        <v>8290.83</v>
      </c>
      <c r="AG260">
        <v>8290.83</v>
      </c>
      <c r="AH260" s="14">
        <v>46267</v>
      </c>
      <c r="AI260" t="s">
        <v>258</v>
      </c>
      <c r="AJ260" s="13">
        <v>46262.213402777779</v>
      </c>
      <c r="AK260">
        <v>6066.68</v>
      </c>
      <c r="AL260" t="s">
        <v>259</v>
      </c>
      <c r="AM260" t="s">
        <v>260</v>
      </c>
      <c r="AN260">
        <v>1400</v>
      </c>
      <c r="AO260">
        <v>0</v>
      </c>
      <c r="AP260">
        <v>35</v>
      </c>
      <c r="AQ260">
        <v>85</v>
      </c>
      <c r="AR260">
        <v>35</v>
      </c>
      <c r="AS260">
        <v>2</v>
      </c>
      <c r="AT260">
        <v>23</v>
      </c>
      <c r="AU260">
        <v>1</v>
      </c>
      <c r="AV260">
        <v>0</v>
      </c>
      <c r="AW260">
        <v>10</v>
      </c>
      <c r="AX260">
        <v>1</v>
      </c>
      <c r="AY260">
        <v>10</v>
      </c>
      <c r="AZ260">
        <v>5</v>
      </c>
      <c r="BA260">
        <v>1</v>
      </c>
      <c r="BB260">
        <v>1440</v>
      </c>
      <c r="BC260">
        <v>0</v>
      </c>
      <c r="BD260">
        <v>0</v>
      </c>
      <c r="BE260">
        <v>14</v>
      </c>
      <c r="BF260">
        <v>25</v>
      </c>
      <c r="BG260">
        <v>3</v>
      </c>
      <c r="BH260">
        <v>8</v>
      </c>
      <c r="BI260">
        <v>3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60</v>
      </c>
      <c r="BR260">
        <v>0</v>
      </c>
      <c r="BS260">
        <v>3</v>
      </c>
      <c r="BT260" t="s">
        <v>243</v>
      </c>
      <c r="BU260" t="s">
        <v>261</v>
      </c>
      <c r="BV260" t="b">
        <v>0</v>
      </c>
      <c r="BW260" t="s">
        <v>262</v>
      </c>
    </row>
    <row r="261" spans="1:75">
      <c r="A261" t="s">
        <v>243</v>
      </c>
      <c r="B261" t="s">
        <v>252</v>
      </c>
      <c r="C261">
        <v>1174</v>
      </c>
      <c r="D261" t="s">
        <v>253</v>
      </c>
      <c r="E261" t="s">
        <v>254</v>
      </c>
      <c r="F261">
        <v>5</v>
      </c>
      <c r="G261" s="13">
        <v>46267.398229166669</v>
      </c>
      <c r="H261" s="13">
        <v>46267.398888888885</v>
      </c>
      <c r="I261">
        <v>57</v>
      </c>
      <c r="J261" t="s">
        <v>264</v>
      </c>
      <c r="K261">
        <v>1</v>
      </c>
      <c r="L261">
        <v>0.04</v>
      </c>
      <c r="M261">
        <v>0.04</v>
      </c>
      <c r="N261">
        <v>1</v>
      </c>
      <c r="O261">
        <v>0.04</v>
      </c>
      <c r="P261">
        <v>1.4</v>
      </c>
      <c r="Q261">
        <v>4</v>
      </c>
      <c r="R261">
        <v>3.28</v>
      </c>
      <c r="S261" t="s">
        <v>256</v>
      </c>
      <c r="T261" t="s">
        <v>257</v>
      </c>
      <c r="U261">
        <v>10</v>
      </c>
      <c r="V261">
        <v>8290.19</v>
      </c>
      <c r="W261">
        <v>4999.3599999999997</v>
      </c>
      <c r="X261">
        <v>4998.6000000000004</v>
      </c>
      <c r="Y261">
        <v>0</v>
      </c>
      <c r="Z261">
        <v>0</v>
      </c>
      <c r="AA261">
        <v>35</v>
      </c>
      <c r="AB261">
        <v>50</v>
      </c>
      <c r="AC261">
        <v>5000</v>
      </c>
      <c r="AD261">
        <v>0</v>
      </c>
      <c r="AE261">
        <v>0</v>
      </c>
      <c r="AF261">
        <v>8293.39</v>
      </c>
      <c r="AG261">
        <v>8293.39</v>
      </c>
      <c r="AH261" s="14">
        <v>46267</v>
      </c>
      <c r="AI261" t="s">
        <v>258</v>
      </c>
      <c r="AJ261" s="13">
        <v>46262.213402777779</v>
      </c>
      <c r="AK261">
        <v>6066.68</v>
      </c>
      <c r="AL261" t="s">
        <v>259</v>
      </c>
      <c r="AM261" t="s">
        <v>260</v>
      </c>
      <c r="AN261">
        <v>1400</v>
      </c>
      <c r="AO261">
        <v>0</v>
      </c>
      <c r="AP261">
        <v>35</v>
      </c>
      <c r="AQ261">
        <v>85</v>
      </c>
      <c r="AR261">
        <v>35</v>
      </c>
      <c r="AS261">
        <v>2</v>
      </c>
      <c r="AT261">
        <v>23</v>
      </c>
      <c r="AU261">
        <v>1</v>
      </c>
      <c r="AV261">
        <v>0</v>
      </c>
      <c r="AW261">
        <v>10</v>
      </c>
      <c r="AX261">
        <v>1</v>
      </c>
      <c r="AY261">
        <v>10</v>
      </c>
      <c r="AZ261">
        <v>5</v>
      </c>
      <c r="BA261">
        <v>1</v>
      </c>
      <c r="BB261">
        <v>1440</v>
      </c>
      <c r="BC261">
        <v>0</v>
      </c>
      <c r="BD261">
        <v>0</v>
      </c>
      <c r="BE261">
        <v>14</v>
      </c>
      <c r="BF261">
        <v>25</v>
      </c>
      <c r="BG261">
        <v>3</v>
      </c>
      <c r="BH261">
        <v>8</v>
      </c>
      <c r="BI261">
        <v>3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0</v>
      </c>
      <c r="BQ261">
        <v>60</v>
      </c>
      <c r="BR261">
        <v>0</v>
      </c>
      <c r="BS261">
        <v>3</v>
      </c>
      <c r="BT261" t="s">
        <v>243</v>
      </c>
      <c r="BU261" t="s">
        <v>261</v>
      </c>
      <c r="BV261" t="b">
        <v>0</v>
      </c>
      <c r="BW261" t="s">
        <v>262</v>
      </c>
    </row>
    <row r="262" spans="1:75">
      <c r="A262" t="s">
        <v>243</v>
      </c>
      <c r="B262" t="s">
        <v>252</v>
      </c>
      <c r="C262">
        <v>1175</v>
      </c>
      <c r="D262" t="s">
        <v>253</v>
      </c>
      <c r="E262" t="s">
        <v>254</v>
      </c>
      <c r="F262">
        <v>5</v>
      </c>
      <c r="G262" s="13">
        <v>46267.40179398148</v>
      </c>
      <c r="H262" s="13">
        <v>46267.402604166666</v>
      </c>
      <c r="I262">
        <v>70</v>
      </c>
      <c r="J262" t="s">
        <v>255</v>
      </c>
      <c r="K262">
        <v>1</v>
      </c>
      <c r="L262">
        <v>0.04</v>
      </c>
      <c r="M262">
        <v>0.04</v>
      </c>
      <c r="N262">
        <v>1</v>
      </c>
      <c r="O262">
        <v>0.04</v>
      </c>
      <c r="P262">
        <v>2.68</v>
      </c>
      <c r="Q262">
        <v>10.039999999999999</v>
      </c>
      <c r="R262">
        <v>9.52</v>
      </c>
      <c r="S262" t="s">
        <v>256</v>
      </c>
      <c r="T262" t="s">
        <v>257</v>
      </c>
      <c r="U262">
        <v>11</v>
      </c>
      <c r="V262">
        <v>8292.7099999999991</v>
      </c>
      <c r="W262">
        <v>4999.32</v>
      </c>
      <c r="X262">
        <v>4997.32</v>
      </c>
      <c r="Y262">
        <v>0</v>
      </c>
      <c r="Z262">
        <v>0</v>
      </c>
      <c r="AA262">
        <v>35</v>
      </c>
      <c r="AB262">
        <v>50</v>
      </c>
      <c r="AC262">
        <v>5000</v>
      </c>
      <c r="AD262">
        <v>0</v>
      </c>
      <c r="AE262">
        <v>0</v>
      </c>
      <c r="AF262">
        <v>8302.0300000000007</v>
      </c>
      <c r="AG262">
        <v>8302.0300000000007</v>
      </c>
      <c r="AH262" s="14">
        <v>46267</v>
      </c>
      <c r="AI262" t="s">
        <v>258</v>
      </c>
      <c r="AJ262" s="13">
        <v>46262.213402777779</v>
      </c>
      <c r="AK262">
        <v>6066.68</v>
      </c>
      <c r="AL262" t="s">
        <v>259</v>
      </c>
      <c r="AM262" t="s">
        <v>260</v>
      </c>
      <c r="AN262">
        <v>1400</v>
      </c>
      <c r="AO262">
        <v>0</v>
      </c>
      <c r="AP262">
        <v>35</v>
      </c>
      <c r="AQ262">
        <v>85</v>
      </c>
      <c r="AR262">
        <v>35</v>
      </c>
      <c r="AS262">
        <v>2</v>
      </c>
      <c r="AT262">
        <v>23</v>
      </c>
      <c r="AU262">
        <v>1</v>
      </c>
      <c r="AV262">
        <v>0</v>
      </c>
      <c r="AW262">
        <v>10</v>
      </c>
      <c r="AX262">
        <v>1</v>
      </c>
      <c r="AY262">
        <v>10</v>
      </c>
      <c r="AZ262">
        <v>5</v>
      </c>
      <c r="BA262">
        <v>1</v>
      </c>
      <c r="BB262">
        <v>1440</v>
      </c>
      <c r="BC262">
        <v>0</v>
      </c>
      <c r="BD262">
        <v>0</v>
      </c>
      <c r="BE262">
        <v>14</v>
      </c>
      <c r="BF262">
        <v>25</v>
      </c>
      <c r="BG262">
        <v>3</v>
      </c>
      <c r="BH262">
        <v>8</v>
      </c>
      <c r="BI262">
        <v>3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</v>
      </c>
      <c r="BQ262">
        <v>60</v>
      </c>
      <c r="BR262">
        <v>0</v>
      </c>
      <c r="BS262">
        <v>3</v>
      </c>
      <c r="BT262" t="s">
        <v>243</v>
      </c>
      <c r="BU262" t="s">
        <v>261</v>
      </c>
      <c r="BV262" t="b">
        <v>0</v>
      </c>
      <c r="BW262" t="s">
        <v>262</v>
      </c>
    </row>
    <row r="263" spans="1:75">
      <c r="A263" t="s">
        <v>243</v>
      </c>
      <c r="B263" t="s">
        <v>252</v>
      </c>
      <c r="C263">
        <v>1176</v>
      </c>
      <c r="D263" t="s">
        <v>253</v>
      </c>
      <c r="E263" t="s">
        <v>254</v>
      </c>
      <c r="F263">
        <v>5</v>
      </c>
      <c r="G263" s="13">
        <v>46267.404189814813</v>
      </c>
      <c r="H263" s="13">
        <v>46267.421967592592</v>
      </c>
      <c r="I263">
        <v>1536</v>
      </c>
      <c r="J263" t="s">
        <v>255</v>
      </c>
      <c r="K263">
        <v>4</v>
      </c>
      <c r="L263">
        <v>0.16</v>
      </c>
      <c r="M263">
        <v>0.04</v>
      </c>
      <c r="N263">
        <v>4</v>
      </c>
      <c r="O263">
        <v>0.16</v>
      </c>
      <c r="P263">
        <v>47.8</v>
      </c>
      <c r="Q263">
        <v>50.36</v>
      </c>
      <c r="R263">
        <v>50.36</v>
      </c>
      <c r="S263" t="s">
        <v>263</v>
      </c>
      <c r="T263" t="s">
        <v>257</v>
      </c>
      <c r="U263">
        <v>10</v>
      </c>
      <c r="V263">
        <v>8301.39</v>
      </c>
      <c r="W263">
        <v>4999.3599999999997</v>
      </c>
      <c r="X263">
        <v>4952.2</v>
      </c>
      <c r="Y263">
        <v>0</v>
      </c>
      <c r="Z263">
        <v>0</v>
      </c>
      <c r="AA263">
        <v>35</v>
      </c>
      <c r="AB263">
        <v>50</v>
      </c>
      <c r="AC263">
        <v>5000</v>
      </c>
      <c r="AD263">
        <v>0</v>
      </c>
      <c r="AE263">
        <v>0</v>
      </c>
      <c r="AF263">
        <v>8352.7900000000009</v>
      </c>
      <c r="AG263">
        <v>8352.7900000000009</v>
      </c>
      <c r="AH263" s="14">
        <v>46267</v>
      </c>
      <c r="AI263" t="s">
        <v>258</v>
      </c>
      <c r="AJ263" s="13">
        <v>46262.213402777779</v>
      </c>
      <c r="AK263">
        <v>6066.68</v>
      </c>
      <c r="AL263" t="s">
        <v>259</v>
      </c>
      <c r="AM263" t="s">
        <v>260</v>
      </c>
      <c r="AN263">
        <v>1400</v>
      </c>
      <c r="AO263">
        <v>0</v>
      </c>
      <c r="AP263">
        <v>35</v>
      </c>
      <c r="AQ263">
        <v>85</v>
      </c>
      <c r="AR263">
        <v>35</v>
      </c>
      <c r="AS263">
        <v>2</v>
      </c>
      <c r="AT263">
        <v>23</v>
      </c>
      <c r="AU263">
        <v>1</v>
      </c>
      <c r="AV263">
        <v>0</v>
      </c>
      <c r="AW263">
        <v>10</v>
      </c>
      <c r="AX263">
        <v>1</v>
      </c>
      <c r="AY263">
        <v>10</v>
      </c>
      <c r="AZ263">
        <v>5</v>
      </c>
      <c r="BA263">
        <v>1</v>
      </c>
      <c r="BB263">
        <v>1440</v>
      </c>
      <c r="BC263">
        <v>0</v>
      </c>
      <c r="BD263">
        <v>0</v>
      </c>
      <c r="BE263">
        <v>14</v>
      </c>
      <c r="BF263">
        <v>25</v>
      </c>
      <c r="BG263">
        <v>3</v>
      </c>
      <c r="BH263">
        <v>8</v>
      </c>
      <c r="BI263">
        <v>3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0</v>
      </c>
      <c r="BQ263">
        <v>60</v>
      </c>
      <c r="BR263">
        <v>0</v>
      </c>
      <c r="BS263">
        <v>3</v>
      </c>
      <c r="BT263" t="s">
        <v>243</v>
      </c>
      <c r="BU263" t="s">
        <v>261</v>
      </c>
      <c r="BV263" t="b">
        <v>0</v>
      </c>
      <c r="BW263" t="s">
        <v>262</v>
      </c>
    </row>
    <row r="264" spans="1:75">
      <c r="A264" t="s">
        <v>243</v>
      </c>
      <c r="B264" t="s">
        <v>252</v>
      </c>
      <c r="C264">
        <v>1177</v>
      </c>
      <c r="D264" t="s">
        <v>253</v>
      </c>
      <c r="E264" t="s">
        <v>254</v>
      </c>
      <c r="F264">
        <v>5</v>
      </c>
      <c r="G264" s="13">
        <v>46267.42396990741</v>
      </c>
      <c r="H264" s="13">
        <v>46267.425312500003</v>
      </c>
      <c r="I264">
        <v>116</v>
      </c>
      <c r="J264" t="s">
        <v>255</v>
      </c>
      <c r="K264">
        <v>1</v>
      </c>
      <c r="L264">
        <v>0.04</v>
      </c>
      <c r="M264">
        <v>0.04</v>
      </c>
      <c r="N264">
        <v>1</v>
      </c>
      <c r="O264">
        <v>0.04</v>
      </c>
      <c r="P264">
        <v>8.08</v>
      </c>
      <c r="Q264">
        <v>3.32</v>
      </c>
      <c r="R264">
        <v>3.32</v>
      </c>
      <c r="S264" t="s">
        <v>256</v>
      </c>
      <c r="T264" t="s">
        <v>257</v>
      </c>
      <c r="U264">
        <v>10</v>
      </c>
      <c r="V264">
        <v>8352.15</v>
      </c>
      <c r="W264">
        <v>4999.3599999999997</v>
      </c>
      <c r="X264">
        <v>4991.92</v>
      </c>
      <c r="Y264">
        <v>0</v>
      </c>
      <c r="Z264">
        <v>0</v>
      </c>
      <c r="AA264">
        <v>35</v>
      </c>
      <c r="AB264">
        <v>50</v>
      </c>
      <c r="AC264">
        <v>5000</v>
      </c>
      <c r="AD264">
        <v>0</v>
      </c>
      <c r="AE264">
        <v>0</v>
      </c>
      <c r="AF264">
        <v>8354.7099999999991</v>
      </c>
      <c r="AG264">
        <v>8354.7099999999991</v>
      </c>
      <c r="AH264" s="14">
        <v>46267</v>
      </c>
      <c r="AI264" t="s">
        <v>258</v>
      </c>
      <c r="AJ264" s="13">
        <v>46262.213402777779</v>
      </c>
      <c r="AK264">
        <v>6066.68</v>
      </c>
      <c r="AL264" t="s">
        <v>259</v>
      </c>
      <c r="AM264" t="s">
        <v>260</v>
      </c>
      <c r="AN264">
        <v>1400</v>
      </c>
      <c r="AO264">
        <v>0</v>
      </c>
      <c r="AP264">
        <v>35</v>
      </c>
      <c r="AQ264">
        <v>85</v>
      </c>
      <c r="AR264">
        <v>35</v>
      </c>
      <c r="AS264">
        <v>2</v>
      </c>
      <c r="AT264">
        <v>23</v>
      </c>
      <c r="AU264">
        <v>1</v>
      </c>
      <c r="AV264">
        <v>0</v>
      </c>
      <c r="AW264">
        <v>10</v>
      </c>
      <c r="AX264">
        <v>1</v>
      </c>
      <c r="AY264">
        <v>10</v>
      </c>
      <c r="AZ264">
        <v>5</v>
      </c>
      <c r="BA264">
        <v>1</v>
      </c>
      <c r="BB264">
        <v>1440</v>
      </c>
      <c r="BC264">
        <v>0</v>
      </c>
      <c r="BD264">
        <v>0</v>
      </c>
      <c r="BE264">
        <v>14</v>
      </c>
      <c r="BF264">
        <v>25</v>
      </c>
      <c r="BG264">
        <v>3</v>
      </c>
      <c r="BH264">
        <v>8</v>
      </c>
      <c r="BI264">
        <v>3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0</v>
      </c>
      <c r="BQ264">
        <v>60</v>
      </c>
      <c r="BR264">
        <v>0</v>
      </c>
      <c r="BS264">
        <v>3</v>
      </c>
      <c r="BT264" t="s">
        <v>243</v>
      </c>
      <c r="BU264" t="s">
        <v>261</v>
      </c>
      <c r="BV264" t="b">
        <v>0</v>
      </c>
      <c r="BW264" t="s">
        <v>262</v>
      </c>
    </row>
    <row r="265" spans="1:75">
      <c r="A265" t="s">
        <v>243</v>
      </c>
      <c r="B265" t="s">
        <v>252</v>
      </c>
      <c r="C265">
        <v>1178</v>
      </c>
      <c r="D265" t="s">
        <v>253</v>
      </c>
      <c r="E265" t="s">
        <v>254</v>
      </c>
      <c r="F265">
        <v>5</v>
      </c>
      <c r="G265" s="13">
        <v>46267.433437500003</v>
      </c>
      <c r="H265" s="13">
        <v>46267.439328703702</v>
      </c>
      <c r="I265">
        <v>509</v>
      </c>
      <c r="J265" t="s">
        <v>255</v>
      </c>
      <c r="K265">
        <v>3</v>
      </c>
      <c r="L265">
        <v>0.12</v>
      </c>
      <c r="M265">
        <v>0.04</v>
      </c>
      <c r="N265">
        <v>3</v>
      </c>
      <c r="O265">
        <v>0.12</v>
      </c>
      <c r="P265">
        <v>24.92</v>
      </c>
      <c r="Q265">
        <v>15.48</v>
      </c>
      <c r="R265">
        <v>9.6</v>
      </c>
      <c r="S265" t="s">
        <v>263</v>
      </c>
      <c r="T265" t="s">
        <v>257</v>
      </c>
      <c r="U265">
        <v>10</v>
      </c>
      <c r="V265">
        <v>8354.07</v>
      </c>
      <c r="W265">
        <v>4999.3599999999997</v>
      </c>
      <c r="X265">
        <v>4975.08</v>
      </c>
      <c r="Y265">
        <v>0</v>
      </c>
      <c r="Z265">
        <v>0</v>
      </c>
      <c r="AA265">
        <v>35</v>
      </c>
      <c r="AB265">
        <v>50</v>
      </c>
      <c r="AC265">
        <v>5000</v>
      </c>
      <c r="AD265">
        <v>0</v>
      </c>
      <c r="AE265">
        <v>0</v>
      </c>
      <c r="AF265">
        <v>8363.99</v>
      </c>
      <c r="AG265">
        <v>8363.99</v>
      </c>
      <c r="AH265" s="14">
        <v>46267</v>
      </c>
      <c r="AI265" t="s">
        <v>258</v>
      </c>
      <c r="AJ265" s="13">
        <v>46262.213402777779</v>
      </c>
      <c r="AK265">
        <v>6066.68</v>
      </c>
      <c r="AL265" t="s">
        <v>259</v>
      </c>
      <c r="AM265" t="s">
        <v>260</v>
      </c>
      <c r="AN265">
        <v>1400</v>
      </c>
      <c r="AO265">
        <v>0</v>
      </c>
      <c r="AP265">
        <v>35</v>
      </c>
      <c r="AQ265">
        <v>85</v>
      </c>
      <c r="AR265">
        <v>35</v>
      </c>
      <c r="AS265">
        <v>2</v>
      </c>
      <c r="AT265">
        <v>23</v>
      </c>
      <c r="AU265">
        <v>1</v>
      </c>
      <c r="AV265">
        <v>0</v>
      </c>
      <c r="AW265">
        <v>10</v>
      </c>
      <c r="AX265">
        <v>1</v>
      </c>
      <c r="AY265">
        <v>10</v>
      </c>
      <c r="AZ265">
        <v>5</v>
      </c>
      <c r="BA265">
        <v>1</v>
      </c>
      <c r="BB265">
        <v>1440</v>
      </c>
      <c r="BC265">
        <v>0</v>
      </c>
      <c r="BD265">
        <v>0</v>
      </c>
      <c r="BE265">
        <v>14</v>
      </c>
      <c r="BF265">
        <v>25</v>
      </c>
      <c r="BG265">
        <v>3</v>
      </c>
      <c r="BH265">
        <v>8</v>
      </c>
      <c r="BI265">
        <v>3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60</v>
      </c>
      <c r="BR265">
        <v>0</v>
      </c>
      <c r="BS265">
        <v>3</v>
      </c>
      <c r="BT265" t="s">
        <v>243</v>
      </c>
      <c r="BU265" t="s">
        <v>261</v>
      </c>
      <c r="BV265" t="b">
        <v>0</v>
      </c>
      <c r="BW265" t="s">
        <v>262</v>
      </c>
    </row>
    <row r="266" spans="1:75">
      <c r="A266" t="s">
        <v>243</v>
      </c>
      <c r="B266" t="s">
        <v>252</v>
      </c>
      <c r="C266">
        <v>1179</v>
      </c>
      <c r="D266" t="s">
        <v>253</v>
      </c>
      <c r="E266" t="s">
        <v>254</v>
      </c>
      <c r="F266">
        <v>5</v>
      </c>
      <c r="G266" s="13">
        <v>46267.443067129629</v>
      </c>
      <c r="H266" s="13">
        <v>46267.443564814814</v>
      </c>
      <c r="I266">
        <v>43</v>
      </c>
      <c r="J266" t="s">
        <v>255</v>
      </c>
      <c r="K266">
        <v>1</v>
      </c>
      <c r="L266">
        <v>0.04</v>
      </c>
      <c r="M266">
        <v>0.04</v>
      </c>
      <c r="N266">
        <v>1</v>
      </c>
      <c r="O266">
        <v>0.04</v>
      </c>
      <c r="P266">
        <v>1.56</v>
      </c>
      <c r="Q266">
        <v>4.76</v>
      </c>
      <c r="R266">
        <v>4.76</v>
      </c>
      <c r="S266" t="s">
        <v>256</v>
      </c>
      <c r="T266" t="s">
        <v>257</v>
      </c>
      <c r="U266">
        <v>10</v>
      </c>
      <c r="V266">
        <v>8363.35</v>
      </c>
      <c r="W266">
        <v>4999.3599999999997</v>
      </c>
      <c r="X266">
        <v>4998.4399999999996</v>
      </c>
      <c r="Y266">
        <v>0</v>
      </c>
      <c r="Z266">
        <v>0</v>
      </c>
      <c r="AA266">
        <v>35</v>
      </c>
      <c r="AB266">
        <v>50</v>
      </c>
      <c r="AC266">
        <v>5000</v>
      </c>
      <c r="AD266">
        <v>0</v>
      </c>
      <c r="AE266">
        <v>0</v>
      </c>
      <c r="AF266">
        <v>8367.35</v>
      </c>
      <c r="AG266">
        <v>8367.35</v>
      </c>
      <c r="AH266" s="14">
        <v>46267</v>
      </c>
      <c r="AI266" t="s">
        <v>258</v>
      </c>
      <c r="AJ266" s="13">
        <v>46262.213402777779</v>
      </c>
      <c r="AK266">
        <v>6066.68</v>
      </c>
      <c r="AL266" t="s">
        <v>259</v>
      </c>
      <c r="AM266" t="s">
        <v>260</v>
      </c>
      <c r="AN266">
        <v>1400</v>
      </c>
      <c r="AO266">
        <v>0</v>
      </c>
      <c r="AP266">
        <v>35</v>
      </c>
      <c r="AQ266">
        <v>85</v>
      </c>
      <c r="AR266">
        <v>35</v>
      </c>
      <c r="AS266">
        <v>2</v>
      </c>
      <c r="AT266">
        <v>23</v>
      </c>
      <c r="AU266">
        <v>1</v>
      </c>
      <c r="AV266">
        <v>0</v>
      </c>
      <c r="AW266">
        <v>10</v>
      </c>
      <c r="AX266">
        <v>1</v>
      </c>
      <c r="AY266">
        <v>10</v>
      </c>
      <c r="AZ266">
        <v>5</v>
      </c>
      <c r="BA266">
        <v>1</v>
      </c>
      <c r="BB266">
        <v>1440</v>
      </c>
      <c r="BC266">
        <v>0</v>
      </c>
      <c r="BD266">
        <v>0</v>
      </c>
      <c r="BE266">
        <v>14</v>
      </c>
      <c r="BF266">
        <v>25</v>
      </c>
      <c r="BG266">
        <v>3</v>
      </c>
      <c r="BH266">
        <v>8</v>
      </c>
      <c r="BI266">
        <v>3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0</v>
      </c>
      <c r="BQ266">
        <v>60</v>
      </c>
      <c r="BR266">
        <v>0</v>
      </c>
      <c r="BS266">
        <v>3</v>
      </c>
      <c r="BT266" t="s">
        <v>243</v>
      </c>
      <c r="BU266" t="s">
        <v>261</v>
      </c>
      <c r="BV266" t="b">
        <v>0</v>
      </c>
      <c r="BW266" t="s">
        <v>262</v>
      </c>
    </row>
    <row r="267" spans="1:75">
      <c r="A267" t="s">
        <v>243</v>
      </c>
      <c r="B267" t="s">
        <v>252</v>
      </c>
      <c r="C267">
        <v>1180</v>
      </c>
      <c r="D267" t="s">
        <v>253</v>
      </c>
      <c r="E267" t="s">
        <v>254</v>
      </c>
      <c r="F267">
        <v>5</v>
      </c>
      <c r="G267" s="13">
        <v>46267.447141203702</v>
      </c>
      <c r="H267" s="13">
        <v>46267.447569444441</v>
      </c>
      <c r="I267">
        <v>37</v>
      </c>
      <c r="J267" t="s">
        <v>264</v>
      </c>
      <c r="K267">
        <v>1</v>
      </c>
      <c r="L267">
        <v>0.04</v>
      </c>
      <c r="M267">
        <v>0.04</v>
      </c>
      <c r="N267">
        <v>1</v>
      </c>
      <c r="O267">
        <v>0.04</v>
      </c>
      <c r="P267">
        <v>0.68</v>
      </c>
      <c r="Q267">
        <v>6.44</v>
      </c>
      <c r="R267">
        <v>6.44</v>
      </c>
      <c r="S267" t="s">
        <v>256</v>
      </c>
      <c r="T267" t="s">
        <v>257</v>
      </c>
      <c r="U267">
        <v>10</v>
      </c>
      <c r="V267">
        <v>8366.67</v>
      </c>
      <c r="W267">
        <v>4999.32</v>
      </c>
      <c r="X267">
        <v>4999.32</v>
      </c>
      <c r="Y267">
        <v>0</v>
      </c>
      <c r="Z267">
        <v>0</v>
      </c>
      <c r="AA267">
        <v>35</v>
      </c>
      <c r="AB267">
        <v>50</v>
      </c>
      <c r="AC267">
        <v>5000</v>
      </c>
      <c r="AD267">
        <v>0</v>
      </c>
      <c r="AE267">
        <v>0</v>
      </c>
      <c r="AF267">
        <v>8372.39</v>
      </c>
      <c r="AG267">
        <v>8372.39</v>
      </c>
      <c r="AH267" s="14">
        <v>46267</v>
      </c>
      <c r="AI267" t="s">
        <v>258</v>
      </c>
      <c r="AJ267" s="13">
        <v>46262.213402777779</v>
      </c>
      <c r="AK267">
        <v>6066.68</v>
      </c>
      <c r="AL267" t="s">
        <v>259</v>
      </c>
      <c r="AM267" t="s">
        <v>260</v>
      </c>
      <c r="AN267">
        <v>1400</v>
      </c>
      <c r="AO267">
        <v>0</v>
      </c>
      <c r="AP267">
        <v>35</v>
      </c>
      <c r="AQ267">
        <v>85</v>
      </c>
      <c r="AR267">
        <v>35</v>
      </c>
      <c r="AS267">
        <v>2</v>
      </c>
      <c r="AT267">
        <v>23</v>
      </c>
      <c r="AU267">
        <v>1</v>
      </c>
      <c r="AV267">
        <v>0</v>
      </c>
      <c r="AW267">
        <v>10</v>
      </c>
      <c r="AX267">
        <v>1</v>
      </c>
      <c r="AY267">
        <v>10</v>
      </c>
      <c r="AZ267">
        <v>5</v>
      </c>
      <c r="BA267">
        <v>1</v>
      </c>
      <c r="BB267">
        <v>1440</v>
      </c>
      <c r="BC267">
        <v>0</v>
      </c>
      <c r="BD267">
        <v>0</v>
      </c>
      <c r="BE267">
        <v>14</v>
      </c>
      <c r="BF267">
        <v>25</v>
      </c>
      <c r="BG267">
        <v>3</v>
      </c>
      <c r="BH267">
        <v>8</v>
      </c>
      <c r="BI267">
        <v>3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0</v>
      </c>
      <c r="BQ267">
        <v>60</v>
      </c>
      <c r="BR267">
        <v>0</v>
      </c>
      <c r="BS267">
        <v>3</v>
      </c>
      <c r="BT267" t="s">
        <v>243</v>
      </c>
      <c r="BU267" t="s">
        <v>261</v>
      </c>
      <c r="BV267" t="b">
        <v>0</v>
      </c>
      <c r="BW267" t="s">
        <v>262</v>
      </c>
    </row>
    <row r="268" spans="1:75">
      <c r="A268" t="s">
        <v>243</v>
      </c>
      <c r="B268" t="s">
        <v>252</v>
      </c>
      <c r="C268">
        <v>1181</v>
      </c>
      <c r="D268" t="s">
        <v>253</v>
      </c>
      <c r="E268" t="s">
        <v>254</v>
      </c>
      <c r="F268">
        <v>5</v>
      </c>
      <c r="G268" s="13">
        <v>46267.459814814814</v>
      </c>
      <c r="H268" s="13">
        <v>46267.461689814816</v>
      </c>
      <c r="I268">
        <v>162</v>
      </c>
      <c r="J268" t="s">
        <v>255</v>
      </c>
      <c r="K268">
        <v>1</v>
      </c>
      <c r="L268">
        <v>0.04</v>
      </c>
      <c r="M268">
        <v>0.04</v>
      </c>
      <c r="N268">
        <v>1</v>
      </c>
      <c r="O268">
        <v>0.04</v>
      </c>
      <c r="P268">
        <v>9.8000000000000007</v>
      </c>
      <c r="Q268">
        <v>7</v>
      </c>
      <c r="R268">
        <v>6.64</v>
      </c>
      <c r="S268" t="s">
        <v>256</v>
      </c>
      <c r="T268" t="s">
        <v>257</v>
      </c>
      <c r="U268">
        <v>11</v>
      </c>
      <c r="V268">
        <v>8371.7099999999991</v>
      </c>
      <c r="W268">
        <v>4999.32</v>
      </c>
      <c r="X268">
        <v>4990.2</v>
      </c>
      <c r="Y268">
        <v>0</v>
      </c>
      <c r="Z268">
        <v>0</v>
      </c>
      <c r="AA268">
        <v>35</v>
      </c>
      <c r="AB268">
        <v>50</v>
      </c>
      <c r="AC268">
        <v>5000</v>
      </c>
      <c r="AD268">
        <v>0</v>
      </c>
      <c r="AE268">
        <v>0</v>
      </c>
      <c r="AF268">
        <v>8377.9500000000007</v>
      </c>
      <c r="AG268">
        <v>8377.9500000000007</v>
      </c>
      <c r="AH268" s="14">
        <v>46267</v>
      </c>
      <c r="AI268" t="s">
        <v>258</v>
      </c>
      <c r="AJ268" s="13">
        <v>46262.213402777779</v>
      </c>
      <c r="AK268">
        <v>6066.68</v>
      </c>
      <c r="AL268" t="s">
        <v>259</v>
      </c>
      <c r="AM268" t="s">
        <v>260</v>
      </c>
      <c r="AN268">
        <v>1400</v>
      </c>
      <c r="AO268">
        <v>0</v>
      </c>
      <c r="AP268">
        <v>35</v>
      </c>
      <c r="AQ268">
        <v>85</v>
      </c>
      <c r="AR268">
        <v>35</v>
      </c>
      <c r="AS268">
        <v>2</v>
      </c>
      <c r="AT268">
        <v>23</v>
      </c>
      <c r="AU268">
        <v>1</v>
      </c>
      <c r="AV268">
        <v>0</v>
      </c>
      <c r="AW268">
        <v>10</v>
      </c>
      <c r="AX268">
        <v>1</v>
      </c>
      <c r="AY268">
        <v>10</v>
      </c>
      <c r="AZ268">
        <v>5</v>
      </c>
      <c r="BA268">
        <v>1</v>
      </c>
      <c r="BB268">
        <v>1440</v>
      </c>
      <c r="BC268">
        <v>0</v>
      </c>
      <c r="BD268">
        <v>0</v>
      </c>
      <c r="BE268">
        <v>14</v>
      </c>
      <c r="BF268">
        <v>25</v>
      </c>
      <c r="BG268">
        <v>3</v>
      </c>
      <c r="BH268">
        <v>8</v>
      </c>
      <c r="BI268">
        <v>3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0</v>
      </c>
      <c r="BQ268">
        <v>60</v>
      </c>
      <c r="BR268">
        <v>0</v>
      </c>
      <c r="BS268">
        <v>3</v>
      </c>
      <c r="BT268" t="s">
        <v>243</v>
      </c>
      <c r="BU268" t="s">
        <v>261</v>
      </c>
      <c r="BV268" t="b">
        <v>0</v>
      </c>
      <c r="BW268" t="s">
        <v>262</v>
      </c>
    </row>
    <row r="269" spans="1:75">
      <c r="A269" t="s">
        <v>243</v>
      </c>
      <c r="B269" t="s">
        <v>252</v>
      </c>
      <c r="C269">
        <v>1182</v>
      </c>
      <c r="D269" t="s">
        <v>253</v>
      </c>
      <c r="E269" t="s">
        <v>254</v>
      </c>
      <c r="F269">
        <v>5</v>
      </c>
      <c r="G269" s="13">
        <v>46267.462893518517</v>
      </c>
      <c r="H269" s="13">
        <v>46267.473425925928</v>
      </c>
      <c r="I269">
        <v>910</v>
      </c>
      <c r="J269" t="s">
        <v>264</v>
      </c>
      <c r="K269">
        <v>2</v>
      </c>
      <c r="L269">
        <v>0.08</v>
      </c>
      <c r="M269">
        <v>0.04</v>
      </c>
      <c r="N269">
        <v>2</v>
      </c>
      <c r="O269">
        <v>0.08</v>
      </c>
      <c r="P269">
        <v>33.96</v>
      </c>
      <c r="Q269">
        <v>11.52</v>
      </c>
      <c r="R269">
        <v>4.8</v>
      </c>
      <c r="S269" t="s">
        <v>263</v>
      </c>
      <c r="T269" t="s">
        <v>257</v>
      </c>
      <c r="U269">
        <v>10</v>
      </c>
      <c r="V269">
        <v>8377.31</v>
      </c>
      <c r="W269">
        <v>4999.3599999999997</v>
      </c>
      <c r="X269">
        <v>4966.04</v>
      </c>
      <c r="Y269">
        <v>0</v>
      </c>
      <c r="Z269">
        <v>0</v>
      </c>
      <c r="AA269">
        <v>35</v>
      </c>
      <c r="AB269">
        <v>50</v>
      </c>
      <c r="AC269">
        <v>5000</v>
      </c>
      <c r="AD269">
        <v>0</v>
      </c>
      <c r="AE269">
        <v>0</v>
      </c>
      <c r="AF269">
        <v>8382.91</v>
      </c>
      <c r="AG269">
        <v>8382.91</v>
      </c>
      <c r="AH269" s="14">
        <v>46267</v>
      </c>
      <c r="AI269" t="s">
        <v>258</v>
      </c>
      <c r="AJ269" s="13">
        <v>46262.213402777779</v>
      </c>
      <c r="AK269">
        <v>6066.68</v>
      </c>
      <c r="AL269" t="s">
        <v>259</v>
      </c>
      <c r="AM269" t="s">
        <v>260</v>
      </c>
      <c r="AN269">
        <v>1400</v>
      </c>
      <c r="AO269">
        <v>0</v>
      </c>
      <c r="AP269">
        <v>35</v>
      </c>
      <c r="AQ269">
        <v>85</v>
      </c>
      <c r="AR269">
        <v>35</v>
      </c>
      <c r="AS269">
        <v>2</v>
      </c>
      <c r="AT269">
        <v>23</v>
      </c>
      <c r="AU269">
        <v>1</v>
      </c>
      <c r="AV269">
        <v>0</v>
      </c>
      <c r="AW269">
        <v>10</v>
      </c>
      <c r="AX269">
        <v>1</v>
      </c>
      <c r="AY269">
        <v>10</v>
      </c>
      <c r="AZ269">
        <v>5</v>
      </c>
      <c r="BA269">
        <v>1</v>
      </c>
      <c r="BB269">
        <v>1440</v>
      </c>
      <c r="BC269">
        <v>0</v>
      </c>
      <c r="BD269">
        <v>0</v>
      </c>
      <c r="BE269">
        <v>14</v>
      </c>
      <c r="BF269">
        <v>25</v>
      </c>
      <c r="BG269">
        <v>3</v>
      </c>
      <c r="BH269">
        <v>8</v>
      </c>
      <c r="BI269">
        <v>3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0</v>
      </c>
      <c r="BQ269">
        <v>60</v>
      </c>
      <c r="BR269">
        <v>0</v>
      </c>
      <c r="BS269">
        <v>3</v>
      </c>
      <c r="BT269" t="s">
        <v>243</v>
      </c>
      <c r="BU269" t="s">
        <v>261</v>
      </c>
      <c r="BV269" t="b">
        <v>0</v>
      </c>
      <c r="BW269" t="s">
        <v>262</v>
      </c>
    </row>
    <row r="270" spans="1:75">
      <c r="A270" t="s">
        <v>243</v>
      </c>
      <c r="B270" t="s">
        <v>252</v>
      </c>
      <c r="C270">
        <v>1183</v>
      </c>
      <c r="D270" t="s">
        <v>253</v>
      </c>
      <c r="E270" t="s">
        <v>254</v>
      </c>
      <c r="F270">
        <v>5</v>
      </c>
      <c r="G270" s="13">
        <v>46267.478171296294</v>
      </c>
      <c r="H270" s="13">
        <v>46267.48332175926</v>
      </c>
      <c r="I270">
        <v>445</v>
      </c>
      <c r="J270" t="s">
        <v>264</v>
      </c>
      <c r="K270">
        <v>2</v>
      </c>
      <c r="L270">
        <v>0.08</v>
      </c>
      <c r="M270">
        <v>0.04</v>
      </c>
      <c r="N270">
        <v>2</v>
      </c>
      <c r="O270">
        <v>0.08</v>
      </c>
      <c r="P270">
        <v>13</v>
      </c>
      <c r="Q270">
        <v>20.92</v>
      </c>
      <c r="R270">
        <v>12.12</v>
      </c>
      <c r="S270" t="s">
        <v>263</v>
      </c>
      <c r="T270" t="s">
        <v>257</v>
      </c>
      <c r="U270">
        <v>11</v>
      </c>
      <c r="V270">
        <v>8382.23</v>
      </c>
      <c r="W270">
        <v>4999.32</v>
      </c>
      <c r="X270">
        <v>4987</v>
      </c>
      <c r="Y270">
        <v>0</v>
      </c>
      <c r="Z270">
        <v>0</v>
      </c>
      <c r="AA270">
        <v>35</v>
      </c>
      <c r="AB270">
        <v>50</v>
      </c>
      <c r="AC270">
        <v>5000</v>
      </c>
      <c r="AD270">
        <v>0</v>
      </c>
      <c r="AE270">
        <v>0</v>
      </c>
      <c r="AF270">
        <v>8395.27</v>
      </c>
      <c r="AG270">
        <v>8395.27</v>
      </c>
      <c r="AH270" s="14">
        <v>46267</v>
      </c>
      <c r="AI270" t="s">
        <v>258</v>
      </c>
      <c r="AJ270" s="13">
        <v>46262.213402777779</v>
      </c>
      <c r="AK270">
        <v>6066.68</v>
      </c>
      <c r="AL270" t="s">
        <v>259</v>
      </c>
      <c r="AM270" t="s">
        <v>260</v>
      </c>
      <c r="AN270">
        <v>1400</v>
      </c>
      <c r="AO270">
        <v>0</v>
      </c>
      <c r="AP270">
        <v>35</v>
      </c>
      <c r="AQ270">
        <v>85</v>
      </c>
      <c r="AR270">
        <v>35</v>
      </c>
      <c r="AS270">
        <v>2</v>
      </c>
      <c r="AT270">
        <v>23</v>
      </c>
      <c r="AU270">
        <v>1</v>
      </c>
      <c r="AV270">
        <v>0</v>
      </c>
      <c r="AW270">
        <v>10</v>
      </c>
      <c r="AX270">
        <v>1</v>
      </c>
      <c r="AY270">
        <v>10</v>
      </c>
      <c r="AZ270">
        <v>5</v>
      </c>
      <c r="BA270">
        <v>1</v>
      </c>
      <c r="BB270">
        <v>1440</v>
      </c>
      <c r="BC270">
        <v>0</v>
      </c>
      <c r="BD270">
        <v>0</v>
      </c>
      <c r="BE270">
        <v>14</v>
      </c>
      <c r="BF270">
        <v>25</v>
      </c>
      <c r="BG270">
        <v>3</v>
      </c>
      <c r="BH270">
        <v>8</v>
      </c>
      <c r="BI270">
        <v>3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0</v>
      </c>
      <c r="BQ270">
        <v>60</v>
      </c>
      <c r="BR270">
        <v>0</v>
      </c>
      <c r="BS270">
        <v>3</v>
      </c>
      <c r="BT270" t="s">
        <v>243</v>
      </c>
      <c r="BU270" t="s">
        <v>261</v>
      </c>
      <c r="BV270" t="b">
        <v>0</v>
      </c>
      <c r="BW270" t="s">
        <v>262</v>
      </c>
    </row>
    <row r="271" spans="1:75">
      <c r="A271" t="s">
        <v>243</v>
      </c>
      <c r="B271" t="s">
        <v>252</v>
      </c>
      <c r="C271">
        <v>1184</v>
      </c>
      <c r="D271" t="s">
        <v>253</v>
      </c>
      <c r="E271" t="s">
        <v>254</v>
      </c>
      <c r="F271">
        <v>5</v>
      </c>
      <c r="G271" s="13">
        <v>46267.4846412037</v>
      </c>
      <c r="H271" s="13">
        <v>46267.485023148147</v>
      </c>
      <c r="I271">
        <v>33</v>
      </c>
      <c r="J271" t="s">
        <v>255</v>
      </c>
      <c r="K271">
        <v>1</v>
      </c>
      <c r="L271">
        <v>0.04</v>
      </c>
      <c r="M271">
        <v>0.04</v>
      </c>
      <c r="N271">
        <v>1</v>
      </c>
      <c r="O271">
        <v>0.04</v>
      </c>
      <c r="P271">
        <v>0.76</v>
      </c>
      <c r="Q271">
        <v>6.04</v>
      </c>
      <c r="R271">
        <v>4.84</v>
      </c>
      <c r="S271" t="s">
        <v>256</v>
      </c>
      <c r="T271" t="s">
        <v>257</v>
      </c>
      <c r="U271">
        <v>11</v>
      </c>
      <c r="V271">
        <v>8394.59</v>
      </c>
      <c r="W271">
        <v>4999.32</v>
      </c>
      <c r="X271">
        <v>4999.24</v>
      </c>
      <c r="Y271">
        <v>0</v>
      </c>
      <c r="Z271">
        <v>0</v>
      </c>
      <c r="AA271">
        <v>35</v>
      </c>
      <c r="AB271">
        <v>50</v>
      </c>
      <c r="AC271">
        <v>5000</v>
      </c>
      <c r="AD271">
        <v>0</v>
      </c>
      <c r="AE271">
        <v>0</v>
      </c>
      <c r="AF271">
        <v>8399.91</v>
      </c>
      <c r="AG271">
        <v>8399.91</v>
      </c>
      <c r="AH271" s="14">
        <v>46267</v>
      </c>
      <c r="AI271" t="s">
        <v>258</v>
      </c>
      <c r="AJ271" s="13">
        <v>46262.213402777779</v>
      </c>
      <c r="AK271">
        <v>6066.68</v>
      </c>
      <c r="AL271" t="s">
        <v>259</v>
      </c>
      <c r="AM271" t="s">
        <v>260</v>
      </c>
      <c r="AN271">
        <v>1400</v>
      </c>
      <c r="AO271">
        <v>0</v>
      </c>
      <c r="AP271">
        <v>35</v>
      </c>
      <c r="AQ271">
        <v>85</v>
      </c>
      <c r="AR271">
        <v>35</v>
      </c>
      <c r="AS271">
        <v>2</v>
      </c>
      <c r="AT271">
        <v>23</v>
      </c>
      <c r="AU271">
        <v>1</v>
      </c>
      <c r="AV271">
        <v>0</v>
      </c>
      <c r="AW271">
        <v>10</v>
      </c>
      <c r="AX271">
        <v>1</v>
      </c>
      <c r="AY271">
        <v>10</v>
      </c>
      <c r="AZ271">
        <v>5</v>
      </c>
      <c r="BA271">
        <v>1</v>
      </c>
      <c r="BB271">
        <v>1440</v>
      </c>
      <c r="BC271">
        <v>0</v>
      </c>
      <c r="BD271">
        <v>0</v>
      </c>
      <c r="BE271">
        <v>14</v>
      </c>
      <c r="BF271">
        <v>25</v>
      </c>
      <c r="BG271">
        <v>3</v>
      </c>
      <c r="BH271">
        <v>8</v>
      </c>
      <c r="BI271">
        <v>3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0</v>
      </c>
      <c r="BQ271">
        <v>60</v>
      </c>
      <c r="BR271">
        <v>0</v>
      </c>
      <c r="BS271">
        <v>3</v>
      </c>
      <c r="BT271" t="s">
        <v>243</v>
      </c>
      <c r="BU271" t="s">
        <v>261</v>
      </c>
      <c r="BV271" t="b">
        <v>0</v>
      </c>
      <c r="BW271" t="s">
        <v>262</v>
      </c>
    </row>
    <row r="272" spans="1:75">
      <c r="A272" t="s">
        <v>243</v>
      </c>
      <c r="B272" t="s">
        <v>252</v>
      </c>
      <c r="C272">
        <v>1185</v>
      </c>
      <c r="D272" t="s">
        <v>253</v>
      </c>
      <c r="E272" t="s">
        <v>254</v>
      </c>
      <c r="F272">
        <v>5</v>
      </c>
      <c r="G272" s="13">
        <v>46267.48846064815</v>
      </c>
      <c r="H272" s="13">
        <v>46267.489340277774</v>
      </c>
      <c r="I272">
        <v>76</v>
      </c>
      <c r="J272" t="s">
        <v>264</v>
      </c>
      <c r="K272">
        <v>1</v>
      </c>
      <c r="L272">
        <v>0.04</v>
      </c>
      <c r="M272">
        <v>0.04</v>
      </c>
      <c r="N272">
        <v>1</v>
      </c>
      <c r="O272">
        <v>0.04</v>
      </c>
      <c r="P272">
        <v>2.64</v>
      </c>
      <c r="Q272">
        <v>7.68</v>
      </c>
      <c r="R272">
        <v>7.68</v>
      </c>
      <c r="S272" t="s">
        <v>256</v>
      </c>
      <c r="T272" t="s">
        <v>257</v>
      </c>
      <c r="U272">
        <v>11</v>
      </c>
      <c r="V272">
        <v>8399.27</v>
      </c>
      <c r="W272">
        <v>4999.3599999999997</v>
      </c>
      <c r="X272">
        <v>4997.3599999999997</v>
      </c>
      <c r="Y272">
        <v>0</v>
      </c>
      <c r="Z272">
        <v>0</v>
      </c>
      <c r="AA272">
        <v>35</v>
      </c>
      <c r="AB272">
        <v>50</v>
      </c>
      <c r="AC272">
        <v>5000</v>
      </c>
      <c r="AD272">
        <v>0</v>
      </c>
      <c r="AE272">
        <v>0</v>
      </c>
      <c r="AF272">
        <v>8406.19</v>
      </c>
      <c r="AG272">
        <v>8406.19</v>
      </c>
      <c r="AH272" s="14">
        <v>46267</v>
      </c>
      <c r="AI272" t="s">
        <v>258</v>
      </c>
      <c r="AJ272" s="13">
        <v>46262.213402777779</v>
      </c>
      <c r="AK272">
        <v>6066.68</v>
      </c>
      <c r="AL272" t="s">
        <v>259</v>
      </c>
      <c r="AM272" t="s">
        <v>260</v>
      </c>
      <c r="AN272">
        <v>1400</v>
      </c>
      <c r="AO272">
        <v>0</v>
      </c>
      <c r="AP272">
        <v>35</v>
      </c>
      <c r="AQ272">
        <v>85</v>
      </c>
      <c r="AR272">
        <v>35</v>
      </c>
      <c r="AS272">
        <v>2</v>
      </c>
      <c r="AT272">
        <v>23</v>
      </c>
      <c r="AU272">
        <v>1</v>
      </c>
      <c r="AV272">
        <v>0</v>
      </c>
      <c r="AW272">
        <v>10</v>
      </c>
      <c r="AX272">
        <v>1</v>
      </c>
      <c r="AY272">
        <v>10</v>
      </c>
      <c r="AZ272">
        <v>5</v>
      </c>
      <c r="BA272">
        <v>1</v>
      </c>
      <c r="BB272">
        <v>1440</v>
      </c>
      <c r="BC272">
        <v>0</v>
      </c>
      <c r="BD272">
        <v>0</v>
      </c>
      <c r="BE272">
        <v>14</v>
      </c>
      <c r="BF272">
        <v>25</v>
      </c>
      <c r="BG272">
        <v>3</v>
      </c>
      <c r="BH272">
        <v>8</v>
      </c>
      <c r="BI272">
        <v>3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0</v>
      </c>
      <c r="BQ272">
        <v>60</v>
      </c>
      <c r="BR272">
        <v>0</v>
      </c>
      <c r="BS272">
        <v>3</v>
      </c>
      <c r="BT272" t="s">
        <v>243</v>
      </c>
      <c r="BU272" t="s">
        <v>261</v>
      </c>
      <c r="BV272" t="b">
        <v>0</v>
      </c>
      <c r="BW272" t="s">
        <v>262</v>
      </c>
    </row>
    <row r="273" spans="1:75">
      <c r="A273" t="s">
        <v>243</v>
      </c>
      <c r="B273" t="s">
        <v>252</v>
      </c>
      <c r="C273">
        <v>1186</v>
      </c>
      <c r="D273" t="s">
        <v>253</v>
      </c>
      <c r="E273" t="s">
        <v>254</v>
      </c>
      <c r="F273">
        <v>5</v>
      </c>
      <c r="G273" s="13">
        <v>46267.494409722225</v>
      </c>
      <c r="H273" s="13">
        <v>46267.494583333333</v>
      </c>
      <c r="I273">
        <v>15</v>
      </c>
      <c r="J273" t="s">
        <v>264</v>
      </c>
      <c r="K273">
        <v>1</v>
      </c>
      <c r="L273">
        <v>0.04</v>
      </c>
      <c r="M273">
        <v>0.04</v>
      </c>
      <c r="N273">
        <v>1</v>
      </c>
      <c r="O273">
        <v>0.04</v>
      </c>
      <c r="P273">
        <v>1.32</v>
      </c>
      <c r="Q273">
        <v>4.72</v>
      </c>
      <c r="R273">
        <v>3.52</v>
      </c>
      <c r="S273" t="s">
        <v>256</v>
      </c>
      <c r="T273" t="s">
        <v>257</v>
      </c>
      <c r="U273">
        <v>11</v>
      </c>
      <c r="V273">
        <v>8405.51</v>
      </c>
      <c r="W273">
        <v>4999.32</v>
      </c>
      <c r="X273">
        <v>4998.68</v>
      </c>
      <c r="Y273">
        <v>0</v>
      </c>
      <c r="Z273">
        <v>0</v>
      </c>
      <c r="AA273">
        <v>35</v>
      </c>
      <c r="AB273">
        <v>50</v>
      </c>
      <c r="AC273">
        <v>5000</v>
      </c>
      <c r="AD273">
        <v>0</v>
      </c>
      <c r="AE273">
        <v>0</v>
      </c>
      <c r="AF273">
        <v>8409.51</v>
      </c>
      <c r="AG273">
        <v>8409.51</v>
      </c>
      <c r="AH273" s="14">
        <v>46267</v>
      </c>
      <c r="AI273" t="s">
        <v>258</v>
      </c>
      <c r="AJ273" s="13">
        <v>46262.213402777779</v>
      </c>
      <c r="AK273">
        <v>6066.68</v>
      </c>
      <c r="AL273" t="s">
        <v>259</v>
      </c>
      <c r="AM273" t="s">
        <v>260</v>
      </c>
      <c r="AN273">
        <v>1400</v>
      </c>
      <c r="AO273">
        <v>0</v>
      </c>
      <c r="AP273">
        <v>35</v>
      </c>
      <c r="AQ273">
        <v>85</v>
      </c>
      <c r="AR273">
        <v>35</v>
      </c>
      <c r="AS273">
        <v>2</v>
      </c>
      <c r="AT273">
        <v>23</v>
      </c>
      <c r="AU273">
        <v>1</v>
      </c>
      <c r="AV273">
        <v>0</v>
      </c>
      <c r="AW273">
        <v>10</v>
      </c>
      <c r="AX273">
        <v>1</v>
      </c>
      <c r="AY273">
        <v>10</v>
      </c>
      <c r="AZ273">
        <v>5</v>
      </c>
      <c r="BA273">
        <v>1</v>
      </c>
      <c r="BB273">
        <v>1440</v>
      </c>
      <c r="BC273">
        <v>0</v>
      </c>
      <c r="BD273">
        <v>0</v>
      </c>
      <c r="BE273">
        <v>14</v>
      </c>
      <c r="BF273">
        <v>25</v>
      </c>
      <c r="BG273">
        <v>3</v>
      </c>
      <c r="BH273">
        <v>8</v>
      </c>
      <c r="BI273">
        <v>3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0</v>
      </c>
      <c r="BQ273">
        <v>60</v>
      </c>
      <c r="BR273">
        <v>0</v>
      </c>
      <c r="BS273">
        <v>3</v>
      </c>
      <c r="BT273" t="s">
        <v>243</v>
      </c>
      <c r="BU273" t="s">
        <v>261</v>
      </c>
      <c r="BV273" t="b">
        <v>0</v>
      </c>
      <c r="BW273" t="s">
        <v>262</v>
      </c>
    </row>
    <row r="274" spans="1:75">
      <c r="A274" t="s">
        <v>243</v>
      </c>
      <c r="B274" t="s">
        <v>252</v>
      </c>
      <c r="C274">
        <v>1187</v>
      </c>
      <c r="D274" t="s">
        <v>253</v>
      </c>
      <c r="E274" t="s">
        <v>254</v>
      </c>
      <c r="F274">
        <v>5</v>
      </c>
      <c r="G274" s="13">
        <v>46267.497812499998</v>
      </c>
      <c r="H274" s="13">
        <v>46267.504050925927</v>
      </c>
      <c r="I274">
        <v>539</v>
      </c>
      <c r="J274" t="s">
        <v>255</v>
      </c>
      <c r="K274">
        <v>3</v>
      </c>
      <c r="L274">
        <v>0.12</v>
      </c>
      <c r="M274">
        <v>0.04</v>
      </c>
      <c r="N274">
        <v>3</v>
      </c>
      <c r="O274">
        <v>0.12</v>
      </c>
      <c r="P274">
        <v>18.8</v>
      </c>
      <c r="Q274">
        <v>29</v>
      </c>
      <c r="R274">
        <v>23.84</v>
      </c>
      <c r="S274" t="s">
        <v>263</v>
      </c>
      <c r="T274" t="s">
        <v>257</v>
      </c>
      <c r="U274">
        <v>11</v>
      </c>
      <c r="V274">
        <v>8408.8700000000008</v>
      </c>
      <c r="W274">
        <v>4999.3599999999997</v>
      </c>
      <c r="X274">
        <v>4981.2</v>
      </c>
      <c r="Y274">
        <v>0</v>
      </c>
      <c r="Z274">
        <v>0</v>
      </c>
      <c r="AA274">
        <v>35</v>
      </c>
      <c r="AB274">
        <v>50</v>
      </c>
      <c r="AC274">
        <v>5000</v>
      </c>
      <c r="AD274">
        <v>0</v>
      </c>
      <c r="AE274">
        <v>0</v>
      </c>
      <c r="AF274">
        <v>8433.0300000000007</v>
      </c>
      <c r="AG274">
        <v>8433.0300000000007</v>
      </c>
      <c r="AH274" s="14">
        <v>46267</v>
      </c>
      <c r="AI274" t="s">
        <v>258</v>
      </c>
      <c r="AJ274" s="13">
        <v>46262.213402777779</v>
      </c>
      <c r="AK274">
        <v>6066.68</v>
      </c>
      <c r="AL274" t="s">
        <v>259</v>
      </c>
      <c r="AM274" t="s">
        <v>260</v>
      </c>
      <c r="AN274">
        <v>1400</v>
      </c>
      <c r="AO274">
        <v>0</v>
      </c>
      <c r="AP274">
        <v>35</v>
      </c>
      <c r="AQ274">
        <v>85</v>
      </c>
      <c r="AR274">
        <v>35</v>
      </c>
      <c r="AS274">
        <v>2</v>
      </c>
      <c r="AT274">
        <v>23</v>
      </c>
      <c r="AU274">
        <v>1</v>
      </c>
      <c r="AV274">
        <v>0</v>
      </c>
      <c r="AW274">
        <v>10</v>
      </c>
      <c r="AX274">
        <v>1</v>
      </c>
      <c r="AY274">
        <v>10</v>
      </c>
      <c r="AZ274">
        <v>5</v>
      </c>
      <c r="BA274">
        <v>1</v>
      </c>
      <c r="BB274">
        <v>1440</v>
      </c>
      <c r="BC274">
        <v>0</v>
      </c>
      <c r="BD274">
        <v>0</v>
      </c>
      <c r="BE274">
        <v>14</v>
      </c>
      <c r="BF274">
        <v>25</v>
      </c>
      <c r="BG274">
        <v>3</v>
      </c>
      <c r="BH274">
        <v>8</v>
      </c>
      <c r="BI274">
        <v>3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0</v>
      </c>
      <c r="BQ274">
        <v>60</v>
      </c>
      <c r="BR274">
        <v>0</v>
      </c>
      <c r="BS274">
        <v>3</v>
      </c>
      <c r="BT274" t="s">
        <v>243</v>
      </c>
      <c r="BU274" t="s">
        <v>261</v>
      </c>
      <c r="BV274" t="b">
        <v>0</v>
      </c>
      <c r="BW274" t="s">
        <v>262</v>
      </c>
    </row>
    <row r="275" spans="1:75">
      <c r="A275" t="s">
        <v>243</v>
      </c>
      <c r="B275" t="s">
        <v>252</v>
      </c>
      <c r="C275">
        <v>1188</v>
      </c>
      <c r="D275" t="s">
        <v>253</v>
      </c>
      <c r="E275" t="s">
        <v>254</v>
      </c>
      <c r="F275">
        <v>5</v>
      </c>
      <c r="G275" s="13">
        <v>46267.509687500002</v>
      </c>
      <c r="H275" s="13">
        <v>46267.510185185187</v>
      </c>
      <c r="I275">
        <v>43</v>
      </c>
      <c r="J275" t="s">
        <v>264</v>
      </c>
      <c r="K275">
        <v>1</v>
      </c>
      <c r="L275">
        <v>0.04</v>
      </c>
      <c r="M275">
        <v>0.04</v>
      </c>
      <c r="N275">
        <v>1</v>
      </c>
      <c r="O275">
        <v>0.04</v>
      </c>
      <c r="P275">
        <v>0.76</v>
      </c>
      <c r="Q275">
        <v>3.2</v>
      </c>
      <c r="R275">
        <v>2.04</v>
      </c>
      <c r="S275" t="s">
        <v>256</v>
      </c>
      <c r="T275" t="s">
        <v>257</v>
      </c>
      <c r="U275">
        <v>11</v>
      </c>
      <c r="V275">
        <v>8432.35</v>
      </c>
      <c r="W275">
        <v>4999.32</v>
      </c>
      <c r="X275">
        <v>4999.24</v>
      </c>
      <c r="Y275">
        <v>0</v>
      </c>
      <c r="Z275">
        <v>0</v>
      </c>
      <c r="AA275">
        <v>35</v>
      </c>
      <c r="AB275">
        <v>50</v>
      </c>
      <c r="AC275">
        <v>5000</v>
      </c>
      <c r="AD275">
        <v>0</v>
      </c>
      <c r="AE275">
        <v>0</v>
      </c>
      <c r="AF275">
        <v>8434.83</v>
      </c>
      <c r="AG275">
        <v>8434.83</v>
      </c>
      <c r="AH275" s="14">
        <v>46267</v>
      </c>
      <c r="AI275" t="s">
        <v>258</v>
      </c>
      <c r="AJ275" s="13">
        <v>46262.213402777779</v>
      </c>
      <c r="AK275">
        <v>6066.68</v>
      </c>
      <c r="AL275" t="s">
        <v>259</v>
      </c>
      <c r="AM275" t="s">
        <v>260</v>
      </c>
      <c r="AN275">
        <v>1400</v>
      </c>
      <c r="AO275">
        <v>0</v>
      </c>
      <c r="AP275">
        <v>35</v>
      </c>
      <c r="AQ275">
        <v>85</v>
      </c>
      <c r="AR275">
        <v>35</v>
      </c>
      <c r="AS275">
        <v>2</v>
      </c>
      <c r="AT275">
        <v>23</v>
      </c>
      <c r="AU275">
        <v>1</v>
      </c>
      <c r="AV275">
        <v>0</v>
      </c>
      <c r="AW275">
        <v>10</v>
      </c>
      <c r="AX275">
        <v>1</v>
      </c>
      <c r="AY275">
        <v>10</v>
      </c>
      <c r="AZ275">
        <v>5</v>
      </c>
      <c r="BA275">
        <v>1</v>
      </c>
      <c r="BB275">
        <v>1440</v>
      </c>
      <c r="BC275">
        <v>0</v>
      </c>
      <c r="BD275">
        <v>0</v>
      </c>
      <c r="BE275">
        <v>14</v>
      </c>
      <c r="BF275">
        <v>25</v>
      </c>
      <c r="BG275">
        <v>3</v>
      </c>
      <c r="BH275">
        <v>8</v>
      </c>
      <c r="BI275">
        <v>3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0</v>
      </c>
      <c r="BQ275">
        <v>60</v>
      </c>
      <c r="BR275">
        <v>0</v>
      </c>
      <c r="BS275">
        <v>3</v>
      </c>
      <c r="BT275" t="s">
        <v>243</v>
      </c>
      <c r="BU275" t="s">
        <v>261</v>
      </c>
      <c r="BV275" t="b">
        <v>0</v>
      </c>
      <c r="BW275" t="s">
        <v>262</v>
      </c>
    </row>
    <row r="276" spans="1:75">
      <c r="A276" t="s">
        <v>243</v>
      </c>
      <c r="B276" t="s">
        <v>252</v>
      </c>
      <c r="C276">
        <v>1189</v>
      </c>
      <c r="D276" t="s">
        <v>253</v>
      </c>
      <c r="E276" t="s">
        <v>254</v>
      </c>
      <c r="F276">
        <v>5</v>
      </c>
      <c r="G276" s="13">
        <v>46267.5155787037</v>
      </c>
      <c r="H276" s="13">
        <v>46267.517013888886</v>
      </c>
      <c r="I276">
        <v>124</v>
      </c>
      <c r="J276" t="s">
        <v>264</v>
      </c>
      <c r="K276">
        <v>1</v>
      </c>
      <c r="L276">
        <v>0.04</v>
      </c>
      <c r="M276">
        <v>0.04</v>
      </c>
      <c r="N276">
        <v>1</v>
      </c>
      <c r="O276">
        <v>0.04</v>
      </c>
      <c r="P276">
        <v>2.36</v>
      </c>
      <c r="Q276">
        <v>7.4</v>
      </c>
      <c r="R276">
        <v>6.32</v>
      </c>
      <c r="S276" t="s">
        <v>256</v>
      </c>
      <c r="T276" t="s">
        <v>257</v>
      </c>
      <c r="U276">
        <v>10</v>
      </c>
      <c r="V276">
        <v>8434.19</v>
      </c>
      <c r="W276">
        <v>4999.3599999999997</v>
      </c>
      <c r="X276">
        <v>4997.6400000000003</v>
      </c>
      <c r="Y276">
        <v>0</v>
      </c>
      <c r="Z276">
        <v>0</v>
      </c>
      <c r="AA276">
        <v>35</v>
      </c>
      <c r="AB276">
        <v>50</v>
      </c>
      <c r="AC276">
        <v>5000</v>
      </c>
      <c r="AD276">
        <v>0</v>
      </c>
      <c r="AE276">
        <v>0</v>
      </c>
      <c r="AF276">
        <v>8440.83</v>
      </c>
      <c r="AG276">
        <v>8440.83</v>
      </c>
      <c r="AH276" s="14">
        <v>46267</v>
      </c>
      <c r="AI276" t="s">
        <v>258</v>
      </c>
      <c r="AJ276" s="13">
        <v>46262.213402777779</v>
      </c>
      <c r="AK276">
        <v>6066.68</v>
      </c>
      <c r="AL276" t="s">
        <v>259</v>
      </c>
      <c r="AM276" t="s">
        <v>260</v>
      </c>
      <c r="AN276">
        <v>1400</v>
      </c>
      <c r="AO276">
        <v>0</v>
      </c>
      <c r="AP276">
        <v>35</v>
      </c>
      <c r="AQ276">
        <v>85</v>
      </c>
      <c r="AR276">
        <v>35</v>
      </c>
      <c r="AS276">
        <v>2</v>
      </c>
      <c r="AT276">
        <v>23</v>
      </c>
      <c r="AU276">
        <v>1</v>
      </c>
      <c r="AV276">
        <v>0</v>
      </c>
      <c r="AW276">
        <v>10</v>
      </c>
      <c r="AX276">
        <v>1</v>
      </c>
      <c r="AY276">
        <v>10</v>
      </c>
      <c r="AZ276">
        <v>5</v>
      </c>
      <c r="BA276">
        <v>1</v>
      </c>
      <c r="BB276">
        <v>1440</v>
      </c>
      <c r="BC276">
        <v>0</v>
      </c>
      <c r="BD276">
        <v>0</v>
      </c>
      <c r="BE276">
        <v>14</v>
      </c>
      <c r="BF276">
        <v>25</v>
      </c>
      <c r="BG276">
        <v>3</v>
      </c>
      <c r="BH276">
        <v>8</v>
      </c>
      <c r="BI276">
        <v>3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0</v>
      </c>
      <c r="BQ276">
        <v>60</v>
      </c>
      <c r="BR276">
        <v>0</v>
      </c>
      <c r="BS276">
        <v>3</v>
      </c>
      <c r="BT276" t="s">
        <v>243</v>
      </c>
      <c r="BU276" t="s">
        <v>261</v>
      </c>
      <c r="BV276" t="b">
        <v>0</v>
      </c>
      <c r="BW276" t="s">
        <v>262</v>
      </c>
    </row>
    <row r="277" spans="1:75">
      <c r="A277" t="s">
        <v>243</v>
      </c>
      <c r="B277" t="s">
        <v>252</v>
      </c>
      <c r="C277">
        <v>1190</v>
      </c>
      <c r="D277" t="s">
        <v>253</v>
      </c>
      <c r="E277" t="s">
        <v>254</v>
      </c>
      <c r="F277">
        <v>5</v>
      </c>
      <c r="G277" s="13">
        <v>46267.518414351849</v>
      </c>
      <c r="H277" s="13">
        <v>46267.545335648145</v>
      </c>
      <c r="I277">
        <v>2326</v>
      </c>
      <c r="J277" t="s">
        <v>264</v>
      </c>
      <c r="K277">
        <v>2</v>
      </c>
      <c r="L277">
        <v>0.08</v>
      </c>
      <c r="M277">
        <v>0.04</v>
      </c>
      <c r="N277">
        <v>2</v>
      </c>
      <c r="O277">
        <v>0.08</v>
      </c>
      <c r="P277">
        <v>25.6</v>
      </c>
      <c r="Q277">
        <v>14.44</v>
      </c>
      <c r="R277">
        <v>9</v>
      </c>
      <c r="S277" t="s">
        <v>263</v>
      </c>
      <c r="T277" t="s">
        <v>257</v>
      </c>
      <c r="U277">
        <v>11</v>
      </c>
      <c r="V277">
        <v>8440.19</v>
      </c>
      <c r="W277">
        <v>4999.3599999999997</v>
      </c>
      <c r="X277">
        <v>4974.3999999999996</v>
      </c>
      <c r="Y277">
        <v>0</v>
      </c>
      <c r="Z277">
        <v>0</v>
      </c>
      <c r="AA277">
        <v>35</v>
      </c>
      <c r="AB277">
        <v>50</v>
      </c>
      <c r="AC277">
        <v>5000</v>
      </c>
      <c r="AD277">
        <v>0</v>
      </c>
      <c r="AE277">
        <v>0</v>
      </c>
      <c r="AF277">
        <v>8449.7099999999991</v>
      </c>
      <c r="AG277">
        <v>8449.7099999999991</v>
      </c>
      <c r="AH277" s="14">
        <v>46267</v>
      </c>
      <c r="AI277" t="s">
        <v>258</v>
      </c>
      <c r="AJ277" s="13">
        <v>46262.213402777779</v>
      </c>
      <c r="AK277">
        <v>6066.68</v>
      </c>
      <c r="AL277" t="s">
        <v>259</v>
      </c>
      <c r="AM277" t="s">
        <v>260</v>
      </c>
      <c r="AN277">
        <v>1400</v>
      </c>
      <c r="AO277">
        <v>0</v>
      </c>
      <c r="AP277">
        <v>35</v>
      </c>
      <c r="AQ277">
        <v>85</v>
      </c>
      <c r="AR277">
        <v>35</v>
      </c>
      <c r="AS277">
        <v>2</v>
      </c>
      <c r="AT277">
        <v>23</v>
      </c>
      <c r="AU277">
        <v>1</v>
      </c>
      <c r="AV277">
        <v>0</v>
      </c>
      <c r="AW277">
        <v>10</v>
      </c>
      <c r="AX277">
        <v>1</v>
      </c>
      <c r="AY277">
        <v>10</v>
      </c>
      <c r="AZ277">
        <v>5</v>
      </c>
      <c r="BA277">
        <v>1</v>
      </c>
      <c r="BB277">
        <v>1440</v>
      </c>
      <c r="BC277">
        <v>0</v>
      </c>
      <c r="BD277">
        <v>0</v>
      </c>
      <c r="BE277">
        <v>14</v>
      </c>
      <c r="BF277">
        <v>25</v>
      </c>
      <c r="BG277">
        <v>3</v>
      </c>
      <c r="BH277">
        <v>8</v>
      </c>
      <c r="BI277">
        <v>3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0</v>
      </c>
      <c r="BQ277">
        <v>60</v>
      </c>
      <c r="BR277">
        <v>0</v>
      </c>
      <c r="BS277">
        <v>3</v>
      </c>
      <c r="BT277" t="s">
        <v>243</v>
      </c>
      <c r="BU277" t="s">
        <v>261</v>
      </c>
      <c r="BV277" t="b">
        <v>0</v>
      </c>
      <c r="BW277" t="s">
        <v>262</v>
      </c>
    </row>
    <row r="278" spans="1:75">
      <c r="A278" t="s">
        <v>243</v>
      </c>
      <c r="B278" t="s">
        <v>252</v>
      </c>
      <c r="C278">
        <v>1191</v>
      </c>
      <c r="D278" t="s">
        <v>253</v>
      </c>
      <c r="E278" t="s">
        <v>254</v>
      </c>
      <c r="F278">
        <v>5</v>
      </c>
      <c r="G278" s="13">
        <v>46267.546388888892</v>
      </c>
      <c r="H278" s="13">
        <v>46267.715636574074</v>
      </c>
      <c r="I278">
        <v>14623</v>
      </c>
      <c r="J278" t="s">
        <v>264</v>
      </c>
      <c r="K278">
        <v>22</v>
      </c>
      <c r="L278">
        <v>0.88</v>
      </c>
      <c r="M278">
        <v>0.04</v>
      </c>
      <c r="N278">
        <v>22</v>
      </c>
      <c r="O278">
        <v>0.88</v>
      </c>
      <c r="P278">
        <v>5008.3999999999996</v>
      </c>
      <c r="Q278">
        <v>1.4</v>
      </c>
      <c r="R278">
        <v>-5008.3999999999996</v>
      </c>
      <c r="S278" t="s">
        <v>265</v>
      </c>
      <c r="T278" t="s">
        <v>265</v>
      </c>
      <c r="U278">
        <v>10</v>
      </c>
      <c r="V278">
        <v>8449.0300000000007</v>
      </c>
      <c r="W278">
        <v>4999.32</v>
      </c>
      <c r="X278">
        <v>-8.4</v>
      </c>
      <c r="Y278">
        <v>1</v>
      </c>
      <c r="Z278">
        <v>0</v>
      </c>
      <c r="AA278">
        <v>35</v>
      </c>
      <c r="AB278">
        <v>50</v>
      </c>
      <c r="AC278">
        <v>5000</v>
      </c>
      <c r="AD278">
        <v>0</v>
      </c>
      <c r="AE278">
        <v>0</v>
      </c>
      <c r="AF278">
        <v>3391.11</v>
      </c>
      <c r="AG278">
        <v>3391.11</v>
      </c>
      <c r="AH278" s="14">
        <v>46267</v>
      </c>
      <c r="AI278" t="s">
        <v>258</v>
      </c>
      <c r="AJ278" s="13">
        <v>46262.213402777779</v>
      </c>
      <c r="AK278">
        <v>6066.68</v>
      </c>
      <c r="AL278" t="s">
        <v>259</v>
      </c>
      <c r="AM278" t="s">
        <v>260</v>
      </c>
      <c r="AN278">
        <v>1400</v>
      </c>
      <c r="AO278">
        <v>0</v>
      </c>
      <c r="AP278">
        <v>35</v>
      </c>
      <c r="AQ278">
        <v>85</v>
      </c>
      <c r="AR278">
        <v>35</v>
      </c>
      <c r="AS278">
        <v>2</v>
      </c>
      <c r="AT278">
        <v>23</v>
      </c>
      <c r="AU278">
        <v>1</v>
      </c>
      <c r="AV278">
        <v>0</v>
      </c>
      <c r="AW278">
        <v>10</v>
      </c>
      <c r="AX278">
        <v>1</v>
      </c>
      <c r="AY278">
        <v>10</v>
      </c>
      <c r="AZ278">
        <v>5</v>
      </c>
      <c r="BA278">
        <v>1</v>
      </c>
      <c r="BB278">
        <v>1440</v>
      </c>
      <c r="BC278">
        <v>0</v>
      </c>
      <c r="BD278">
        <v>0</v>
      </c>
      <c r="BE278">
        <v>14</v>
      </c>
      <c r="BF278">
        <v>25</v>
      </c>
      <c r="BG278">
        <v>3</v>
      </c>
      <c r="BH278">
        <v>8</v>
      </c>
      <c r="BI278">
        <v>3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0</v>
      </c>
      <c r="BQ278">
        <v>60</v>
      </c>
      <c r="BR278">
        <v>0</v>
      </c>
      <c r="BS278">
        <v>3</v>
      </c>
      <c r="BT278" t="s">
        <v>243</v>
      </c>
      <c r="BU278" t="s">
        <v>261</v>
      </c>
      <c r="BV278" t="b">
        <v>0</v>
      </c>
      <c r="BW278" t="s">
        <v>262</v>
      </c>
    </row>
    <row r="279" spans="1:75">
      <c r="A279" t="s">
        <v>243</v>
      </c>
      <c r="B279" t="s">
        <v>252</v>
      </c>
      <c r="C279">
        <v>1192</v>
      </c>
      <c r="D279" t="s">
        <v>253</v>
      </c>
      <c r="E279" t="s">
        <v>254</v>
      </c>
      <c r="F279">
        <v>5</v>
      </c>
      <c r="G279" s="13">
        <v>46268.716458333336</v>
      </c>
      <c r="H279" s="13">
        <v>46268.716574074075</v>
      </c>
      <c r="I279">
        <v>10</v>
      </c>
      <c r="J279" t="s">
        <v>255</v>
      </c>
      <c r="K279">
        <v>1</v>
      </c>
      <c r="L279">
        <v>0.04</v>
      </c>
      <c r="M279">
        <v>0.04</v>
      </c>
      <c r="N279">
        <v>1</v>
      </c>
      <c r="O279">
        <v>0.04</v>
      </c>
      <c r="P279">
        <v>0.84</v>
      </c>
      <c r="Q279">
        <v>4</v>
      </c>
      <c r="R279">
        <v>4</v>
      </c>
      <c r="S279" t="s">
        <v>256</v>
      </c>
      <c r="T279" t="s">
        <v>257</v>
      </c>
      <c r="U279">
        <v>10</v>
      </c>
      <c r="V279">
        <v>3390.47</v>
      </c>
      <c r="W279">
        <v>4999.3599999999997</v>
      </c>
      <c r="X279">
        <v>4999.16</v>
      </c>
      <c r="Y279">
        <v>0</v>
      </c>
      <c r="Z279">
        <v>0</v>
      </c>
      <c r="AA279">
        <v>35</v>
      </c>
      <c r="AB279">
        <v>50</v>
      </c>
      <c r="AC279">
        <v>5000</v>
      </c>
      <c r="AD279">
        <v>0</v>
      </c>
      <c r="AE279">
        <v>0</v>
      </c>
      <c r="AF279">
        <v>3393.71</v>
      </c>
      <c r="AG279">
        <v>3393.71</v>
      </c>
      <c r="AH279" s="14">
        <v>46268</v>
      </c>
      <c r="AI279" t="s">
        <v>258</v>
      </c>
      <c r="AJ279" s="13">
        <v>46262.213402777779</v>
      </c>
      <c r="AK279">
        <v>6066.68</v>
      </c>
      <c r="AL279" t="s">
        <v>259</v>
      </c>
      <c r="AM279" t="s">
        <v>260</v>
      </c>
      <c r="AN279">
        <v>1400</v>
      </c>
      <c r="AO279">
        <v>0</v>
      </c>
      <c r="AP279">
        <v>35</v>
      </c>
      <c r="AQ279">
        <v>85</v>
      </c>
      <c r="AR279">
        <v>35</v>
      </c>
      <c r="AS279">
        <v>2</v>
      </c>
      <c r="AT279">
        <v>23</v>
      </c>
      <c r="AU279">
        <v>1</v>
      </c>
      <c r="AV279">
        <v>0</v>
      </c>
      <c r="AW279">
        <v>10</v>
      </c>
      <c r="AX279">
        <v>1</v>
      </c>
      <c r="AY279">
        <v>10</v>
      </c>
      <c r="AZ279">
        <v>5</v>
      </c>
      <c r="BA279">
        <v>1</v>
      </c>
      <c r="BB279">
        <v>1440</v>
      </c>
      <c r="BC279">
        <v>0</v>
      </c>
      <c r="BD279">
        <v>0</v>
      </c>
      <c r="BE279">
        <v>14</v>
      </c>
      <c r="BF279">
        <v>25</v>
      </c>
      <c r="BG279">
        <v>3</v>
      </c>
      <c r="BH279">
        <v>8</v>
      </c>
      <c r="BI279">
        <v>3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0</v>
      </c>
      <c r="BQ279">
        <v>60</v>
      </c>
      <c r="BR279">
        <v>0</v>
      </c>
      <c r="BS279">
        <v>3</v>
      </c>
      <c r="BT279" t="s">
        <v>243</v>
      </c>
      <c r="BU279" t="s">
        <v>261</v>
      </c>
      <c r="BV279" t="b">
        <v>0</v>
      </c>
      <c r="BW279" t="s">
        <v>262</v>
      </c>
    </row>
    <row r="280" spans="1:75">
      <c r="A280" t="s">
        <v>243</v>
      </c>
      <c r="B280" t="s">
        <v>252</v>
      </c>
      <c r="C280">
        <v>1193</v>
      </c>
      <c r="D280" t="s">
        <v>253</v>
      </c>
      <c r="E280" t="s">
        <v>254</v>
      </c>
      <c r="F280">
        <v>5</v>
      </c>
      <c r="G280" s="13">
        <v>46268.71943287037</v>
      </c>
      <c r="H280" s="13">
        <v>46268.72074074074</v>
      </c>
      <c r="I280">
        <v>113</v>
      </c>
      <c r="J280" t="s">
        <v>255</v>
      </c>
      <c r="K280">
        <v>1</v>
      </c>
      <c r="L280">
        <v>0.04</v>
      </c>
      <c r="M280">
        <v>0.04</v>
      </c>
      <c r="N280">
        <v>1</v>
      </c>
      <c r="O280">
        <v>0.04</v>
      </c>
      <c r="P280">
        <v>5.36</v>
      </c>
      <c r="Q280">
        <v>6.28</v>
      </c>
      <c r="R280">
        <v>6.28</v>
      </c>
      <c r="S280" t="s">
        <v>256</v>
      </c>
      <c r="T280" t="s">
        <v>257</v>
      </c>
      <c r="U280">
        <v>10</v>
      </c>
      <c r="V280">
        <v>3393.07</v>
      </c>
      <c r="W280">
        <v>4999.3599999999997</v>
      </c>
      <c r="X280">
        <v>4994.6400000000003</v>
      </c>
      <c r="Y280">
        <v>0</v>
      </c>
      <c r="Z280">
        <v>0</v>
      </c>
      <c r="AA280">
        <v>35</v>
      </c>
      <c r="AB280">
        <v>50</v>
      </c>
      <c r="AC280">
        <v>5000</v>
      </c>
      <c r="AD280">
        <v>0</v>
      </c>
      <c r="AE280">
        <v>0</v>
      </c>
      <c r="AF280">
        <v>3398.59</v>
      </c>
      <c r="AG280">
        <v>3398.59</v>
      </c>
      <c r="AH280" s="14">
        <v>46268</v>
      </c>
      <c r="AI280" t="s">
        <v>258</v>
      </c>
      <c r="AJ280" s="13">
        <v>46262.213402777779</v>
      </c>
      <c r="AK280">
        <v>6066.68</v>
      </c>
      <c r="AL280" t="s">
        <v>259</v>
      </c>
      <c r="AM280" t="s">
        <v>260</v>
      </c>
      <c r="AN280">
        <v>1400</v>
      </c>
      <c r="AO280">
        <v>0</v>
      </c>
      <c r="AP280">
        <v>35</v>
      </c>
      <c r="AQ280">
        <v>85</v>
      </c>
      <c r="AR280">
        <v>35</v>
      </c>
      <c r="AS280">
        <v>2</v>
      </c>
      <c r="AT280">
        <v>23</v>
      </c>
      <c r="AU280">
        <v>1</v>
      </c>
      <c r="AV280">
        <v>0</v>
      </c>
      <c r="AW280">
        <v>10</v>
      </c>
      <c r="AX280">
        <v>1</v>
      </c>
      <c r="AY280">
        <v>10</v>
      </c>
      <c r="AZ280">
        <v>5</v>
      </c>
      <c r="BA280">
        <v>1</v>
      </c>
      <c r="BB280">
        <v>1440</v>
      </c>
      <c r="BC280">
        <v>0</v>
      </c>
      <c r="BD280">
        <v>0</v>
      </c>
      <c r="BE280">
        <v>14</v>
      </c>
      <c r="BF280">
        <v>25</v>
      </c>
      <c r="BG280">
        <v>3</v>
      </c>
      <c r="BH280">
        <v>8</v>
      </c>
      <c r="BI280">
        <v>3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0</v>
      </c>
      <c r="BQ280">
        <v>60</v>
      </c>
      <c r="BR280">
        <v>0</v>
      </c>
      <c r="BS280">
        <v>3</v>
      </c>
      <c r="BT280" t="s">
        <v>243</v>
      </c>
      <c r="BU280" t="s">
        <v>261</v>
      </c>
      <c r="BV280" t="b">
        <v>0</v>
      </c>
      <c r="BW280" t="s">
        <v>262</v>
      </c>
    </row>
    <row r="281" spans="1:75">
      <c r="A281" t="s">
        <v>243</v>
      </c>
      <c r="B281" t="s">
        <v>252</v>
      </c>
      <c r="C281">
        <v>1194</v>
      </c>
      <c r="D281" t="s">
        <v>253</v>
      </c>
      <c r="E281" t="s">
        <v>254</v>
      </c>
      <c r="F281">
        <v>5</v>
      </c>
      <c r="G281" s="13">
        <v>46268.722928240742</v>
      </c>
      <c r="H281" s="13">
        <v>46268.729826388888</v>
      </c>
      <c r="I281">
        <v>596</v>
      </c>
      <c r="J281" t="s">
        <v>255</v>
      </c>
      <c r="K281">
        <v>2</v>
      </c>
      <c r="L281">
        <v>0.08</v>
      </c>
      <c r="M281">
        <v>0.04</v>
      </c>
      <c r="N281">
        <v>2</v>
      </c>
      <c r="O281">
        <v>0.08</v>
      </c>
      <c r="P281">
        <v>32.92</v>
      </c>
      <c r="Q281">
        <v>18.920000000000002</v>
      </c>
      <c r="R281">
        <v>12.68</v>
      </c>
      <c r="S281" t="s">
        <v>263</v>
      </c>
      <c r="T281" t="s">
        <v>257</v>
      </c>
      <c r="U281">
        <v>10</v>
      </c>
      <c r="V281">
        <v>3397.91</v>
      </c>
      <c r="W281">
        <v>4999.32</v>
      </c>
      <c r="X281">
        <v>4967.08</v>
      </c>
      <c r="Y281">
        <v>0</v>
      </c>
      <c r="Z281">
        <v>0</v>
      </c>
      <c r="AA281">
        <v>35</v>
      </c>
      <c r="AB281">
        <v>50</v>
      </c>
      <c r="AC281">
        <v>5000</v>
      </c>
      <c r="AD281">
        <v>0</v>
      </c>
      <c r="AE281">
        <v>0</v>
      </c>
      <c r="AF281">
        <v>3411.07</v>
      </c>
      <c r="AG281">
        <v>3411.07</v>
      </c>
      <c r="AH281" s="14">
        <v>46268</v>
      </c>
      <c r="AI281" t="s">
        <v>258</v>
      </c>
      <c r="AJ281" s="13">
        <v>46262.213402777779</v>
      </c>
      <c r="AK281">
        <v>6066.68</v>
      </c>
      <c r="AL281" t="s">
        <v>259</v>
      </c>
      <c r="AM281" t="s">
        <v>260</v>
      </c>
      <c r="AN281">
        <v>1400</v>
      </c>
      <c r="AO281">
        <v>0</v>
      </c>
      <c r="AP281">
        <v>35</v>
      </c>
      <c r="AQ281">
        <v>85</v>
      </c>
      <c r="AR281">
        <v>35</v>
      </c>
      <c r="AS281">
        <v>2</v>
      </c>
      <c r="AT281">
        <v>23</v>
      </c>
      <c r="AU281">
        <v>1</v>
      </c>
      <c r="AV281">
        <v>0</v>
      </c>
      <c r="AW281">
        <v>10</v>
      </c>
      <c r="AX281">
        <v>1</v>
      </c>
      <c r="AY281">
        <v>10</v>
      </c>
      <c r="AZ281">
        <v>5</v>
      </c>
      <c r="BA281">
        <v>1</v>
      </c>
      <c r="BB281">
        <v>1440</v>
      </c>
      <c r="BC281">
        <v>0</v>
      </c>
      <c r="BD281">
        <v>0</v>
      </c>
      <c r="BE281">
        <v>14</v>
      </c>
      <c r="BF281">
        <v>25</v>
      </c>
      <c r="BG281">
        <v>3</v>
      </c>
      <c r="BH281">
        <v>8</v>
      </c>
      <c r="BI281">
        <v>3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0</v>
      </c>
      <c r="BQ281">
        <v>60</v>
      </c>
      <c r="BR281">
        <v>0</v>
      </c>
      <c r="BS281">
        <v>3</v>
      </c>
      <c r="BT281" t="s">
        <v>243</v>
      </c>
      <c r="BU281" t="s">
        <v>261</v>
      </c>
      <c r="BV281" t="b">
        <v>0</v>
      </c>
      <c r="BW281" t="s">
        <v>262</v>
      </c>
    </row>
    <row r="282" spans="1:75">
      <c r="A282" t="s">
        <v>243</v>
      </c>
      <c r="B282" t="s">
        <v>252</v>
      </c>
      <c r="C282">
        <v>1195</v>
      </c>
      <c r="D282" t="s">
        <v>253</v>
      </c>
      <c r="E282" t="s">
        <v>254</v>
      </c>
      <c r="F282">
        <v>5</v>
      </c>
      <c r="G282" s="13">
        <v>46268.734201388892</v>
      </c>
      <c r="H282" s="13">
        <v>46268.734363425923</v>
      </c>
      <c r="I282">
        <v>14</v>
      </c>
      <c r="J282" t="s">
        <v>264</v>
      </c>
      <c r="K282">
        <v>1</v>
      </c>
      <c r="L282">
        <v>0.04</v>
      </c>
      <c r="M282">
        <v>0.04</v>
      </c>
      <c r="N282">
        <v>1</v>
      </c>
      <c r="O282">
        <v>0.04</v>
      </c>
      <c r="P282">
        <v>0.76</v>
      </c>
      <c r="Q282">
        <v>4.4000000000000004</v>
      </c>
      <c r="R282">
        <v>4.32</v>
      </c>
      <c r="S282" t="s">
        <v>256</v>
      </c>
      <c r="T282" t="s">
        <v>257</v>
      </c>
      <c r="U282">
        <v>11</v>
      </c>
      <c r="V282">
        <v>3410.31</v>
      </c>
      <c r="W282">
        <v>4999.24</v>
      </c>
      <c r="X282">
        <v>4999.24</v>
      </c>
      <c r="Y282">
        <v>0</v>
      </c>
      <c r="Z282">
        <v>0</v>
      </c>
      <c r="AA282">
        <v>35</v>
      </c>
      <c r="AB282">
        <v>50</v>
      </c>
      <c r="AC282">
        <v>5000</v>
      </c>
      <c r="AD282">
        <v>0</v>
      </c>
      <c r="AE282">
        <v>0</v>
      </c>
      <c r="AF282">
        <v>3414.07</v>
      </c>
      <c r="AG282">
        <v>3414.07</v>
      </c>
      <c r="AH282" s="14">
        <v>46268</v>
      </c>
      <c r="AI282" t="s">
        <v>258</v>
      </c>
      <c r="AJ282" s="13">
        <v>46262.213402777779</v>
      </c>
      <c r="AK282">
        <v>6066.68</v>
      </c>
      <c r="AL282" t="s">
        <v>259</v>
      </c>
      <c r="AM282" t="s">
        <v>260</v>
      </c>
      <c r="AN282">
        <v>1400</v>
      </c>
      <c r="AO282">
        <v>0</v>
      </c>
      <c r="AP282">
        <v>35</v>
      </c>
      <c r="AQ282">
        <v>85</v>
      </c>
      <c r="AR282">
        <v>35</v>
      </c>
      <c r="AS282">
        <v>2</v>
      </c>
      <c r="AT282">
        <v>23</v>
      </c>
      <c r="AU282">
        <v>1</v>
      </c>
      <c r="AV282">
        <v>0</v>
      </c>
      <c r="AW282">
        <v>10</v>
      </c>
      <c r="AX282">
        <v>1</v>
      </c>
      <c r="AY282">
        <v>10</v>
      </c>
      <c r="AZ282">
        <v>5</v>
      </c>
      <c r="BA282">
        <v>1</v>
      </c>
      <c r="BB282">
        <v>1440</v>
      </c>
      <c r="BC282">
        <v>0</v>
      </c>
      <c r="BD282">
        <v>0</v>
      </c>
      <c r="BE282">
        <v>14</v>
      </c>
      <c r="BF282">
        <v>25</v>
      </c>
      <c r="BG282">
        <v>3</v>
      </c>
      <c r="BH282">
        <v>8</v>
      </c>
      <c r="BI282">
        <v>3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0</v>
      </c>
      <c r="BQ282">
        <v>60</v>
      </c>
      <c r="BR282">
        <v>0</v>
      </c>
      <c r="BS282">
        <v>3</v>
      </c>
      <c r="BT282" t="s">
        <v>243</v>
      </c>
      <c r="BU282" t="s">
        <v>261</v>
      </c>
      <c r="BV282" t="b">
        <v>0</v>
      </c>
      <c r="BW282" t="s">
        <v>262</v>
      </c>
    </row>
    <row r="283" spans="1:75">
      <c r="A283" t="s">
        <v>243</v>
      </c>
      <c r="B283" t="s">
        <v>252</v>
      </c>
      <c r="C283">
        <v>1196</v>
      </c>
      <c r="D283" t="s">
        <v>253</v>
      </c>
      <c r="E283" t="s">
        <v>254</v>
      </c>
      <c r="F283">
        <v>5</v>
      </c>
      <c r="G283" s="13">
        <v>46268.736793981479</v>
      </c>
      <c r="H283" s="13">
        <v>46268.78229166667</v>
      </c>
      <c r="I283">
        <v>3931</v>
      </c>
      <c r="J283" t="s">
        <v>264</v>
      </c>
      <c r="K283">
        <v>12</v>
      </c>
      <c r="L283">
        <v>0.48</v>
      </c>
      <c r="M283">
        <v>0.04</v>
      </c>
      <c r="N283">
        <v>12</v>
      </c>
      <c r="O283">
        <v>0.48</v>
      </c>
      <c r="P283">
        <v>702.2</v>
      </c>
      <c r="Q283">
        <v>49.16</v>
      </c>
      <c r="R283">
        <v>29.48</v>
      </c>
      <c r="S283" t="s">
        <v>263</v>
      </c>
      <c r="T283" t="s">
        <v>257</v>
      </c>
      <c r="U283">
        <v>11</v>
      </c>
      <c r="V283">
        <v>3413.39</v>
      </c>
      <c r="W283">
        <v>4999.32</v>
      </c>
      <c r="X283">
        <v>4297.8</v>
      </c>
      <c r="Y283">
        <v>0</v>
      </c>
      <c r="Z283">
        <v>0</v>
      </c>
      <c r="AA283">
        <v>35</v>
      </c>
      <c r="AB283">
        <v>50</v>
      </c>
      <c r="AC283">
        <v>5000</v>
      </c>
      <c r="AD283">
        <v>0</v>
      </c>
      <c r="AE283">
        <v>0</v>
      </c>
      <c r="AF283">
        <v>3446.91</v>
      </c>
      <c r="AG283">
        <v>3446.91</v>
      </c>
      <c r="AH283" s="14">
        <v>46268</v>
      </c>
      <c r="AI283" t="s">
        <v>258</v>
      </c>
      <c r="AJ283" s="13">
        <v>46262.213402777779</v>
      </c>
      <c r="AK283">
        <v>6066.68</v>
      </c>
      <c r="AL283" t="s">
        <v>259</v>
      </c>
      <c r="AM283" t="s">
        <v>260</v>
      </c>
      <c r="AN283">
        <v>1400</v>
      </c>
      <c r="AO283">
        <v>0</v>
      </c>
      <c r="AP283">
        <v>35</v>
      </c>
      <c r="AQ283">
        <v>85</v>
      </c>
      <c r="AR283">
        <v>35</v>
      </c>
      <c r="AS283">
        <v>2</v>
      </c>
      <c r="AT283">
        <v>23</v>
      </c>
      <c r="AU283">
        <v>1</v>
      </c>
      <c r="AV283">
        <v>0</v>
      </c>
      <c r="AW283">
        <v>10</v>
      </c>
      <c r="AX283">
        <v>1</v>
      </c>
      <c r="AY283">
        <v>10</v>
      </c>
      <c r="AZ283">
        <v>5</v>
      </c>
      <c r="BA283">
        <v>1</v>
      </c>
      <c r="BB283">
        <v>1440</v>
      </c>
      <c r="BC283">
        <v>0</v>
      </c>
      <c r="BD283">
        <v>0</v>
      </c>
      <c r="BE283">
        <v>14</v>
      </c>
      <c r="BF283">
        <v>25</v>
      </c>
      <c r="BG283">
        <v>3</v>
      </c>
      <c r="BH283">
        <v>8</v>
      </c>
      <c r="BI283">
        <v>3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0</v>
      </c>
      <c r="BQ283">
        <v>60</v>
      </c>
      <c r="BR283">
        <v>0</v>
      </c>
      <c r="BS283">
        <v>3</v>
      </c>
      <c r="BT283" t="s">
        <v>243</v>
      </c>
      <c r="BU283" t="s">
        <v>261</v>
      </c>
      <c r="BV283" t="b">
        <v>0</v>
      </c>
      <c r="BW283" t="s">
        <v>262</v>
      </c>
    </row>
    <row r="284" spans="1:75">
      <c r="A284" t="s">
        <v>243</v>
      </c>
      <c r="B284" t="s">
        <v>252</v>
      </c>
      <c r="C284">
        <v>1197</v>
      </c>
      <c r="D284" t="s">
        <v>253</v>
      </c>
      <c r="E284" t="s">
        <v>254</v>
      </c>
      <c r="F284">
        <v>5</v>
      </c>
      <c r="G284" s="13">
        <v>46268.785636574074</v>
      </c>
      <c r="H284" s="13">
        <v>46268.791956018518</v>
      </c>
      <c r="I284">
        <v>546</v>
      </c>
      <c r="J284" t="s">
        <v>255</v>
      </c>
      <c r="K284">
        <v>2</v>
      </c>
      <c r="L284">
        <v>0.08</v>
      </c>
      <c r="M284">
        <v>0.04</v>
      </c>
      <c r="N284">
        <v>2</v>
      </c>
      <c r="O284">
        <v>0.08</v>
      </c>
      <c r="P284">
        <v>21.96</v>
      </c>
      <c r="Q284">
        <v>21.2</v>
      </c>
      <c r="R284">
        <v>12.56</v>
      </c>
      <c r="S284" t="s">
        <v>263</v>
      </c>
      <c r="T284" t="s">
        <v>257</v>
      </c>
      <c r="U284">
        <v>11</v>
      </c>
      <c r="V284">
        <v>3446.27</v>
      </c>
      <c r="W284">
        <v>4999.3599999999997</v>
      </c>
      <c r="X284">
        <v>4978.04</v>
      </c>
      <c r="Y284">
        <v>0</v>
      </c>
      <c r="Z284">
        <v>0</v>
      </c>
      <c r="AA284">
        <v>35</v>
      </c>
      <c r="AB284">
        <v>50</v>
      </c>
      <c r="AC284">
        <v>5000</v>
      </c>
      <c r="AD284">
        <v>0</v>
      </c>
      <c r="AE284">
        <v>0</v>
      </c>
      <c r="AF284">
        <v>3459.63</v>
      </c>
      <c r="AG284">
        <v>3459.63</v>
      </c>
      <c r="AH284" s="14">
        <v>46268</v>
      </c>
      <c r="AI284" t="s">
        <v>258</v>
      </c>
      <c r="AJ284" s="13">
        <v>46262.213402777779</v>
      </c>
      <c r="AK284">
        <v>6066.68</v>
      </c>
      <c r="AL284" t="s">
        <v>259</v>
      </c>
      <c r="AM284" t="s">
        <v>260</v>
      </c>
      <c r="AN284">
        <v>1400</v>
      </c>
      <c r="AO284">
        <v>0</v>
      </c>
      <c r="AP284">
        <v>35</v>
      </c>
      <c r="AQ284">
        <v>85</v>
      </c>
      <c r="AR284">
        <v>35</v>
      </c>
      <c r="AS284">
        <v>2</v>
      </c>
      <c r="AT284">
        <v>23</v>
      </c>
      <c r="AU284">
        <v>1</v>
      </c>
      <c r="AV284">
        <v>0</v>
      </c>
      <c r="AW284">
        <v>10</v>
      </c>
      <c r="AX284">
        <v>1</v>
      </c>
      <c r="AY284">
        <v>10</v>
      </c>
      <c r="AZ284">
        <v>5</v>
      </c>
      <c r="BA284">
        <v>1</v>
      </c>
      <c r="BB284">
        <v>1440</v>
      </c>
      <c r="BC284">
        <v>0</v>
      </c>
      <c r="BD284">
        <v>0</v>
      </c>
      <c r="BE284">
        <v>14</v>
      </c>
      <c r="BF284">
        <v>25</v>
      </c>
      <c r="BG284">
        <v>3</v>
      </c>
      <c r="BH284">
        <v>8</v>
      </c>
      <c r="BI284">
        <v>3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0</v>
      </c>
      <c r="BQ284">
        <v>60</v>
      </c>
      <c r="BR284">
        <v>0</v>
      </c>
      <c r="BS284">
        <v>3</v>
      </c>
      <c r="BT284" t="s">
        <v>243</v>
      </c>
      <c r="BU284" t="s">
        <v>261</v>
      </c>
      <c r="BV284" t="b">
        <v>0</v>
      </c>
      <c r="BW284" t="s">
        <v>262</v>
      </c>
    </row>
    <row r="285" spans="1:75">
      <c r="A285" t="s">
        <v>243</v>
      </c>
      <c r="B285" t="s">
        <v>252</v>
      </c>
      <c r="C285">
        <v>1198</v>
      </c>
      <c r="D285" t="s">
        <v>253</v>
      </c>
      <c r="E285" t="s">
        <v>254</v>
      </c>
      <c r="F285">
        <v>5</v>
      </c>
      <c r="G285" s="13">
        <v>46268.797025462962</v>
      </c>
      <c r="H285" s="13">
        <v>46268.79760416667</v>
      </c>
      <c r="I285">
        <v>50</v>
      </c>
      <c r="J285" t="s">
        <v>255</v>
      </c>
      <c r="K285">
        <v>1</v>
      </c>
      <c r="L285">
        <v>0.04</v>
      </c>
      <c r="M285">
        <v>0.04</v>
      </c>
      <c r="N285">
        <v>1</v>
      </c>
      <c r="O285">
        <v>0.04</v>
      </c>
      <c r="P285">
        <v>1.36</v>
      </c>
      <c r="Q285">
        <v>5.2</v>
      </c>
      <c r="R285">
        <v>4.92</v>
      </c>
      <c r="S285" t="s">
        <v>256</v>
      </c>
      <c r="T285" t="s">
        <v>257</v>
      </c>
      <c r="U285">
        <v>11</v>
      </c>
      <c r="V285">
        <v>3458.99</v>
      </c>
      <c r="W285">
        <v>4999.3599999999997</v>
      </c>
      <c r="X285">
        <v>4998.6400000000003</v>
      </c>
      <c r="Y285">
        <v>0</v>
      </c>
      <c r="Z285">
        <v>0</v>
      </c>
      <c r="AA285">
        <v>35</v>
      </c>
      <c r="AB285">
        <v>50</v>
      </c>
      <c r="AC285">
        <v>5000</v>
      </c>
      <c r="AD285">
        <v>0</v>
      </c>
      <c r="AE285">
        <v>0</v>
      </c>
      <c r="AF285">
        <v>3463.43</v>
      </c>
      <c r="AG285">
        <v>3463.43</v>
      </c>
      <c r="AH285" s="14">
        <v>46268</v>
      </c>
      <c r="AI285" t="s">
        <v>258</v>
      </c>
      <c r="AJ285" s="13">
        <v>46262.213402777779</v>
      </c>
      <c r="AK285">
        <v>6066.68</v>
      </c>
      <c r="AL285" t="s">
        <v>259</v>
      </c>
      <c r="AM285" t="s">
        <v>260</v>
      </c>
      <c r="AN285">
        <v>1400</v>
      </c>
      <c r="AO285">
        <v>0</v>
      </c>
      <c r="AP285">
        <v>35</v>
      </c>
      <c r="AQ285">
        <v>85</v>
      </c>
      <c r="AR285">
        <v>35</v>
      </c>
      <c r="AS285">
        <v>2</v>
      </c>
      <c r="AT285">
        <v>23</v>
      </c>
      <c r="AU285">
        <v>1</v>
      </c>
      <c r="AV285">
        <v>0</v>
      </c>
      <c r="AW285">
        <v>10</v>
      </c>
      <c r="AX285">
        <v>1</v>
      </c>
      <c r="AY285">
        <v>10</v>
      </c>
      <c r="AZ285">
        <v>5</v>
      </c>
      <c r="BA285">
        <v>1</v>
      </c>
      <c r="BB285">
        <v>1440</v>
      </c>
      <c r="BC285">
        <v>0</v>
      </c>
      <c r="BD285">
        <v>0</v>
      </c>
      <c r="BE285">
        <v>14</v>
      </c>
      <c r="BF285">
        <v>25</v>
      </c>
      <c r="BG285">
        <v>3</v>
      </c>
      <c r="BH285">
        <v>8</v>
      </c>
      <c r="BI285">
        <v>3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0</v>
      </c>
      <c r="BQ285">
        <v>60</v>
      </c>
      <c r="BR285">
        <v>0</v>
      </c>
      <c r="BS285">
        <v>3</v>
      </c>
      <c r="BT285" t="s">
        <v>243</v>
      </c>
      <c r="BU285" t="s">
        <v>261</v>
      </c>
      <c r="BV285" t="b">
        <v>0</v>
      </c>
      <c r="BW285" t="s">
        <v>262</v>
      </c>
    </row>
    <row r="286" spans="1:75">
      <c r="A286" t="s">
        <v>243</v>
      </c>
      <c r="B286" t="s">
        <v>252</v>
      </c>
      <c r="C286">
        <v>1199</v>
      </c>
      <c r="D286" t="s">
        <v>253</v>
      </c>
      <c r="E286" t="s">
        <v>254</v>
      </c>
      <c r="F286">
        <v>5</v>
      </c>
      <c r="G286" s="13">
        <v>46268.811319444445</v>
      </c>
      <c r="H286" s="13">
        <v>46268.812858796293</v>
      </c>
      <c r="I286">
        <v>133</v>
      </c>
      <c r="J286" t="s">
        <v>255</v>
      </c>
      <c r="K286">
        <v>1</v>
      </c>
      <c r="L286">
        <v>0.04</v>
      </c>
      <c r="M286">
        <v>0.04</v>
      </c>
      <c r="N286">
        <v>1</v>
      </c>
      <c r="O286">
        <v>0.04</v>
      </c>
      <c r="P286">
        <v>9.64</v>
      </c>
      <c r="Q286">
        <v>3.16</v>
      </c>
      <c r="R286">
        <v>3.16</v>
      </c>
      <c r="S286" t="s">
        <v>256</v>
      </c>
      <c r="T286" t="s">
        <v>257</v>
      </c>
      <c r="U286">
        <v>11</v>
      </c>
      <c r="V286">
        <v>3462.75</v>
      </c>
      <c r="W286">
        <v>4999.32</v>
      </c>
      <c r="X286">
        <v>4990.3599999999997</v>
      </c>
      <c r="Y286">
        <v>0</v>
      </c>
      <c r="Z286">
        <v>0</v>
      </c>
      <c r="AA286">
        <v>35</v>
      </c>
      <c r="AB286">
        <v>50</v>
      </c>
      <c r="AC286">
        <v>5000</v>
      </c>
      <c r="AD286">
        <v>0</v>
      </c>
      <c r="AE286">
        <v>0</v>
      </c>
      <c r="AF286">
        <v>3465.19</v>
      </c>
      <c r="AG286">
        <v>3465.19</v>
      </c>
      <c r="AH286" s="14">
        <v>46268</v>
      </c>
      <c r="AI286" t="s">
        <v>258</v>
      </c>
      <c r="AJ286" s="13">
        <v>46262.213402777779</v>
      </c>
      <c r="AK286">
        <v>6066.68</v>
      </c>
      <c r="AL286" t="s">
        <v>259</v>
      </c>
      <c r="AM286" t="s">
        <v>260</v>
      </c>
      <c r="AN286">
        <v>1400</v>
      </c>
      <c r="AO286">
        <v>0</v>
      </c>
      <c r="AP286">
        <v>35</v>
      </c>
      <c r="AQ286">
        <v>85</v>
      </c>
      <c r="AR286">
        <v>35</v>
      </c>
      <c r="AS286">
        <v>2</v>
      </c>
      <c r="AT286">
        <v>23</v>
      </c>
      <c r="AU286">
        <v>1</v>
      </c>
      <c r="AV286">
        <v>0</v>
      </c>
      <c r="AW286">
        <v>10</v>
      </c>
      <c r="AX286">
        <v>1</v>
      </c>
      <c r="AY286">
        <v>10</v>
      </c>
      <c r="AZ286">
        <v>5</v>
      </c>
      <c r="BA286">
        <v>1</v>
      </c>
      <c r="BB286">
        <v>1440</v>
      </c>
      <c r="BC286">
        <v>0</v>
      </c>
      <c r="BD286">
        <v>0</v>
      </c>
      <c r="BE286">
        <v>14</v>
      </c>
      <c r="BF286">
        <v>25</v>
      </c>
      <c r="BG286">
        <v>3</v>
      </c>
      <c r="BH286">
        <v>8</v>
      </c>
      <c r="BI286">
        <v>3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0</v>
      </c>
      <c r="BQ286">
        <v>60</v>
      </c>
      <c r="BR286">
        <v>0</v>
      </c>
      <c r="BS286">
        <v>3</v>
      </c>
      <c r="BT286" t="s">
        <v>243</v>
      </c>
      <c r="BU286" t="s">
        <v>261</v>
      </c>
      <c r="BV286" t="b">
        <v>0</v>
      </c>
      <c r="BW286" t="s">
        <v>262</v>
      </c>
    </row>
    <row r="287" spans="1:75">
      <c r="A287" t="s">
        <v>243</v>
      </c>
      <c r="B287" t="s">
        <v>252</v>
      </c>
      <c r="C287">
        <v>1200</v>
      </c>
      <c r="D287" t="s">
        <v>253</v>
      </c>
      <c r="E287" t="s">
        <v>254</v>
      </c>
      <c r="F287">
        <v>5</v>
      </c>
      <c r="G287" s="13">
        <v>46268.813946759263</v>
      </c>
      <c r="H287" s="13">
        <v>46268.814247685186</v>
      </c>
      <c r="I287">
        <v>26</v>
      </c>
      <c r="J287" t="s">
        <v>264</v>
      </c>
      <c r="K287">
        <v>1</v>
      </c>
      <c r="L287">
        <v>0.04</v>
      </c>
      <c r="M287">
        <v>0.04</v>
      </c>
      <c r="N287">
        <v>1</v>
      </c>
      <c r="O287">
        <v>0.04</v>
      </c>
      <c r="P287">
        <v>1.24</v>
      </c>
      <c r="Q287">
        <v>8.8800000000000008</v>
      </c>
      <c r="R287">
        <v>8.44</v>
      </c>
      <c r="S287" t="s">
        <v>256</v>
      </c>
      <c r="T287" t="s">
        <v>257</v>
      </c>
      <c r="U287">
        <v>11</v>
      </c>
      <c r="V287">
        <v>3464.55</v>
      </c>
      <c r="W287">
        <v>4999.3599999999997</v>
      </c>
      <c r="X287">
        <v>4998.76</v>
      </c>
      <c r="Y287">
        <v>0</v>
      </c>
      <c r="Z287">
        <v>0</v>
      </c>
      <c r="AA287">
        <v>35</v>
      </c>
      <c r="AB287">
        <v>50</v>
      </c>
      <c r="AC287">
        <v>5000</v>
      </c>
      <c r="AD287">
        <v>0</v>
      </c>
      <c r="AE287">
        <v>0</v>
      </c>
      <c r="AF287">
        <v>3472.67</v>
      </c>
      <c r="AG287">
        <v>3472.67</v>
      </c>
      <c r="AH287" s="14">
        <v>46268</v>
      </c>
      <c r="AI287" t="s">
        <v>258</v>
      </c>
      <c r="AJ287" s="13">
        <v>46262.213402777779</v>
      </c>
      <c r="AK287">
        <v>6066.68</v>
      </c>
      <c r="AL287" t="s">
        <v>259</v>
      </c>
      <c r="AM287" t="s">
        <v>260</v>
      </c>
      <c r="AN287">
        <v>1400</v>
      </c>
      <c r="AO287">
        <v>0</v>
      </c>
      <c r="AP287">
        <v>35</v>
      </c>
      <c r="AQ287">
        <v>85</v>
      </c>
      <c r="AR287">
        <v>35</v>
      </c>
      <c r="AS287">
        <v>2</v>
      </c>
      <c r="AT287">
        <v>23</v>
      </c>
      <c r="AU287">
        <v>1</v>
      </c>
      <c r="AV287">
        <v>0</v>
      </c>
      <c r="AW287">
        <v>10</v>
      </c>
      <c r="AX287">
        <v>1</v>
      </c>
      <c r="AY287">
        <v>10</v>
      </c>
      <c r="AZ287">
        <v>5</v>
      </c>
      <c r="BA287">
        <v>1</v>
      </c>
      <c r="BB287">
        <v>1440</v>
      </c>
      <c r="BC287">
        <v>0</v>
      </c>
      <c r="BD287">
        <v>0</v>
      </c>
      <c r="BE287">
        <v>14</v>
      </c>
      <c r="BF287">
        <v>25</v>
      </c>
      <c r="BG287">
        <v>3</v>
      </c>
      <c r="BH287">
        <v>8</v>
      </c>
      <c r="BI287">
        <v>3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0</v>
      </c>
      <c r="BQ287">
        <v>60</v>
      </c>
      <c r="BR287">
        <v>0</v>
      </c>
      <c r="BS287">
        <v>3</v>
      </c>
      <c r="BT287" t="s">
        <v>243</v>
      </c>
      <c r="BU287" t="s">
        <v>261</v>
      </c>
      <c r="BV287" t="b">
        <v>0</v>
      </c>
      <c r="BW287" t="s">
        <v>262</v>
      </c>
    </row>
    <row r="288" spans="1:75">
      <c r="A288" t="s">
        <v>243</v>
      </c>
      <c r="B288" t="s">
        <v>252</v>
      </c>
      <c r="C288">
        <v>1201</v>
      </c>
      <c r="D288" t="s">
        <v>253</v>
      </c>
      <c r="E288" t="s">
        <v>254</v>
      </c>
      <c r="F288">
        <v>5</v>
      </c>
      <c r="G288" s="13">
        <v>46268.821620370371</v>
      </c>
      <c r="H288" s="13">
        <v>46268.828067129631</v>
      </c>
      <c r="I288">
        <v>557</v>
      </c>
      <c r="J288" t="s">
        <v>264</v>
      </c>
      <c r="K288">
        <v>3</v>
      </c>
      <c r="L288">
        <v>0.12</v>
      </c>
      <c r="M288">
        <v>0.04</v>
      </c>
      <c r="N288">
        <v>3</v>
      </c>
      <c r="O288">
        <v>0.12</v>
      </c>
      <c r="P288">
        <v>23.96</v>
      </c>
      <c r="Q288">
        <v>18.52</v>
      </c>
      <c r="R288">
        <v>13.24</v>
      </c>
      <c r="S288" t="s">
        <v>263</v>
      </c>
      <c r="T288" t="s">
        <v>257</v>
      </c>
      <c r="U288">
        <v>10</v>
      </c>
      <c r="V288">
        <v>3472.03</v>
      </c>
      <c r="W288">
        <v>4999.3599999999997</v>
      </c>
      <c r="X288">
        <v>4976.04</v>
      </c>
      <c r="Y288">
        <v>0</v>
      </c>
      <c r="Z288">
        <v>0</v>
      </c>
      <c r="AA288">
        <v>35</v>
      </c>
      <c r="AB288">
        <v>50</v>
      </c>
      <c r="AC288">
        <v>5000</v>
      </c>
      <c r="AD288">
        <v>0</v>
      </c>
      <c r="AE288">
        <v>0</v>
      </c>
      <c r="AF288">
        <v>3485.07</v>
      </c>
      <c r="AG288">
        <v>3485.07</v>
      </c>
      <c r="AH288" s="14">
        <v>46268</v>
      </c>
      <c r="AI288" t="s">
        <v>258</v>
      </c>
      <c r="AJ288" s="13">
        <v>46262.213402777779</v>
      </c>
      <c r="AK288">
        <v>6066.68</v>
      </c>
      <c r="AL288" t="s">
        <v>259</v>
      </c>
      <c r="AM288" t="s">
        <v>260</v>
      </c>
      <c r="AN288">
        <v>1400</v>
      </c>
      <c r="AO288">
        <v>0</v>
      </c>
      <c r="AP288">
        <v>35</v>
      </c>
      <c r="AQ288">
        <v>85</v>
      </c>
      <c r="AR288">
        <v>35</v>
      </c>
      <c r="AS288">
        <v>2</v>
      </c>
      <c r="AT288">
        <v>23</v>
      </c>
      <c r="AU288">
        <v>1</v>
      </c>
      <c r="AV288">
        <v>0</v>
      </c>
      <c r="AW288">
        <v>10</v>
      </c>
      <c r="AX288">
        <v>1</v>
      </c>
      <c r="AY288">
        <v>10</v>
      </c>
      <c r="AZ288">
        <v>5</v>
      </c>
      <c r="BA288">
        <v>1</v>
      </c>
      <c r="BB288">
        <v>1440</v>
      </c>
      <c r="BC288">
        <v>0</v>
      </c>
      <c r="BD288">
        <v>0</v>
      </c>
      <c r="BE288">
        <v>14</v>
      </c>
      <c r="BF288">
        <v>25</v>
      </c>
      <c r="BG288">
        <v>3</v>
      </c>
      <c r="BH288">
        <v>8</v>
      </c>
      <c r="BI288">
        <v>3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0</v>
      </c>
      <c r="BQ288">
        <v>60</v>
      </c>
      <c r="BR288">
        <v>0</v>
      </c>
      <c r="BS288">
        <v>3</v>
      </c>
      <c r="BT288" t="s">
        <v>243</v>
      </c>
      <c r="BU288" t="s">
        <v>261</v>
      </c>
      <c r="BV288" t="b">
        <v>0</v>
      </c>
      <c r="BW288" t="s">
        <v>262</v>
      </c>
    </row>
    <row r="289" spans="1:75">
      <c r="A289" t="s">
        <v>243</v>
      </c>
      <c r="B289" t="s">
        <v>252</v>
      </c>
      <c r="C289">
        <v>1202</v>
      </c>
      <c r="D289" t="s">
        <v>253</v>
      </c>
      <c r="E289" t="s">
        <v>254</v>
      </c>
      <c r="F289">
        <v>5</v>
      </c>
      <c r="G289" s="13">
        <v>46268.83525462963</v>
      </c>
      <c r="H289" s="13">
        <v>46268.879155092596</v>
      </c>
      <c r="I289">
        <v>3793</v>
      </c>
      <c r="J289" t="s">
        <v>264</v>
      </c>
      <c r="K289">
        <v>4</v>
      </c>
      <c r="L289">
        <v>0.16</v>
      </c>
      <c r="M289">
        <v>0.04</v>
      </c>
      <c r="N289">
        <v>4</v>
      </c>
      <c r="O289">
        <v>0.16</v>
      </c>
      <c r="P289">
        <v>43.2</v>
      </c>
      <c r="Q289">
        <v>30.92</v>
      </c>
      <c r="R289">
        <v>25.16</v>
      </c>
      <c r="S289" t="s">
        <v>263</v>
      </c>
      <c r="T289" t="s">
        <v>257</v>
      </c>
      <c r="U289">
        <v>11</v>
      </c>
      <c r="V289">
        <v>3484.43</v>
      </c>
      <c r="W289">
        <v>4999.3599999999997</v>
      </c>
      <c r="X289">
        <v>4956.8</v>
      </c>
      <c r="Y289">
        <v>0</v>
      </c>
      <c r="Z289">
        <v>0</v>
      </c>
      <c r="AA289">
        <v>35</v>
      </c>
      <c r="AB289">
        <v>50</v>
      </c>
      <c r="AC289">
        <v>5000</v>
      </c>
      <c r="AD289">
        <v>0</v>
      </c>
      <c r="AE289">
        <v>0</v>
      </c>
      <c r="AF289">
        <v>3510.43</v>
      </c>
      <c r="AG289">
        <v>3510.43</v>
      </c>
      <c r="AH289" s="14">
        <v>46268</v>
      </c>
      <c r="AI289" t="s">
        <v>258</v>
      </c>
      <c r="AJ289" s="13">
        <v>46262.213402777779</v>
      </c>
      <c r="AK289">
        <v>6066.68</v>
      </c>
      <c r="AL289" t="s">
        <v>259</v>
      </c>
      <c r="AM289" t="s">
        <v>260</v>
      </c>
      <c r="AN289">
        <v>1400</v>
      </c>
      <c r="AO289">
        <v>0</v>
      </c>
      <c r="AP289">
        <v>35</v>
      </c>
      <c r="AQ289">
        <v>85</v>
      </c>
      <c r="AR289">
        <v>35</v>
      </c>
      <c r="AS289">
        <v>2</v>
      </c>
      <c r="AT289">
        <v>23</v>
      </c>
      <c r="AU289">
        <v>1</v>
      </c>
      <c r="AV289">
        <v>0</v>
      </c>
      <c r="AW289">
        <v>10</v>
      </c>
      <c r="AX289">
        <v>1</v>
      </c>
      <c r="AY289">
        <v>10</v>
      </c>
      <c r="AZ289">
        <v>5</v>
      </c>
      <c r="BA289">
        <v>1</v>
      </c>
      <c r="BB289">
        <v>1440</v>
      </c>
      <c r="BC289">
        <v>0</v>
      </c>
      <c r="BD289">
        <v>0</v>
      </c>
      <c r="BE289">
        <v>14</v>
      </c>
      <c r="BF289">
        <v>25</v>
      </c>
      <c r="BG289">
        <v>3</v>
      </c>
      <c r="BH289">
        <v>8</v>
      </c>
      <c r="BI289">
        <v>3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0</v>
      </c>
      <c r="BQ289">
        <v>60</v>
      </c>
      <c r="BR289">
        <v>0</v>
      </c>
      <c r="BS289">
        <v>3</v>
      </c>
      <c r="BT289" t="s">
        <v>243</v>
      </c>
      <c r="BU289" t="s">
        <v>261</v>
      </c>
      <c r="BV289" t="b">
        <v>0</v>
      </c>
      <c r="BW289" t="s">
        <v>262</v>
      </c>
    </row>
    <row r="290" spans="1:75">
      <c r="A290" t="s">
        <v>243</v>
      </c>
      <c r="B290" t="s">
        <v>252</v>
      </c>
      <c r="C290">
        <v>1203</v>
      </c>
      <c r="D290" t="s">
        <v>253</v>
      </c>
      <c r="E290" t="s">
        <v>254</v>
      </c>
      <c r="F290">
        <v>5</v>
      </c>
      <c r="G290" s="13">
        <v>46268.884016203701</v>
      </c>
      <c r="H290" s="13">
        <v>46268.885231481479</v>
      </c>
      <c r="I290">
        <v>105</v>
      </c>
      <c r="J290" t="s">
        <v>264</v>
      </c>
      <c r="K290">
        <v>1</v>
      </c>
      <c r="L290">
        <v>0.04</v>
      </c>
      <c r="M290">
        <v>0.04</v>
      </c>
      <c r="N290">
        <v>1</v>
      </c>
      <c r="O290">
        <v>0.04</v>
      </c>
      <c r="P290">
        <v>3.96</v>
      </c>
      <c r="Q290">
        <v>3.84</v>
      </c>
      <c r="R290">
        <v>2.72</v>
      </c>
      <c r="S290" t="s">
        <v>256</v>
      </c>
      <c r="T290" t="s">
        <v>257</v>
      </c>
      <c r="U290">
        <v>10</v>
      </c>
      <c r="V290">
        <v>3509.79</v>
      </c>
      <c r="W290">
        <v>4999.3599999999997</v>
      </c>
      <c r="X290">
        <v>4996.04</v>
      </c>
      <c r="Y290">
        <v>0</v>
      </c>
      <c r="Z290">
        <v>0</v>
      </c>
      <c r="AA290">
        <v>35</v>
      </c>
      <c r="AB290">
        <v>50</v>
      </c>
      <c r="AC290">
        <v>5000</v>
      </c>
      <c r="AD290">
        <v>0</v>
      </c>
      <c r="AE290">
        <v>0</v>
      </c>
      <c r="AF290">
        <v>3512.87</v>
      </c>
      <c r="AG290">
        <v>3512.87</v>
      </c>
      <c r="AH290" s="14">
        <v>46268</v>
      </c>
      <c r="AI290" t="s">
        <v>258</v>
      </c>
      <c r="AJ290" s="13">
        <v>46262.213402777779</v>
      </c>
      <c r="AK290">
        <v>6066.68</v>
      </c>
      <c r="AL290" t="s">
        <v>259</v>
      </c>
      <c r="AM290" t="s">
        <v>260</v>
      </c>
      <c r="AN290">
        <v>1400</v>
      </c>
      <c r="AO290">
        <v>0</v>
      </c>
      <c r="AP290">
        <v>35</v>
      </c>
      <c r="AQ290">
        <v>85</v>
      </c>
      <c r="AR290">
        <v>35</v>
      </c>
      <c r="AS290">
        <v>2</v>
      </c>
      <c r="AT290">
        <v>23</v>
      </c>
      <c r="AU290">
        <v>1</v>
      </c>
      <c r="AV290">
        <v>0</v>
      </c>
      <c r="AW290">
        <v>10</v>
      </c>
      <c r="AX290">
        <v>1</v>
      </c>
      <c r="AY290">
        <v>10</v>
      </c>
      <c r="AZ290">
        <v>5</v>
      </c>
      <c r="BA290">
        <v>1</v>
      </c>
      <c r="BB290">
        <v>1440</v>
      </c>
      <c r="BC290">
        <v>0</v>
      </c>
      <c r="BD290">
        <v>0</v>
      </c>
      <c r="BE290">
        <v>14</v>
      </c>
      <c r="BF290">
        <v>25</v>
      </c>
      <c r="BG290">
        <v>3</v>
      </c>
      <c r="BH290">
        <v>8</v>
      </c>
      <c r="BI290">
        <v>3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0</v>
      </c>
      <c r="BQ290">
        <v>60</v>
      </c>
      <c r="BR290">
        <v>0</v>
      </c>
      <c r="BS290">
        <v>3</v>
      </c>
      <c r="BT290" t="s">
        <v>243</v>
      </c>
      <c r="BU290" t="s">
        <v>261</v>
      </c>
      <c r="BV290" t="b">
        <v>0</v>
      </c>
      <c r="BW290" t="s">
        <v>262</v>
      </c>
    </row>
    <row r="291" spans="1:75">
      <c r="A291" t="s">
        <v>243</v>
      </c>
      <c r="B291" t="s">
        <v>252</v>
      </c>
      <c r="C291">
        <v>1204</v>
      </c>
      <c r="D291" t="s">
        <v>253</v>
      </c>
      <c r="E291" t="s">
        <v>254</v>
      </c>
      <c r="F291">
        <v>5</v>
      </c>
      <c r="G291" s="13">
        <v>46268.891412037039</v>
      </c>
      <c r="H291" s="13">
        <v>46268.891701388886</v>
      </c>
      <c r="I291">
        <v>25</v>
      </c>
      <c r="J291" t="s">
        <v>264</v>
      </c>
      <c r="K291">
        <v>1</v>
      </c>
      <c r="L291">
        <v>0.04</v>
      </c>
      <c r="M291">
        <v>0.04</v>
      </c>
      <c r="N291">
        <v>1</v>
      </c>
      <c r="O291">
        <v>0.04</v>
      </c>
      <c r="P291">
        <v>0.84</v>
      </c>
      <c r="Q291">
        <v>5.68</v>
      </c>
      <c r="R291">
        <v>4.5999999999999996</v>
      </c>
      <c r="S291" t="s">
        <v>256</v>
      </c>
      <c r="T291" t="s">
        <v>257</v>
      </c>
      <c r="U291">
        <v>10</v>
      </c>
      <c r="V291">
        <v>3512.23</v>
      </c>
      <c r="W291">
        <v>4999.3599999999997</v>
      </c>
      <c r="X291">
        <v>4999.16</v>
      </c>
      <c r="Y291">
        <v>0</v>
      </c>
      <c r="Z291">
        <v>0</v>
      </c>
      <c r="AA291">
        <v>35</v>
      </c>
      <c r="AB291">
        <v>50</v>
      </c>
      <c r="AC291">
        <v>5000</v>
      </c>
      <c r="AD291">
        <v>0</v>
      </c>
      <c r="AE291">
        <v>0</v>
      </c>
      <c r="AF291">
        <v>3517.15</v>
      </c>
      <c r="AG291">
        <v>3517.15</v>
      </c>
      <c r="AH291" s="14">
        <v>46268</v>
      </c>
      <c r="AI291" t="s">
        <v>258</v>
      </c>
      <c r="AJ291" s="13">
        <v>46262.213402777779</v>
      </c>
      <c r="AK291">
        <v>6066.68</v>
      </c>
      <c r="AL291" t="s">
        <v>259</v>
      </c>
      <c r="AM291" t="s">
        <v>260</v>
      </c>
      <c r="AN291">
        <v>1400</v>
      </c>
      <c r="AO291">
        <v>0</v>
      </c>
      <c r="AP291">
        <v>35</v>
      </c>
      <c r="AQ291">
        <v>85</v>
      </c>
      <c r="AR291">
        <v>35</v>
      </c>
      <c r="AS291">
        <v>2</v>
      </c>
      <c r="AT291">
        <v>23</v>
      </c>
      <c r="AU291">
        <v>1</v>
      </c>
      <c r="AV291">
        <v>0</v>
      </c>
      <c r="AW291">
        <v>10</v>
      </c>
      <c r="AX291">
        <v>1</v>
      </c>
      <c r="AY291">
        <v>10</v>
      </c>
      <c r="AZ291">
        <v>5</v>
      </c>
      <c r="BA291">
        <v>1</v>
      </c>
      <c r="BB291">
        <v>1440</v>
      </c>
      <c r="BC291">
        <v>0</v>
      </c>
      <c r="BD291">
        <v>0</v>
      </c>
      <c r="BE291">
        <v>14</v>
      </c>
      <c r="BF291">
        <v>25</v>
      </c>
      <c r="BG291">
        <v>3</v>
      </c>
      <c r="BH291">
        <v>8</v>
      </c>
      <c r="BI291">
        <v>3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0</v>
      </c>
      <c r="BQ291">
        <v>60</v>
      </c>
      <c r="BR291">
        <v>0</v>
      </c>
      <c r="BS291">
        <v>3</v>
      </c>
      <c r="BT291" t="s">
        <v>243</v>
      </c>
      <c r="BU291" t="s">
        <v>261</v>
      </c>
      <c r="BV291" t="b">
        <v>0</v>
      </c>
      <c r="BW291" t="s">
        <v>262</v>
      </c>
    </row>
    <row r="292" spans="1:75">
      <c r="A292" t="s">
        <v>243</v>
      </c>
      <c r="B292" t="s">
        <v>252</v>
      </c>
      <c r="C292">
        <v>1205</v>
      </c>
      <c r="D292" t="s">
        <v>253</v>
      </c>
      <c r="E292" t="s">
        <v>254</v>
      </c>
      <c r="F292">
        <v>5</v>
      </c>
      <c r="G292" s="13">
        <v>46268.89508101852</v>
      </c>
      <c r="H292" s="13">
        <v>46268.895844907405</v>
      </c>
      <c r="I292">
        <v>66</v>
      </c>
      <c r="J292" t="s">
        <v>264</v>
      </c>
      <c r="K292">
        <v>1</v>
      </c>
      <c r="L292">
        <v>0.04</v>
      </c>
      <c r="M292">
        <v>0.04</v>
      </c>
      <c r="N292">
        <v>1</v>
      </c>
      <c r="O292">
        <v>0.04</v>
      </c>
      <c r="P292">
        <v>2.04</v>
      </c>
      <c r="Q292">
        <v>4.4400000000000004</v>
      </c>
      <c r="R292">
        <v>4.4400000000000004</v>
      </c>
      <c r="S292" t="s">
        <v>256</v>
      </c>
      <c r="T292" t="s">
        <v>257</v>
      </c>
      <c r="U292">
        <v>10</v>
      </c>
      <c r="V292">
        <v>3516.51</v>
      </c>
      <c r="W292">
        <v>4999.3599999999997</v>
      </c>
      <c r="X292">
        <v>4997.96</v>
      </c>
      <c r="Y292">
        <v>0</v>
      </c>
      <c r="Z292">
        <v>0</v>
      </c>
      <c r="AA292">
        <v>35</v>
      </c>
      <c r="AB292">
        <v>50</v>
      </c>
      <c r="AC292">
        <v>5000</v>
      </c>
      <c r="AD292">
        <v>0</v>
      </c>
      <c r="AE292">
        <v>0</v>
      </c>
      <c r="AF292">
        <v>3520.19</v>
      </c>
      <c r="AG292">
        <v>3520.19</v>
      </c>
      <c r="AH292" s="14">
        <v>46268</v>
      </c>
      <c r="AI292" t="s">
        <v>258</v>
      </c>
      <c r="AJ292" s="13">
        <v>46262.213402777779</v>
      </c>
      <c r="AK292">
        <v>6066.68</v>
      </c>
      <c r="AL292" t="s">
        <v>259</v>
      </c>
      <c r="AM292" t="s">
        <v>260</v>
      </c>
      <c r="AN292">
        <v>1400</v>
      </c>
      <c r="AO292">
        <v>0</v>
      </c>
      <c r="AP292">
        <v>35</v>
      </c>
      <c r="AQ292">
        <v>85</v>
      </c>
      <c r="AR292">
        <v>35</v>
      </c>
      <c r="AS292">
        <v>2</v>
      </c>
      <c r="AT292">
        <v>23</v>
      </c>
      <c r="AU292">
        <v>1</v>
      </c>
      <c r="AV292">
        <v>0</v>
      </c>
      <c r="AW292">
        <v>10</v>
      </c>
      <c r="AX292">
        <v>1</v>
      </c>
      <c r="AY292">
        <v>10</v>
      </c>
      <c r="AZ292">
        <v>5</v>
      </c>
      <c r="BA292">
        <v>1</v>
      </c>
      <c r="BB292">
        <v>1440</v>
      </c>
      <c r="BC292">
        <v>0</v>
      </c>
      <c r="BD292">
        <v>0</v>
      </c>
      <c r="BE292">
        <v>14</v>
      </c>
      <c r="BF292">
        <v>25</v>
      </c>
      <c r="BG292">
        <v>3</v>
      </c>
      <c r="BH292">
        <v>8</v>
      </c>
      <c r="BI292">
        <v>3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0</v>
      </c>
      <c r="BQ292">
        <v>60</v>
      </c>
      <c r="BR292">
        <v>0</v>
      </c>
      <c r="BS292">
        <v>3</v>
      </c>
      <c r="BT292" t="s">
        <v>243</v>
      </c>
      <c r="BU292" t="s">
        <v>261</v>
      </c>
      <c r="BV292" t="b">
        <v>0</v>
      </c>
      <c r="BW292" t="s">
        <v>262</v>
      </c>
    </row>
    <row r="293" spans="1:75">
      <c r="A293" t="s">
        <v>243</v>
      </c>
      <c r="B293" t="s">
        <v>252</v>
      </c>
      <c r="C293">
        <v>1206</v>
      </c>
      <c r="D293" t="s">
        <v>253</v>
      </c>
      <c r="E293" t="s">
        <v>254</v>
      </c>
      <c r="F293">
        <v>5</v>
      </c>
      <c r="G293" s="13">
        <v>46268.896724537037</v>
      </c>
      <c r="H293" s="13">
        <v>46268.897280092591</v>
      </c>
      <c r="I293">
        <v>48</v>
      </c>
      <c r="J293" t="s">
        <v>264</v>
      </c>
      <c r="K293">
        <v>1</v>
      </c>
      <c r="L293">
        <v>0.04</v>
      </c>
      <c r="M293">
        <v>0.04</v>
      </c>
      <c r="N293">
        <v>1</v>
      </c>
      <c r="O293">
        <v>0.04</v>
      </c>
      <c r="P293">
        <v>3.08</v>
      </c>
      <c r="Q293">
        <v>3.84</v>
      </c>
      <c r="R293">
        <v>3.16</v>
      </c>
      <c r="S293" t="s">
        <v>256</v>
      </c>
      <c r="T293" t="s">
        <v>257</v>
      </c>
      <c r="U293">
        <v>11</v>
      </c>
      <c r="V293">
        <v>3519.55</v>
      </c>
      <c r="W293">
        <v>4999.3599999999997</v>
      </c>
      <c r="X293">
        <v>4996.92</v>
      </c>
      <c r="Y293">
        <v>0</v>
      </c>
      <c r="Z293">
        <v>0</v>
      </c>
      <c r="AA293">
        <v>35</v>
      </c>
      <c r="AB293">
        <v>50</v>
      </c>
      <c r="AC293">
        <v>5000</v>
      </c>
      <c r="AD293">
        <v>0</v>
      </c>
      <c r="AE293">
        <v>0</v>
      </c>
      <c r="AF293">
        <v>3522.63</v>
      </c>
      <c r="AG293">
        <v>3522.63</v>
      </c>
      <c r="AH293" s="14">
        <v>46268</v>
      </c>
      <c r="AI293" t="s">
        <v>258</v>
      </c>
      <c r="AJ293" s="13">
        <v>46262.213402777779</v>
      </c>
      <c r="AK293">
        <v>6066.68</v>
      </c>
      <c r="AL293" t="s">
        <v>259</v>
      </c>
      <c r="AM293" t="s">
        <v>260</v>
      </c>
      <c r="AN293">
        <v>1400</v>
      </c>
      <c r="AO293">
        <v>0</v>
      </c>
      <c r="AP293">
        <v>35</v>
      </c>
      <c r="AQ293">
        <v>85</v>
      </c>
      <c r="AR293">
        <v>35</v>
      </c>
      <c r="AS293">
        <v>2</v>
      </c>
      <c r="AT293">
        <v>23</v>
      </c>
      <c r="AU293">
        <v>1</v>
      </c>
      <c r="AV293">
        <v>0</v>
      </c>
      <c r="AW293">
        <v>10</v>
      </c>
      <c r="AX293">
        <v>1</v>
      </c>
      <c r="AY293">
        <v>10</v>
      </c>
      <c r="AZ293">
        <v>5</v>
      </c>
      <c r="BA293">
        <v>1</v>
      </c>
      <c r="BB293">
        <v>1440</v>
      </c>
      <c r="BC293">
        <v>0</v>
      </c>
      <c r="BD293">
        <v>0</v>
      </c>
      <c r="BE293">
        <v>14</v>
      </c>
      <c r="BF293">
        <v>25</v>
      </c>
      <c r="BG293">
        <v>3</v>
      </c>
      <c r="BH293">
        <v>8</v>
      </c>
      <c r="BI293">
        <v>3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0</v>
      </c>
      <c r="BQ293">
        <v>60</v>
      </c>
      <c r="BR293">
        <v>0</v>
      </c>
      <c r="BS293">
        <v>3</v>
      </c>
      <c r="BT293" t="s">
        <v>243</v>
      </c>
      <c r="BU293" t="s">
        <v>261</v>
      </c>
      <c r="BV293" t="b">
        <v>0</v>
      </c>
      <c r="BW293" t="s">
        <v>262</v>
      </c>
    </row>
    <row r="294" spans="1:75">
      <c r="A294" t="s">
        <v>243</v>
      </c>
      <c r="B294" t="s">
        <v>252</v>
      </c>
      <c r="C294">
        <v>1207</v>
      </c>
      <c r="D294" t="s">
        <v>253</v>
      </c>
      <c r="E294" t="s">
        <v>254</v>
      </c>
      <c r="F294">
        <v>5</v>
      </c>
      <c r="G294" s="13">
        <v>46268.901493055557</v>
      </c>
      <c r="H294" s="13">
        <v>46269.123796296299</v>
      </c>
      <c r="I294">
        <v>19207</v>
      </c>
      <c r="J294" t="s">
        <v>255</v>
      </c>
      <c r="K294">
        <v>5</v>
      </c>
      <c r="L294">
        <v>0.2</v>
      </c>
      <c r="M294">
        <v>0.04</v>
      </c>
      <c r="N294">
        <v>5</v>
      </c>
      <c r="O294">
        <v>0.2</v>
      </c>
      <c r="P294">
        <v>98.24</v>
      </c>
      <c r="Q294">
        <v>10.24</v>
      </c>
      <c r="R294">
        <v>2.44</v>
      </c>
      <c r="S294" t="s">
        <v>263</v>
      </c>
      <c r="T294" t="s">
        <v>257</v>
      </c>
      <c r="U294">
        <v>10</v>
      </c>
      <c r="V294">
        <v>3521.95</v>
      </c>
      <c r="W294">
        <v>4999.32</v>
      </c>
      <c r="X294">
        <v>4901.76</v>
      </c>
      <c r="Y294">
        <v>0</v>
      </c>
      <c r="Z294">
        <v>0</v>
      </c>
      <c r="AA294">
        <v>35</v>
      </c>
      <c r="AB294">
        <v>50</v>
      </c>
      <c r="AC294">
        <v>5000</v>
      </c>
      <c r="AD294">
        <v>0</v>
      </c>
      <c r="AE294">
        <v>0</v>
      </c>
      <c r="AF294">
        <v>3523.59</v>
      </c>
      <c r="AG294">
        <v>3523.59</v>
      </c>
      <c r="AH294" s="14">
        <v>46268</v>
      </c>
      <c r="AI294" t="s">
        <v>258</v>
      </c>
      <c r="AJ294" s="13">
        <v>46262.213402777779</v>
      </c>
      <c r="AK294">
        <v>6066.68</v>
      </c>
      <c r="AL294" t="s">
        <v>259</v>
      </c>
      <c r="AM294" t="s">
        <v>260</v>
      </c>
      <c r="AN294">
        <v>1400</v>
      </c>
      <c r="AO294">
        <v>0</v>
      </c>
      <c r="AP294">
        <v>35</v>
      </c>
      <c r="AQ294">
        <v>85</v>
      </c>
      <c r="AR294">
        <v>35</v>
      </c>
      <c r="AS294">
        <v>2</v>
      </c>
      <c r="AT294">
        <v>23</v>
      </c>
      <c r="AU294">
        <v>1</v>
      </c>
      <c r="AV294">
        <v>0</v>
      </c>
      <c r="AW294">
        <v>10</v>
      </c>
      <c r="AX294">
        <v>1</v>
      </c>
      <c r="AY294">
        <v>10</v>
      </c>
      <c r="AZ294">
        <v>5</v>
      </c>
      <c r="BA294">
        <v>1</v>
      </c>
      <c r="BB294">
        <v>1440</v>
      </c>
      <c r="BC294">
        <v>0</v>
      </c>
      <c r="BD294">
        <v>0</v>
      </c>
      <c r="BE294">
        <v>14</v>
      </c>
      <c r="BF294">
        <v>25</v>
      </c>
      <c r="BG294">
        <v>3</v>
      </c>
      <c r="BH294">
        <v>8</v>
      </c>
      <c r="BI294">
        <v>3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0</v>
      </c>
      <c r="BQ294">
        <v>60</v>
      </c>
      <c r="BR294">
        <v>0</v>
      </c>
      <c r="BS294">
        <v>3</v>
      </c>
      <c r="BT294" t="s">
        <v>243</v>
      </c>
      <c r="BU294" t="s">
        <v>261</v>
      </c>
      <c r="BV294" t="b">
        <v>0</v>
      </c>
      <c r="BW294" t="s">
        <v>262</v>
      </c>
    </row>
    <row r="295" spans="1:75">
      <c r="A295" t="s">
        <v>243</v>
      </c>
      <c r="B295" t="s">
        <v>252</v>
      </c>
      <c r="C295">
        <v>1208</v>
      </c>
      <c r="D295" t="s">
        <v>253</v>
      </c>
      <c r="E295" t="s">
        <v>254</v>
      </c>
      <c r="F295">
        <v>5</v>
      </c>
      <c r="G295" s="13">
        <v>46269.134884259256</v>
      </c>
      <c r="H295" s="13">
        <v>46269.155578703707</v>
      </c>
      <c r="I295">
        <v>1788</v>
      </c>
      <c r="J295" t="s">
        <v>255</v>
      </c>
      <c r="K295">
        <v>4</v>
      </c>
      <c r="L295">
        <v>0.16</v>
      </c>
      <c r="M295">
        <v>0.04</v>
      </c>
      <c r="N295">
        <v>4</v>
      </c>
      <c r="O295">
        <v>0.16</v>
      </c>
      <c r="P295">
        <v>69.88</v>
      </c>
      <c r="Q295">
        <v>21.84</v>
      </c>
      <c r="R295">
        <v>13.52</v>
      </c>
      <c r="S295" t="s">
        <v>263</v>
      </c>
      <c r="T295" t="s">
        <v>257</v>
      </c>
      <c r="U295">
        <v>11</v>
      </c>
      <c r="V295">
        <v>3522.91</v>
      </c>
      <c r="W295">
        <v>4999.32</v>
      </c>
      <c r="X295">
        <v>4930.12</v>
      </c>
      <c r="Y295">
        <v>0</v>
      </c>
      <c r="Z295">
        <v>0</v>
      </c>
      <c r="AA295">
        <v>35</v>
      </c>
      <c r="AB295">
        <v>50</v>
      </c>
      <c r="AC295">
        <v>5000</v>
      </c>
      <c r="AD295">
        <v>0</v>
      </c>
      <c r="AE295">
        <v>0</v>
      </c>
      <c r="AF295">
        <v>3537.23</v>
      </c>
      <c r="AG295">
        <v>3537.23</v>
      </c>
      <c r="AH295" s="14">
        <v>46269</v>
      </c>
      <c r="AI295" t="s">
        <v>258</v>
      </c>
      <c r="AJ295" s="13">
        <v>46262.213402777779</v>
      </c>
      <c r="AK295">
        <v>6066.68</v>
      </c>
      <c r="AL295" t="s">
        <v>259</v>
      </c>
      <c r="AM295" t="s">
        <v>260</v>
      </c>
      <c r="AN295">
        <v>1400</v>
      </c>
      <c r="AO295">
        <v>0</v>
      </c>
      <c r="AP295">
        <v>35</v>
      </c>
      <c r="AQ295">
        <v>85</v>
      </c>
      <c r="AR295">
        <v>35</v>
      </c>
      <c r="AS295">
        <v>2</v>
      </c>
      <c r="AT295">
        <v>23</v>
      </c>
      <c r="AU295">
        <v>1</v>
      </c>
      <c r="AV295">
        <v>0</v>
      </c>
      <c r="AW295">
        <v>10</v>
      </c>
      <c r="AX295">
        <v>1</v>
      </c>
      <c r="AY295">
        <v>10</v>
      </c>
      <c r="AZ295">
        <v>5</v>
      </c>
      <c r="BA295">
        <v>1</v>
      </c>
      <c r="BB295">
        <v>1440</v>
      </c>
      <c r="BC295">
        <v>0</v>
      </c>
      <c r="BD295">
        <v>0</v>
      </c>
      <c r="BE295">
        <v>14</v>
      </c>
      <c r="BF295">
        <v>25</v>
      </c>
      <c r="BG295">
        <v>3</v>
      </c>
      <c r="BH295">
        <v>8</v>
      </c>
      <c r="BI295">
        <v>3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0</v>
      </c>
      <c r="BQ295">
        <v>60</v>
      </c>
      <c r="BR295">
        <v>0</v>
      </c>
      <c r="BS295">
        <v>3</v>
      </c>
      <c r="BT295" t="s">
        <v>243</v>
      </c>
      <c r="BU295" t="s">
        <v>261</v>
      </c>
      <c r="BV295" t="b">
        <v>0</v>
      </c>
      <c r="BW295" t="s">
        <v>262</v>
      </c>
    </row>
    <row r="296" spans="1:75">
      <c r="A296" t="s">
        <v>243</v>
      </c>
      <c r="B296" t="s">
        <v>252</v>
      </c>
      <c r="C296">
        <v>1209</v>
      </c>
      <c r="D296" t="s">
        <v>253</v>
      </c>
      <c r="E296" t="s">
        <v>254</v>
      </c>
      <c r="F296">
        <v>5</v>
      </c>
      <c r="G296" s="13">
        <v>46269.159710648149</v>
      </c>
      <c r="H296" s="13">
        <v>46269.168333333335</v>
      </c>
      <c r="I296">
        <v>745</v>
      </c>
      <c r="J296" t="s">
        <v>264</v>
      </c>
      <c r="K296">
        <v>3</v>
      </c>
      <c r="L296">
        <v>0.12</v>
      </c>
      <c r="M296">
        <v>0.04</v>
      </c>
      <c r="N296">
        <v>3</v>
      </c>
      <c r="O296">
        <v>0.12</v>
      </c>
      <c r="P296">
        <v>48.92</v>
      </c>
      <c r="Q296">
        <v>14.36</v>
      </c>
      <c r="R296">
        <v>8.48</v>
      </c>
      <c r="S296" t="s">
        <v>263</v>
      </c>
      <c r="T296" t="s">
        <v>257</v>
      </c>
      <c r="U296">
        <v>11</v>
      </c>
      <c r="V296">
        <v>3536.59</v>
      </c>
      <c r="W296">
        <v>4999.3599999999997</v>
      </c>
      <c r="X296">
        <v>4951.08</v>
      </c>
      <c r="Y296">
        <v>0</v>
      </c>
      <c r="Z296">
        <v>0</v>
      </c>
      <c r="AA296">
        <v>35</v>
      </c>
      <c r="AB296">
        <v>50</v>
      </c>
      <c r="AC296">
        <v>5000</v>
      </c>
      <c r="AD296">
        <v>0</v>
      </c>
      <c r="AE296">
        <v>0</v>
      </c>
      <c r="AF296">
        <v>3546.75</v>
      </c>
      <c r="AG296">
        <v>3546.75</v>
      </c>
      <c r="AH296" s="14">
        <v>46269</v>
      </c>
      <c r="AI296" t="s">
        <v>258</v>
      </c>
      <c r="AJ296" s="13">
        <v>46262.213402777779</v>
      </c>
      <c r="AK296">
        <v>6066.68</v>
      </c>
      <c r="AL296" t="s">
        <v>259</v>
      </c>
      <c r="AM296" t="s">
        <v>260</v>
      </c>
      <c r="AN296">
        <v>1400</v>
      </c>
      <c r="AO296">
        <v>0</v>
      </c>
      <c r="AP296">
        <v>35</v>
      </c>
      <c r="AQ296">
        <v>85</v>
      </c>
      <c r="AR296">
        <v>35</v>
      </c>
      <c r="AS296">
        <v>2</v>
      </c>
      <c r="AT296">
        <v>23</v>
      </c>
      <c r="AU296">
        <v>1</v>
      </c>
      <c r="AV296">
        <v>0</v>
      </c>
      <c r="AW296">
        <v>10</v>
      </c>
      <c r="AX296">
        <v>1</v>
      </c>
      <c r="AY296">
        <v>10</v>
      </c>
      <c r="AZ296">
        <v>5</v>
      </c>
      <c r="BA296">
        <v>1</v>
      </c>
      <c r="BB296">
        <v>1440</v>
      </c>
      <c r="BC296">
        <v>0</v>
      </c>
      <c r="BD296">
        <v>0</v>
      </c>
      <c r="BE296">
        <v>14</v>
      </c>
      <c r="BF296">
        <v>25</v>
      </c>
      <c r="BG296">
        <v>3</v>
      </c>
      <c r="BH296">
        <v>8</v>
      </c>
      <c r="BI296">
        <v>3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0</v>
      </c>
      <c r="BQ296">
        <v>60</v>
      </c>
      <c r="BR296">
        <v>0</v>
      </c>
      <c r="BS296">
        <v>3</v>
      </c>
      <c r="BT296" t="s">
        <v>243</v>
      </c>
      <c r="BU296" t="s">
        <v>261</v>
      </c>
      <c r="BV296" t="b">
        <v>0</v>
      </c>
      <c r="BW296" t="s">
        <v>262</v>
      </c>
    </row>
    <row r="297" spans="1:75">
      <c r="A297" t="s">
        <v>243</v>
      </c>
      <c r="B297" t="s">
        <v>252</v>
      </c>
      <c r="C297">
        <v>1210</v>
      </c>
      <c r="D297" t="s">
        <v>253</v>
      </c>
      <c r="E297" t="s">
        <v>254</v>
      </c>
      <c r="F297">
        <v>5</v>
      </c>
      <c r="G297" s="13">
        <v>46269.170428240737</v>
      </c>
      <c r="H297" s="13">
        <v>46269.170937499999</v>
      </c>
      <c r="I297">
        <v>44</v>
      </c>
      <c r="J297" t="s">
        <v>264</v>
      </c>
      <c r="K297">
        <v>1</v>
      </c>
      <c r="L297">
        <v>0.04</v>
      </c>
      <c r="M297">
        <v>0.04</v>
      </c>
      <c r="N297">
        <v>1</v>
      </c>
      <c r="O297">
        <v>0.04</v>
      </c>
      <c r="P297">
        <v>2.2799999999999998</v>
      </c>
      <c r="Q297">
        <v>4.32</v>
      </c>
      <c r="R297">
        <v>4</v>
      </c>
      <c r="S297" t="s">
        <v>256</v>
      </c>
      <c r="T297" t="s">
        <v>257</v>
      </c>
      <c r="U297">
        <v>11</v>
      </c>
      <c r="V297">
        <v>3546.07</v>
      </c>
      <c r="W297">
        <v>4999.32</v>
      </c>
      <c r="X297">
        <v>4997.72</v>
      </c>
      <c r="Y297">
        <v>0</v>
      </c>
      <c r="Z297">
        <v>0</v>
      </c>
      <c r="AA297">
        <v>35</v>
      </c>
      <c r="AB297">
        <v>50</v>
      </c>
      <c r="AC297">
        <v>5000</v>
      </c>
      <c r="AD297">
        <v>0</v>
      </c>
      <c r="AE297">
        <v>0</v>
      </c>
      <c r="AF297">
        <v>3549.63</v>
      </c>
      <c r="AG297">
        <v>3549.63</v>
      </c>
      <c r="AH297" s="14">
        <v>46269</v>
      </c>
      <c r="AI297" t="s">
        <v>258</v>
      </c>
      <c r="AJ297" s="13">
        <v>46262.213402777779</v>
      </c>
      <c r="AK297">
        <v>6066.68</v>
      </c>
      <c r="AL297" t="s">
        <v>259</v>
      </c>
      <c r="AM297" t="s">
        <v>260</v>
      </c>
      <c r="AN297">
        <v>1400</v>
      </c>
      <c r="AO297">
        <v>0</v>
      </c>
      <c r="AP297">
        <v>35</v>
      </c>
      <c r="AQ297">
        <v>85</v>
      </c>
      <c r="AR297">
        <v>35</v>
      </c>
      <c r="AS297">
        <v>2</v>
      </c>
      <c r="AT297">
        <v>23</v>
      </c>
      <c r="AU297">
        <v>1</v>
      </c>
      <c r="AV297">
        <v>0</v>
      </c>
      <c r="AW297">
        <v>10</v>
      </c>
      <c r="AX297">
        <v>1</v>
      </c>
      <c r="AY297">
        <v>10</v>
      </c>
      <c r="AZ297">
        <v>5</v>
      </c>
      <c r="BA297">
        <v>1</v>
      </c>
      <c r="BB297">
        <v>1440</v>
      </c>
      <c r="BC297">
        <v>0</v>
      </c>
      <c r="BD297">
        <v>0</v>
      </c>
      <c r="BE297">
        <v>14</v>
      </c>
      <c r="BF297">
        <v>25</v>
      </c>
      <c r="BG297">
        <v>3</v>
      </c>
      <c r="BH297">
        <v>8</v>
      </c>
      <c r="BI297">
        <v>3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0</v>
      </c>
      <c r="BQ297">
        <v>60</v>
      </c>
      <c r="BR297">
        <v>0</v>
      </c>
      <c r="BS297">
        <v>3</v>
      </c>
      <c r="BT297" t="s">
        <v>243</v>
      </c>
      <c r="BU297" t="s">
        <v>261</v>
      </c>
      <c r="BV297" t="b">
        <v>0</v>
      </c>
      <c r="BW297" t="s">
        <v>262</v>
      </c>
    </row>
    <row r="298" spans="1:75">
      <c r="A298" t="s">
        <v>243</v>
      </c>
      <c r="B298" t="s">
        <v>252</v>
      </c>
      <c r="C298">
        <v>1211</v>
      </c>
      <c r="D298" t="s">
        <v>253</v>
      </c>
      <c r="E298" t="s">
        <v>254</v>
      </c>
      <c r="F298">
        <v>5</v>
      </c>
      <c r="G298" s="13">
        <v>46269.174849537034</v>
      </c>
      <c r="H298" s="13">
        <v>46269.174884259257</v>
      </c>
      <c r="I298">
        <v>3</v>
      </c>
      <c r="J298" t="s">
        <v>255</v>
      </c>
      <c r="K298">
        <v>1</v>
      </c>
      <c r="L298">
        <v>0.04</v>
      </c>
      <c r="M298">
        <v>0.04</v>
      </c>
      <c r="N298">
        <v>1</v>
      </c>
      <c r="O298">
        <v>0.04</v>
      </c>
      <c r="P298">
        <v>0.68</v>
      </c>
      <c r="Q298">
        <v>4.32</v>
      </c>
      <c r="R298">
        <v>2.64</v>
      </c>
      <c r="S298" t="s">
        <v>256</v>
      </c>
      <c r="T298" t="s">
        <v>257</v>
      </c>
      <c r="U298">
        <v>11</v>
      </c>
      <c r="V298">
        <v>3548.95</v>
      </c>
      <c r="W298">
        <v>4999.32</v>
      </c>
      <c r="X298">
        <v>4999.32</v>
      </c>
      <c r="Y298">
        <v>0</v>
      </c>
      <c r="Z298">
        <v>0</v>
      </c>
      <c r="AA298">
        <v>35</v>
      </c>
      <c r="AB298">
        <v>50</v>
      </c>
      <c r="AC298">
        <v>5000</v>
      </c>
      <c r="AD298">
        <v>0</v>
      </c>
      <c r="AE298">
        <v>0</v>
      </c>
      <c r="AF298">
        <v>3552.47</v>
      </c>
      <c r="AG298">
        <v>3552.47</v>
      </c>
      <c r="AH298" s="14">
        <v>46269</v>
      </c>
      <c r="AI298" t="s">
        <v>258</v>
      </c>
      <c r="AJ298" s="13">
        <v>46262.213402777779</v>
      </c>
      <c r="AK298">
        <v>6066.68</v>
      </c>
      <c r="AL298" t="s">
        <v>259</v>
      </c>
      <c r="AM298" t="s">
        <v>260</v>
      </c>
      <c r="AN298">
        <v>1400</v>
      </c>
      <c r="AO298">
        <v>0</v>
      </c>
      <c r="AP298">
        <v>35</v>
      </c>
      <c r="AQ298">
        <v>85</v>
      </c>
      <c r="AR298">
        <v>35</v>
      </c>
      <c r="AS298">
        <v>2</v>
      </c>
      <c r="AT298">
        <v>23</v>
      </c>
      <c r="AU298">
        <v>1</v>
      </c>
      <c r="AV298">
        <v>0</v>
      </c>
      <c r="AW298">
        <v>10</v>
      </c>
      <c r="AX298">
        <v>1</v>
      </c>
      <c r="AY298">
        <v>10</v>
      </c>
      <c r="AZ298">
        <v>5</v>
      </c>
      <c r="BA298">
        <v>1</v>
      </c>
      <c r="BB298">
        <v>1440</v>
      </c>
      <c r="BC298">
        <v>0</v>
      </c>
      <c r="BD298">
        <v>0</v>
      </c>
      <c r="BE298">
        <v>14</v>
      </c>
      <c r="BF298">
        <v>25</v>
      </c>
      <c r="BG298">
        <v>3</v>
      </c>
      <c r="BH298">
        <v>8</v>
      </c>
      <c r="BI298">
        <v>3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0</v>
      </c>
      <c r="BQ298">
        <v>60</v>
      </c>
      <c r="BR298">
        <v>0</v>
      </c>
      <c r="BS298">
        <v>3</v>
      </c>
      <c r="BT298" t="s">
        <v>243</v>
      </c>
      <c r="BU298" t="s">
        <v>261</v>
      </c>
      <c r="BV298" t="b">
        <v>0</v>
      </c>
      <c r="BW298" t="s">
        <v>262</v>
      </c>
    </row>
    <row r="299" spans="1:75">
      <c r="A299" t="s">
        <v>243</v>
      </c>
      <c r="B299" t="s">
        <v>252</v>
      </c>
      <c r="C299">
        <v>1212</v>
      </c>
      <c r="D299" t="s">
        <v>253</v>
      </c>
      <c r="E299" t="s">
        <v>254</v>
      </c>
      <c r="F299">
        <v>5</v>
      </c>
      <c r="G299" s="13">
        <v>46269.177418981482</v>
      </c>
      <c r="H299" s="13">
        <v>46269.178819444445</v>
      </c>
      <c r="I299">
        <v>121</v>
      </c>
      <c r="J299" t="s">
        <v>255</v>
      </c>
      <c r="K299">
        <v>1</v>
      </c>
      <c r="L299">
        <v>0.04</v>
      </c>
      <c r="M299">
        <v>0.04</v>
      </c>
      <c r="N299">
        <v>1</v>
      </c>
      <c r="O299">
        <v>0.04</v>
      </c>
      <c r="P299">
        <v>6.72</v>
      </c>
      <c r="Q299">
        <v>4.16</v>
      </c>
      <c r="R299">
        <v>2.88</v>
      </c>
      <c r="S299" t="s">
        <v>256</v>
      </c>
      <c r="T299" t="s">
        <v>257</v>
      </c>
      <c r="U299">
        <v>10</v>
      </c>
      <c r="V299">
        <v>3551.95</v>
      </c>
      <c r="W299">
        <v>4999.4799999999996</v>
      </c>
      <c r="X299">
        <v>4993.28</v>
      </c>
      <c r="Y299">
        <v>0</v>
      </c>
      <c r="Z299">
        <v>0</v>
      </c>
      <c r="AA299">
        <v>35</v>
      </c>
      <c r="AB299">
        <v>50</v>
      </c>
      <c r="AC299">
        <v>5000</v>
      </c>
      <c r="AD299">
        <v>0</v>
      </c>
      <c r="AE299">
        <v>0</v>
      </c>
      <c r="AF299">
        <v>3555.23</v>
      </c>
      <c r="AG299">
        <v>3555.23</v>
      </c>
      <c r="AH299" s="14">
        <v>46269</v>
      </c>
      <c r="AI299" t="s">
        <v>258</v>
      </c>
      <c r="AJ299" s="13">
        <v>46262.213402777779</v>
      </c>
      <c r="AK299">
        <v>6066.68</v>
      </c>
      <c r="AL299" t="s">
        <v>259</v>
      </c>
      <c r="AM299" t="s">
        <v>260</v>
      </c>
      <c r="AN299">
        <v>1400</v>
      </c>
      <c r="AO299">
        <v>0</v>
      </c>
      <c r="AP299">
        <v>35</v>
      </c>
      <c r="AQ299">
        <v>85</v>
      </c>
      <c r="AR299">
        <v>35</v>
      </c>
      <c r="AS299">
        <v>2</v>
      </c>
      <c r="AT299">
        <v>23</v>
      </c>
      <c r="AU299">
        <v>1</v>
      </c>
      <c r="AV299">
        <v>0</v>
      </c>
      <c r="AW299">
        <v>10</v>
      </c>
      <c r="AX299">
        <v>1</v>
      </c>
      <c r="AY299">
        <v>10</v>
      </c>
      <c r="AZ299">
        <v>5</v>
      </c>
      <c r="BA299">
        <v>1</v>
      </c>
      <c r="BB299">
        <v>1440</v>
      </c>
      <c r="BC299">
        <v>0</v>
      </c>
      <c r="BD299">
        <v>0</v>
      </c>
      <c r="BE299">
        <v>14</v>
      </c>
      <c r="BF299">
        <v>25</v>
      </c>
      <c r="BG299">
        <v>3</v>
      </c>
      <c r="BH299">
        <v>8</v>
      </c>
      <c r="BI299">
        <v>3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0</v>
      </c>
      <c r="BQ299">
        <v>60</v>
      </c>
      <c r="BR299">
        <v>0</v>
      </c>
      <c r="BS299">
        <v>3</v>
      </c>
      <c r="BT299" t="s">
        <v>243</v>
      </c>
      <c r="BU299" t="s">
        <v>261</v>
      </c>
      <c r="BV299" t="b">
        <v>0</v>
      </c>
      <c r="BW299" t="s">
        <v>262</v>
      </c>
    </row>
    <row r="300" spans="1:75">
      <c r="A300" t="s">
        <v>243</v>
      </c>
      <c r="B300" t="s">
        <v>252</v>
      </c>
      <c r="C300">
        <v>1213</v>
      </c>
      <c r="D300" t="s">
        <v>253</v>
      </c>
      <c r="E300" t="s">
        <v>254</v>
      </c>
      <c r="F300">
        <v>5</v>
      </c>
      <c r="G300" s="13">
        <v>46269.182187500002</v>
      </c>
      <c r="H300" s="13">
        <v>46269.192511574074</v>
      </c>
      <c r="I300">
        <v>892</v>
      </c>
      <c r="J300" t="s">
        <v>255</v>
      </c>
      <c r="K300">
        <v>3</v>
      </c>
      <c r="L300">
        <v>0.12</v>
      </c>
      <c r="M300">
        <v>0.04</v>
      </c>
      <c r="N300">
        <v>3</v>
      </c>
      <c r="O300">
        <v>0.12</v>
      </c>
      <c r="P300">
        <v>54.88</v>
      </c>
      <c r="Q300">
        <v>16.28</v>
      </c>
      <c r="R300">
        <v>11.24</v>
      </c>
      <c r="S300" t="s">
        <v>263</v>
      </c>
      <c r="T300" t="s">
        <v>257</v>
      </c>
      <c r="U300">
        <v>11</v>
      </c>
      <c r="V300">
        <v>3554.59</v>
      </c>
      <c r="W300">
        <v>4999.3599999999997</v>
      </c>
      <c r="X300">
        <v>4945.12</v>
      </c>
      <c r="Y300">
        <v>0</v>
      </c>
      <c r="Z300">
        <v>0</v>
      </c>
      <c r="AA300">
        <v>35</v>
      </c>
      <c r="AB300">
        <v>50</v>
      </c>
      <c r="AC300">
        <v>5000</v>
      </c>
      <c r="AD300">
        <v>0</v>
      </c>
      <c r="AE300">
        <v>0</v>
      </c>
      <c r="AF300">
        <v>3566.35</v>
      </c>
      <c r="AG300">
        <v>3566.35</v>
      </c>
      <c r="AH300" s="14">
        <v>46269</v>
      </c>
      <c r="AI300" t="s">
        <v>258</v>
      </c>
      <c r="AJ300" s="13">
        <v>46262.213402777779</v>
      </c>
      <c r="AK300">
        <v>6066.68</v>
      </c>
      <c r="AL300" t="s">
        <v>259</v>
      </c>
      <c r="AM300" t="s">
        <v>260</v>
      </c>
      <c r="AN300">
        <v>1400</v>
      </c>
      <c r="AO300">
        <v>0</v>
      </c>
      <c r="AP300">
        <v>35</v>
      </c>
      <c r="AQ300">
        <v>85</v>
      </c>
      <c r="AR300">
        <v>35</v>
      </c>
      <c r="AS300">
        <v>2</v>
      </c>
      <c r="AT300">
        <v>23</v>
      </c>
      <c r="AU300">
        <v>1</v>
      </c>
      <c r="AV300">
        <v>0</v>
      </c>
      <c r="AW300">
        <v>10</v>
      </c>
      <c r="AX300">
        <v>1</v>
      </c>
      <c r="AY300">
        <v>10</v>
      </c>
      <c r="AZ300">
        <v>5</v>
      </c>
      <c r="BA300">
        <v>1</v>
      </c>
      <c r="BB300">
        <v>1440</v>
      </c>
      <c r="BC300">
        <v>0</v>
      </c>
      <c r="BD300">
        <v>0</v>
      </c>
      <c r="BE300">
        <v>14</v>
      </c>
      <c r="BF300">
        <v>25</v>
      </c>
      <c r="BG300">
        <v>3</v>
      </c>
      <c r="BH300">
        <v>8</v>
      </c>
      <c r="BI300">
        <v>3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0</v>
      </c>
      <c r="BQ300">
        <v>60</v>
      </c>
      <c r="BR300">
        <v>0</v>
      </c>
      <c r="BS300">
        <v>3</v>
      </c>
      <c r="BT300" t="s">
        <v>243</v>
      </c>
      <c r="BU300" t="s">
        <v>261</v>
      </c>
      <c r="BV300" t="b">
        <v>0</v>
      </c>
      <c r="BW300" t="s">
        <v>262</v>
      </c>
    </row>
    <row r="301" spans="1:75">
      <c r="A301" t="s">
        <v>243</v>
      </c>
      <c r="B301" t="s">
        <v>252</v>
      </c>
      <c r="C301">
        <v>1214</v>
      </c>
      <c r="D301" t="s">
        <v>253</v>
      </c>
      <c r="E301" t="s">
        <v>254</v>
      </c>
      <c r="F301">
        <v>5</v>
      </c>
      <c r="G301" s="13">
        <v>46269.195648148147</v>
      </c>
      <c r="H301" s="13">
        <v>46269.205729166664</v>
      </c>
      <c r="I301">
        <v>871</v>
      </c>
      <c r="J301" t="s">
        <v>255</v>
      </c>
      <c r="K301">
        <v>2</v>
      </c>
      <c r="L301">
        <v>0.08</v>
      </c>
      <c r="M301">
        <v>0.04</v>
      </c>
      <c r="N301">
        <v>2</v>
      </c>
      <c r="O301">
        <v>0.08</v>
      </c>
      <c r="P301">
        <v>39.04</v>
      </c>
      <c r="Q301">
        <v>14.36</v>
      </c>
      <c r="R301">
        <v>5.4</v>
      </c>
      <c r="S301" t="s">
        <v>263</v>
      </c>
      <c r="T301" t="s">
        <v>257</v>
      </c>
      <c r="U301">
        <v>10</v>
      </c>
      <c r="V301">
        <v>3565.71</v>
      </c>
      <c r="W301">
        <v>4999.3599999999997</v>
      </c>
      <c r="X301">
        <v>4960.96</v>
      </c>
      <c r="Y301">
        <v>0</v>
      </c>
      <c r="Z301">
        <v>0</v>
      </c>
      <c r="AA301">
        <v>35</v>
      </c>
      <c r="AB301">
        <v>50</v>
      </c>
      <c r="AC301">
        <v>5000</v>
      </c>
      <c r="AD301">
        <v>0</v>
      </c>
      <c r="AE301">
        <v>0</v>
      </c>
      <c r="AF301">
        <v>3573.95</v>
      </c>
      <c r="AG301">
        <v>3573.95</v>
      </c>
      <c r="AH301" s="14">
        <v>46269</v>
      </c>
      <c r="AI301" t="s">
        <v>258</v>
      </c>
      <c r="AJ301" s="13">
        <v>46262.213402777779</v>
      </c>
      <c r="AK301">
        <v>6066.68</v>
      </c>
      <c r="AL301" t="s">
        <v>259</v>
      </c>
      <c r="AM301" t="s">
        <v>260</v>
      </c>
      <c r="AN301">
        <v>1400</v>
      </c>
      <c r="AO301">
        <v>0</v>
      </c>
      <c r="AP301">
        <v>35</v>
      </c>
      <c r="AQ301">
        <v>85</v>
      </c>
      <c r="AR301">
        <v>35</v>
      </c>
      <c r="AS301">
        <v>2</v>
      </c>
      <c r="AT301">
        <v>23</v>
      </c>
      <c r="AU301">
        <v>1</v>
      </c>
      <c r="AV301">
        <v>0</v>
      </c>
      <c r="AW301">
        <v>10</v>
      </c>
      <c r="AX301">
        <v>1</v>
      </c>
      <c r="AY301">
        <v>10</v>
      </c>
      <c r="AZ301">
        <v>5</v>
      </c>
      <c r="BA301">
        <v>1</v>
      </c>
      <c r="BB301">
        <v>1440</v>
      </c>
      <c r="BC301">
        <v>0</v>
      </c>
      <c r="BD301">
        <v>0</v>
      </c>
      <c r="BE301">
        <v>14</v>
      </c>
      <c r="BF301">
        <v>25</v>
      </c>
      <c r="BG301">
        <v>3</v>
      </c>
      <c r="BH301">
        <v>8</v>
      </c>
      <c r="BI301">
        <v>3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0</v>
      </c>
      <c r="BQ301">
        <v>60</v>
      </c>
      <c r="BR301">
        <v>0</v>
      </c>
      <c r="BS301">
        <v>3</v>
      </c>
      <c r="BT301" t="s">
        <v>243</v>
      </c>
      <c r="BU301" t="s">
        <v>261</v>
      </c>
      <c r="BV301" t="b">
        <v>0</v>
      </c>
      <c r="BW301" t="s">
        <v>262</v>
      </c>
    </row>
    <row r="302" spans="1:75">
      <c r="A302" t="s">
        <v>243</v>
      </c>
      <c r="B302" t="s">
        <v>252</v>
      </c>
      <c r="C302">
        <v>1215</v>
      </c>
      <c r="D302" t="s">
        <v>253</v>
      </c>
      <c r="E302" t="s">
        <v>254</v>
      </c>
      <c r="F302">
        <v>5</v>
      </c>
      <c r="G302" s="13">
        <v>46269.206388888888</v>
      </c>
      <c r="H302" s="13">
        <v>46269.207546296297</v>
      </c>
      <c r="I302">
        <v>100</v>
      </c>
      <c r="J302" t="s">
        <v>255</v>
      </c>
      <c r="K302">
        <v>1</v>
      </c>
      <c r="L302">
        <v>0.04</v>
      </c>
      <c r="M302">
        <v>0.04</v>
      </c>
      <c r="N302">
        <v>1</v>
      </c>
      <c r="O302">
        <v>0.04</v>
      </c>
      <c r="P302">
        <v>4.5599999999999996</v>
      </c>
      <c r="Q302">
        <v>13.6</v>
      </c>
      <c r="R302">
        <v>12.4</v>
      </c>
      <c r="S302" t="s">
        <v>256</v>
      </c>
      <c r="T302" t="s">
        <v>257</v>
      </c>
      <c r="U302">
        <v>10</v>
      </c>
      <c r="V302">
        <v>3573.31</v>
      </c>
      <c r="W302">
        <v>4999.3599999999997</v>
      </c>
      <c r="X302">
        <v>4995.4399999999996</v>
      </c>
      <c r="Y302">
        <v>0</v>
      </c>
      <c r="Z302">
        <v>0</v>
      </c>
      <c r="AA302">
        <v>35</v>
      </c>
      <c r="AB302">
        <v>50</v>
      </c>
      <c r="AC302">
        <v>5000</v>
      </c>
      <c r="AD302">
        <v>0</v>
      </c>
      <c r="AE302">
        <v>0</v>
      </c>
      <c r="AF302">
        <v>3586.15</v>
      </c>
      <c r="AG302">
        <v>3586.15</v>
      </c>
      <c r="AH302" s="14">
        <v>46269</v>
      </c>
      <c r="AI302" t="s">
        <v>258</v>
      </c>
      <c r="AJ302" s="13">
        <v>46262.213402777779</v>
      </c>
      <c r="AK302">
        <v>6066.68</v>
      </c>
      <c r="AL302" t="s">
        <v>259</v>
      </c>
      <c r="AM302" t="s">
        <v>260</v>
      </c>
      <c r="AN302">
        <v>1400</v>
      </c>
      <c r="AO302">
        <v>0</v>
      </c>
      <c r="AP302">
        <v>35</v>
      </c>
      <c r="AQ302">
        <v>85</v>
      </c>
      <c r="AR302">
        <v>35</v>
      </c>
      <c r="AS302">
        <v>2</v>
      </c>
      <c r="AT302">
        <v>23</v>
      </c>
      <c r="AU302">
        <v>1</v>
      </c>
      <c r="AV302">
        <v>0</v>
      </c>
      <c r="AW302">
        <v>10</v>
      </c>
      <c r="AX302">
        <v>1</v>
      </c>
      <c r="AY302">
        <v>10</v>
      </c>
      <c r="AZ302">
        <v>5</v>
      </c>
      <c r="BA302">
        <v>1</v>
      </c>
      <c r="BB302">
        <v>1440</v>
      </c>
      <c r="BC302">
        <v>0</v>
      </c>
      <c r="BD302">
        <v>0</v>
      </c>
      <c r="BE302">
        <v>14</v>
      </c>
      <c r="BF302">
        <v>25</v>
      </c>
      <c r="BG302">
        <v>3</v>
      </c>
      <c r="BH302">
        <v>8</v>
      </c>
      <c r="BI302">
        <v>3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0</v>
      </c>
      <c r="BQ302">
        <v>60</v>
      </c>
      <c r="BR302">
        <v>0</v>
      </c>
      <c r="BS302">
        <v>3</v>
      </c>
      <c r="BT302" t="s">
        <v>243</v>
      </c>
      <c r="BU302" t="s">
        <v>261</v>
      </c>
      <c r="BV302" t="b">
        <v>0</v>
      </c>
      <c r="BW302" t="s">
        <v>262</v>
      </c>
    </row>
    <row r="303" spans="1:75">
      <c r="A303" t="s">
        <v>243</v>
      </c>
      <c r="B303" t="s">
        <v>252</v>
      </c>
      <c r="C303">
        <v>1216</v>
      </c>
      <c r="D303" t="s">
        <v>253</v>
      </c>
      <c r="E303" t="s">
        <v>254</v>
      </c>
      <c r="F303">
        <v>5</v>
      </c>
      <c r="G303" s="13">
        <v>46269.210486111115</v>
      </c>
      <c r="H303" s="13">
        <v>46269.243877314817</v>
      </c>
      <c r="I303">
        <v>2885</v>
      </c>
      <c r="J303" t="s">
        <v>255</v>
      </c>
      <c r="K303">
        <v>4</v>
      </c>
      <c r="L303">
        <v>0.16</v>
      </c>
      <c r="M303">
        <v>0.04</v>
      </c>
      <c r="N303">
        <v>4</v>
      </c>
      <c r="O303">
        <v>0.16</v>
      </c>
      <c r="P303">
        <v>86.44</v>
      </c>
      <c r="Q303">
        <v>19.04</v>
      </c>
      <c r="R303">
        <v>13.92</v>
      </c>
      <c r="S303" t="s">
        <v>263</v>
      </c>
      <c r="T303" t="s">
        <v>257</v>
      </c>
      <c r="U303">
        <v>10</v>
      </c>
      <c r="V303">
        <v>3585.51</v>
      </c>
      <c r="W303">
        <v>4999.3599999999997</v>
      </c>
      <c r="X303">
        <v>4913.5600000000004</v>
      </c>
      <c r="Y303">
        <v>0</v>
      </c>
      <c r="Z303">
        <v>0</v>
      </c>
      <c r="AA303">
        <v>35</v>
      </c>
      <c r="AB303">
        <v>50</v>
      </c>
      <c r="AC303">
        <v>5000</v>
      </c>
      <c r="AD303">
        <v>0</v>
      </c>
      <c r="AE303">
        <v>0</v>
      </c>
      <c r="AF303">
        <v>3600.67</v>
      </c>
      <c r="AG303">
        <v>3600.67</v>
      </c>
      <c r="AH303" s="14">
        <v>46269</v>
      </c>
      <c r="AI303" t="s">
        <v>258</v>
      </c>
      <c r="AJ303" s="13">
        <v>46262.213402777779</v>
      </c>
      <c r="AK303">
        <v>6066.68</v>
      </c>
      <c r="AL303" t="s">
        <v>259</v>
      </c>
      <c r="AM303" t="s">
        <v>260</v>
      </c>
      <c r="AN303">
        <v>1400</v>
      </c>
      <c r="AO303">
        <v>0</v>
      </c>
      <c r="AP303">
        <v>35</v>
      </c>
      <c r="AQ303">
        <v>85</v>
      </c>
      <c r="AR303">
        <v>35</v>
      </c>
      <c r="AS303">
        <v>2</v>
      </c>
      <c r="AT303">
        <v>23</v>
      </c>
      <c r="AU303">
        <v>1</v>
      </c>
      <c r="AV303">
        <v>0</v>
      </c>
      <c r="AW303">
        <v>10</v>
      </c>
      <c r="AX303">
        <v>1</v>
      </c>
      <c r="AY303">
        <v>10</v>
      </c>
      <c r="AZ303">
        <v>5</v>
      </c>
      <c r="BA303">
        <v>1</v>
      </c>
      <c r="BB303">
        <v>1440</v>
      </c>
      <c r="BC303">
        <v>0</v>
      </c>
      <c r="BD303">
        <v>0</v>
      </c>
      <c r="BE303">
        <v>14</v>
      </c>
      <c r="BF303">
        <v>25</v>
      </c>
      <c r="BG303">
        <v>3</v>
      </c>
      <c r="BH303">
        <v>8</v>
      </c>
      <c r="BI303">
        <v>3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0</v>
      </c>
      <c r="BQ303">
        <v>60</v>
      </c>
      <c r="BR303">
        <v>0</v>
      </c>
      <c r="BS303">
        <v>3</v>
      </c>
      <c r="BT303" t="s">
        <v>243</v>
      </c>
      <c r="BU303" t="s">
        <v>261</v>
      </c>
      <c r="BV303" t="b">
        <v>0</v>
      </c>
      <c r="BW303" t="s">
        <v>262</v>
      </c>
    </row>
    <row r="304" spans="1:75">
      <c r="A304" t="s">
        <v>243</v>
      </c>
      <c r="B304" t="s">
        <v>252</v>
      </c>
      <c r="C304">
        <v>1217</v>
      </c>
      <c r="D304" t="s">
        <v>253</v>
      </c>
      <c r="E304" t="s">
        <v>254</v>
      </c>
      <c r="F304">
        <v>5</v>
      </c>
      <c r="G304" s="13">
        <v>46269.246215277781</v>
      </c>
      <c r="H304" s="13">
        <v>46269.246678240743</v>
      </c>
      <c r="I304">
        <v>40</v>
      </c>
      <c r="J304" t="s">
        <v>255</v>
      </c>
      <c r="K304">
        <v>1</v>
      </c>
      <c r="L304">
        <v>0.04</v>
      </c>
      <c r="M304">
        <v>0.04</v>
      </c>
      <c r="N304">
        <v>1</v>
      </c>
      <c r="O304">
        <v>0.04</v>
      </c>
      <c r="P304">
        <v>1.96</v>
      </c>
      <c r="Q304">
        <v>6.48</v>
      </c>
      <c r="R304">
        <v>5.76</v>
      </c>
      <c r="S304" t="s">
        <v>256</v>
      </c>
      <c r="T304" t="s">
        <v>257</v>
      </c>
      <c r="U304">
        <v>10</v>
      </c>
      <c r="V304">
        <v>3600.03</v>
      </c>
      <c r="W304">
        <v>4999.3599999999997</v>
      </c>
      <c r="X304">
        <v>4998.04</v>
      </c>
      <c r="Y304">
        <v>0</v>
      </c>
      <c r="Z304">
        <v>0</v>
      </c>
      <c r="AA304">
        <v>35</v>
      </c>
      <c r="AB304">
        <v>50</v>
      </c>
      <c r="AC304">
        <v>5000</v>
      </c>
      <c r="AD304">
        <v>0</v>
      </c>
      <c r="AE304">
        <v>0</v>
      </c>
      <c r="AF304">
        <v>3605.75</v>
      </c>
      <c r="AG304">
        <v>3605.75</v>
      </c>
      <c r="AH304" s="14">
        <v>46269</v>
      </c>
      <c r="AI304" t="s">
        <v>258</v>
      </c>
      <c r="AJ304" s="13">
        <v>46262.213402777779</v>
      </c>
      <c r="AK304">
        <v>6066.68</v>
      </c>
      <c r="AL304" t="s">
        <v>259</v>
      </c>
      <c r="AM304" t="s">
        <v>260</v>
      </c>
      <c r="AN304">
        <v>1400</v>
      </c>
      <c r="AO304">
        <v>0</v>
      </c>
      <c r="AP304">
        <v>35</v>
      </c>
      <c r="AQ304">
        <v>85</v>
      </c>
      <c r="AR304">
        <v>35</v>
      </c>
      <c r="AS304">
        <v>2</v>
      </c>
      <c r="AT304">
        <v>23</v>
      </c>
      <c r="AU304">
        <v>1</v>
      </c>
      <c r="AV304">
        <v>0</v>
      </c>
      <c r="AW304">
        <v>10</v>
      </c>
      <c r="AX304">
        <v>1</v>
      </c>
      <c r="AY304">
        <v>10</v>
      </c>
      <c r="AZ304">
        <v>5</v>
      </c>
      <c r="BA304">
        <v>1</v>
      </c>
      <c r="BB304">
        <v>1440</v>
      </c>
      <c r="BC304">
        <v>0</v>
      </c>
      <c r="BD304">
        <v>0</v>
      </c>
      <c r="BE304">
        <v>14</v>
      </c>
      <c r="BF304">
        <v>25</v>
      </c>
      <c r="BG304">
        <v>3</v>
      </c>
      <c r="BH304">
        <v>8</v>
      </c>
      <c r="BI304">
        <v>3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0</v>
      </c>
      <c r="BQ304">
        <v>60</v>
      </c>
      <c r="BR304">
        <v>0</v>
      </c>
      <c r="BS304">
        <v>3</v>
      </c>
      <c r="BT304" t="s">
        <v>243</v>
      </c>
      <c r="BU304" t="s">
        <v>261</v>
      </c>
      <c r="BV304" t="b">
        <v>0</v>
      </c>
      <c r="BW304" t="s">
        <v>262</v>
      </c>
    </row>
    <row r="305" spans="1:75">
      <c r="A305" t="s">
        <v>243</v>
      </c>
      <c r="B305" t="s">
        <v>252</v>
      </c>
      <c r="C305">
        <v>1218</v>
      </c>
      <c r="D305" t="s">
        <v>253</v>
      </c>
      <c r="E305" t="s">
        <v>254</v>
      </c>
      <c r="F305">
        <v>5</v>
      </c>
      <c r="G305" s="13">
        <v>46269.24796296296</v>
      </c>
      <c r="H305" s="13">
        <v>46269.248182870368</v>
      </c>
      <c r="I305">
        <v>19</v>
      </c>
      <c r="J305" t="s">
        <v>264</v>
      </c>
      <c r="K305">
        <v>1</v>
      </c>
      <c r="L305">
        <v>0.04</v>
      </c>
      <c r="M305">
        <v>0.04</v>
      </c>
      <c r="N305">
        <v>1</v>
      </c>
      <c r="O305">
        <v>0.04</v>
      </c>
      <c r="P305">
        <v>1.48</v>
      </c>
      <c r="Q305">
        <v>4.08</v>
      </c>
      <c r="R305">
        <v>3.88</v>
      </c>
      <c r="S305" t="s">
        <v>256</v>
      </c>
      <c r="T305" t="s">
        <v>257</v>
      </c>
      <c r="U305">
        <v>11</v>
      </c>
      <c r="V305">
        <v>3605.07</v>
      </c>
      <c r="W305">
        <v>4999.32</v>
      </c>
      <c r="X305">
        <v>4998.5200000000004</v>
      </c>
      <c r="Y305">
        <v>0</v>
      </c>
      <c r="Z305">
        <v>0</v>
      </c>
      <c r="AA305">
        <v>35</v>
      </c>
      <c r="AB305">
        <v>50</v>
      </c>
      <c r="AC305">
        <v>5000</v>
      </c>
      <c r="AD305">
        <v>0</v>
      </c>
      <c r="AE305">
        <v>0</v>
      </c>
      <c r="AF305">
        <v>3608.43</v>
      </c>
      <c r="AG305">
        <v>3608.43</v>
      </c>
      <c r="AH305" s="14">
        <v>46269</v>
      </c>
      <c r="AI305" t="s">
        <v>258</v>
      </c>
      <c r="AJ305" s="13">
        <v>46262.213402777779</v>
      </c>
      <c r="AK305">
        <v>6066.68</v>
      </c>
      <c r="AL305" t="s">
        <v>259</v>
      </c>
      <c r="AM305" t="s">
        <v>260</v>
      </c>
      <c r="AN305">
        <v>1400</v>
      </c>
      <c r="AO305">
        <v>0</v>
      </c>
      <c r="AP305">
        <v>35</v>
      </c>
      <c r="AQ305">
        <v>85</v>
      </c>
      <c r="AR305">
        <v>35</v>
      </c>
      <c r="AS305">
        <v>2</v>
      </c>
      <c r="AT305">
        <v>23</v>
      </c>
      <c r="AU305">
        <v>1</v>
      </c>
      <c r="AV305">
        <v>0</v>
      </c>
      <c r="AW305">
        <v>10</v>
      </c>
      <c r="AX305">
        <v>1</v>
      </c>
      <c r="AY305">
        <v>10</v>
      </c>
      <c r="AZ305">
        <v>5</v>
      </c>
      <c r="BA305">
        <v>1</v>
      </c>
      <c r="BB305">
        <v>1440</v>
      </c>
      <c r="BC305">
        <v>0</v>
      </c>
      <c r="BD305">
        <v>0</v>
      </c>
      <c r="BE305">
        <v>14</v>
      </c>
      <c r="BF305">
        <v>25</v>
      </c>
      <c r="BG305">
        <v>3</v>
      </c>
      <c r="BH305">
        <v>8</v>
      </c>
      <c r="BI305">
        <v>3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0</v>
      </c>
      <c r="BQ305">
        <v>60</v>
      </c>
      <c r="BR305">
        <v>0</v>
      </c>
      <c r="BS305">
        <v>3</v>
      </c>
      <c r="BT305" t="s">
        <v>243</v>
      </c>
      <c r="BU305" t="s">
        <v>261</v>
      </c>
      <c r="BV305" t="b">
        <v>0</v>
      </c>
      <c r="BW305" t="s">
        <v>262</v>
      </c>
    </row>
    <row r="306" spans="1:75">
      <c r="A306" t="s">
        <v>243</v>
      </c>
      <c r="B306" t="s">
        <v>252</v>
      </c>
      <c r="C306">
        <v>1219</v>
      </c>
      <c r="D306" t="s">
        <v>253</v>
      </c>
      <c r="E306" t="s">
        <v>254</v>
      </c>
      <c r="F306">
        <v>5</v>
      </c>
      <c r="G306" s="13">
        <v>46269.256712962961</v>
      </c>
      <c r="H306" s="13">
        <v>46269.256874999999</v>
      </c>
      <c r="I306">
        <v>14</v>
      </c>
      <c r="J306" t="s">
        <v>264</v>
      </c>
      <c r="K306">
        <v>1</v>
      </c>
      <c r="L306">
        <v>0.04</v>
      </c>
      <c r="M306">
        <v>0.04</v>
      </c>
      <c r="N306">
        <v>1</v>
      </c>
      <c r="O306">
        <v>0.04</v>
      </c>
      <c r="P306">
        <v>1.08</v>
      </c>
      <c r="Q306">
        <v>3.16</v>
      </c>
      <c r="R306">
        <v>1.96</v>
      </c>
      <c r="S306" t="s">
        <v>256</v>
      </c>
      <c r="T306" t="s">
        <v>257</v>
      </c>
      <c r="U306">
        <v>10</v>
      </c>
      <c r="V306">
        <v>3607.75</v>
      </c>
      <c r="W306">
        <v>4999.32</v>
      </c>
      <c r="X306">
        <v>4998.92</v>
      </c>
      <c r="Y306">
        <v>0</v>
      </c>
      <c r="Z306">
        <v>0</v>
      </c>
      <c r="AA306">
        <v>35</v>
      </c>
      <c r="AB306">
        <v>50</v>
      </c>
      <c r="AC306">
        <v>5000</v>
      </c>
      <c r="AD306">
        <v>0</v>
      </c>
      <c r="AE306">
        <v>0</v>
      </c>
      <c r="AF306">
        <v>3610.19</v>
      </c>
      <c r="AG306">
        <v>3610.19</v>
      </c>
      <c r="AH306" s="14">
        <v>46269</v>
      </c>
      <c r="AI306" t="s">
        <v>258</v>
      </c>
      <c r="AJ306" s="13">
        <v>46262.213402777779</v>
      </c>
      <c r="AK306">
        <v>6066.68</v>
      </c>
      <c r="AL306" t="s">
        <v>259</v>
      </c>
      <c r="AM306" t="s">
        <v>260</v>
      </c>
      <c r="AN306">
        <v>1400</v>
      </c>
      <c r="AO306">
        <v>0</v>
      </c>
      <c r="AP306">
        <v>35</v>
      </c>
      <c r="AQ306">
        <v>85</v>
      </c>
      <c r="AR306">
        <v>35</v>
      </c>
      <c r="AS306">
        <v>2</v>
      </c>
      <c r="AT306">
        <v>23</v>
      </c>
      <c r="AU306">
        <v>1</v>
      </c>
      <c r="AV306">
        <v>0</v>
      </c>
      <c r="AW306">
        <v>10</v>
      </c>
      <c r="AX306">
        <v>1</v>
      </c>
      <c r="AY306">
        <v>10</v>
      </c>
      <c r="AZ306">
        <v>5</v>
      </c>
      <c r="BA306">
        <v>1</v>
      </c>
      <c r="BB306">
        <v>1440</v>
      </c>
      <c r="BC306">
        <v>0</v>
      </c>
      <c r="BD306">
        <v>0</v>
      </c>
      <c r="BE306">
        <v>14</v>
      </c>
      <c r="BF306">
        <v>25</v>
      </c>
      <c r="BG306">
        <v>3</v>
      </c>
      <c r="BH306">
        <v>8</v>
      </c>
      <c r="BI306">
        <v>3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0</v>
      </c>
      <c r="BQ306">
        <v>60</v>
      </c>
      <c r="BR306">
        <v>0</v>
      </c>
      <c r="BS306">
        <v>3</v>
      </c>
      <c r="BT306" t="s">
        <v>243</v>
      </c>
      <c r="BU306" t="s">
        <v>261</v>
      </c>
      <c r="BV306" t="b">
        <v>0</v>
      </c>
      <c r="BW306" t="s">
        <v>262</v>
      </c>
    </row>
    <row r="307" spans="1:75">
      <c r="A307" t="s">
        <v>243</v>
      </c>
      <c r="B307" t="s">
        <v>252</v>
      </c>
      <c r="C307">
        <v>1220</v>
      </c>
      <c r="D307" t="s">
        <v>253</v>
      </c>
      <c r="E307" t="s">
        <v>254</v>
      </c>
      <c r="F307">
        <v>5</v>
      </c>
      <c r="G307" s="13">
        <v>46269.281030092592</v>
      </c>
      <c r="H307" s="13">
        <v>46269.285902777781</v>
      </c>
      <c r="I307">
        <v>421</v>
      </c>
      <c r="J307" t="s">
        <v>264</v>
      </c>
      <c r="K307">
        <v>1</v>
      </c>
      <c r="L307">
        <v>0.04</v>
      </c>
      <c r="M307">
        <v>0.04</v>
      </c>
      <c r="N307">
        <v>1</v>
      </c>
      <c r="O307">
        <v>0.04</v>
      </c>
      <c r="P307">
        <v>2.16</v>
      </c>
      <c r="Q307">
        <v>7.84</v>
      </c>
      <c r="R307">
        <v>6.56</v>
      </c>
      <c r="S307" t="s">
        <v>256</v>
      </c>
      <c r="T307" t="s">
        <v>257</v>
      </c>
      <c r="U307">
        <v>11</v>
      </c>
      <c r="V307">
        <v>3609.51</v>
      </c>
      <c r="W307">
        <v>4999.32</v>
      </c>
      <c r="X307">
        <v>4997.84</v>
      </c>
      <c r="Y307">
        <v>0</v>
      </c>
      <c r="Z307">
        <v>0</v>
      </c>
      <c r="AA307">
        <v>35</v>
      </c>
      <c r="AB307">
        <v>50</v>
      </c>
      <c r="AC307">
        <v>5000</v>
      </c>
      <c r="AD307">
        <v>0</v>
      </c>
      <c r="AE307">
        <v>0</v>
      </c>
      <c r="AF307">
        <v>3616.59</v>
      </c>
      <c r="AG307">
        <v>3616.59</v>
      </c>
      <c r="AH307" s="14">
        <v>46269</v>
      </c>
      <c r="AI307" t="s">
        <v>258</v>
      </c>
      <c r="AJ307" s="13">
        <v>46262.213402777779</v>
      </c>
      <c r="AK307">
        <v>6066.68</v>
      </c>
      <c r="AL307" t="s">
        <v>259</v>
      </c>
      <c r="AM307" t="s">
        <v>260</v>
      </c>
      <c r="AN307">
        <v>1400</v>
      </c>
      <c r="AO307">
        <v>0</v>
      </c>
      <c r="AP307">
        <v>35</v>
      </c>
      <c r="AQ307">
        <v>85</v>
      </c>
      <c r="AR307">
        <v>35</v>
      </c>
      <c r="AS307">
        <v>2</v>
      </c>
      <c r="AT307">
        <v>23</v>
      </c>
      <c r="AU307">
        <v>1</v>
      </c>
      <c r="AV307">
        <v>0</v>
      </c>
      <c r="AW307">
        <v>10</v>
      </c>
      <c r="AX307">
        <v>1</v>
      </c>
      <c r="AY307">
        <v>10</v>
      </c>
      <c r="AZ307">
        <v>5</v>
      </c>
      <c r="BA307">
        <v>1</v>
      </c>
      <c r="BB307">
        <v>1440</v>
      </c>
      <c r="BC307">
        <v>0</v>
      </c>
      <c r="BD307">
        <v>0</v>
      </c>
      <c r="BE307">
        <v>14</v>
      </c>
      <c r="BF307">
        <v>25</v>
      </c>
      <c r="BG307">
        <v>3</v>
      </c>
      <c r="BH307">
        <v>8</v>
      </c>
      <c r="BI307">
        <v>3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0</v>
      </c>
      <c r="BQ307">
        <v>60</v>
      </c>
      <c r="BR307">
        <v>0</v>
      </c>
      <c r="BS307">
        <v>3</v>
      </c>
      <c r="BT307" t="s">
        <v>243</v>
      </c>
      <c r="BU307" t="s">
        <v>261</v>
      </c>
      <c r="BV307" t="b">
        <v>0</v>
      </c>
      <c r="BW307" t="s">
        <v>262</v>
      </c>
    </row>
    <row r="308" spans="1:75">
      <c r="A308" t="s">
        <v>243</v>
      </c>
      <c r="B308" t="s">
        <v>252</v>
      </c>
      <c r="C308">
        <v>1221</v>
      </c>
      <c r="D308" t="s">
        <v>253</v>
      </c>
      <c r="E308" t="s">
        <v>254</v>
      </c>
      <c r="F308">
        <v>5</v>
      </c>
      <c r="G308" s="13">
        <v>46269.293333333335</v>
      </c>
      <c r="H308" s="13">
        <v>46269.301458333335</v>
      </c>
      <c r="I308">
        <v>702</v>
      </c>
      <c r="J308" t="s">
        <v>255</v>
      </c>
      <c r="K308">
        <v>1</v>
      </c>
      <c r="L308">
        <v>0.04</v>
      </c>
      <c r="M308">
        <v>0.04</v>
      </c>
      <c r="N308">
        <v>1</v>
      </c>
      <c r="O308">
        <v>0.04</v>
      </c>
      <c r="P308">
        <v>11.28</v>
      </c>
      <c r="Q308">
        <v>4.04</v>
      </c>
      <c r="R308">
        <v>3.52</v>
      </c>
      <c r="S308" t="s">
        <v>256</v>
      </c>
      <c r="T308" t="s">
        <v>257</v>
      </c>
      <c r="U308">
        <v>11</v>
      </c>
      <c r="V308">
        <v>3615.95</v>
      </c>
      <c r="W308">
        <v>4999.3599999999997</v>
      </c>
      <c r="X308">
        <v>4988.72</v>
      </c>
      <c r="Y308">
        <v>0</v>
      </c>
      <c r="Z308">
        <v>0</v>
      </c>
      <c r="AA308">
        <v>35</v>
      </c>
      <c r="AB308">
        <v>50</v>
      </c>
      <c r="AC308">
        <v>5000</v>
      </c>
      <c r="AD308">
        <v>0</v>
      </c>
      <c r="AE308">
        <v>0</v>
      </c>
      <c r="AF308">
        <v>3619.19</v>
      </c>
      <c r="AG308">
        <v>3619.19</v>
      </c>
      <c r="AH308" s="14">
        <v>46269</v>
      </c>
      <c r="AI308" t="s">
        <v>258</v>
      </c>
      <c r="AJ308" s="13">
        <v>46262.213402777779</v>
      </c>
      <c r="AK308">
        <v>6066.68</v>
      </c>
      <c r="AL308" t="s">
        <v>259</v>
      </c>
      <c r="AM308" t="s">
        <v>260</v>
      </c>
      <c r="AN308">
        <v>1400</v>
      </c>
      <c r="AO308">
        <v>0</v>
      </c>
      <c r="AP308">
        <v>35</v>
      </c>
      <c r="AQ308">
        <v>85</v>
      </c>
      <c r="AR308">
        <v>35</v>
      </c>
      <c r="AS308">
        <v>2</v>
      </c>
      <c r="AT308">
        <v>23</v>
      </c>
      <c r="AU308">
        <v>1</v>
      </c>
      <c r="AV308">
        <v>0</v>
      </c>
      <c r="AW308">
        <v>10</v>
      </c>
      <c r="AX308">
        <v>1</v>
      </c>
      <c r="AY308">
        <v>10</v>
      </c>
      <c r="AZ308">
        <v>5</v>
      </c>
      <c r="BA308">
        <v>1</v>
      </c>
      <c r="BB308">
        <v>1440</v>
      </c>
      <c r="BC308">
        <v>0</v>
      </c>
      <c r="BD308">
        <v>0</v>
      </c>
      <c r="BE308">
        <v>14</v>
      </c>
      <c r="BF308">
        <v>25</v>
      </c>
      <c r="BG308">
        <v>3</v>
      </c>
      <c r="BH308">
        <v>8</v>
      </c>
      <c r="BI308">
        <v>3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0</v>
      </c>
      <c r="BQ308">
        <v>60</v>
      </c>
      <c r="BR308">
        <v>0</v>
      </c>
      <c r="BS308">
        <v>3</v>
      </c>
      <c r="BT308" t="s">
        <v>243</v>
      </c>
      <c r="BU308" t="s">
        <v>261</v>
      </c>
      <c r="BV308" t="b">
        <v>0</v>
      </c>
      <c r="BW308" t="s">
        <v>262</v>
      </c>
    </row>
    <row r="309" spans="1:75">
      <c r="A309" t="s">
        <v>243</v>
      </c>
      <c r="B309" t="s">
        <v>252</v>
      </c>
      <c r="C309">
        <v>1222</v>
      </c>
      <c r="D309" t="s">
        <v>253</v>
      </c>
      <c r="E309" t="s">
        <v>254</v>
      </c>
      <c r="F309">
        <v>5</v>
      </c>
      <c r="G309" s="13">
        <v>46269.336770833332</v>
      </c>
      <c r="H309" s="13">
        <v>46269.33697916667</v>
      </c>
      <c r="I309">
        <v>18</v>
      </c>
      <c r="J309" t="s">
        <v>264</v>
      </c>
      <c r="K309">
        <v>1</v>
      </c>
      <c r="L309">
        <v>0.04</v>
      </c>
      <c r="M309">
        <v>0.04</v>
      </c>
      <c r="N309">
        <v>1</v>
      </c>
      <c r="O309">
        <v>0.04</v>
      </c>
      <c r="P309">
        <v>1.08</v>
      </c>
      <c r="Q309">
        <v>4.24</v>
      </c>
      <c r="R309">
        <v>2.92</v>
      </c>
      <c r="S309" t="s">
        <v>256</v>
      </c>
      <c r="T309" t="s">
        <v>257</v>
      </c>
      <c r="U309">
        <v>10</v>
      </c>
      <c r="V309">
        <v>3618.51</v>
      </c>
      <c r="W309">
        <v>4999.32</v>
      </c>
      <c r="X309">
        <v>4998.92</v>
      </c>
      <c r="Y309">
        <v>0</v>
      </c>
      <c r="Z309">
        <v>0</v>
      </c>
      <c r="AA309">
        <v>35</v>
      </c>
      <c r="AB309">
        <v>50</v>
      </c>
      <c r="AC309">
        <v>5000</v>
      </c>
      <c r="AD309">
        <v>0</v>
      </c>
      <c r="AE309">
        <v>0</v>
      </c>
      <c r="AF309">
        <v>3622.03</v>
      </c>
      <c r="AG309">
        <v>3622.03</v>
      </c>
      <c r="AH309" s="14">
        <v>46269</v>
      </c>
      <c r="AI309" t="s">
        <v>258</v>
      </c>
      <c r="AJ309" s="13">
        <v>46262.213402777779</v>
      </c>
      <c r="AK309">
        <v>6066.68</v>
      </c>
      <c r="AL309" t="s">
        <v>259</v>
      </c>
      <c r="AM309" t="s">
        <v>260</v>
      </c>
      <c r="AN309">
        <v>1400</v>
      </c>
      <c r="AO309">
        <v>0</v>
      </c>
      <c r="AP309">
        <v>35</v>
      </c>
      <c r="AQ309">
        <v>85</v>
      </c>
      <c r="AR309">
        <v>35</v>
      </c>
      <c r="AS309">
        <v>2</v>
      </c>
      <c r="AT309">
        <v>23</v>
      </c>
      <c r="AU309">
        <v>1</v>
      </c>
      <c r="AV309">
        <v>0</v>
      </c>
      <c r="AW309">
        <v>10</v>
      </c>
      <c r="AX309">
        <v>1</v>
      </c>
      <c r="AY309">
        <v>10</v>
      </c>
      <c r="AZ309">
        <v>5</v>
      </c>
      <c r="BA309">
        <v>1</v>
      </c>
      <c r="BB309">
        <v>1440</v>
      </c>
      <c r="BC309">
        <v>0</v>
      </c>
      <c r="BD309">
        <v>0</v>
      </c>
      <c r="BE309">
        <v>14</v>
      </c>
      <c r="BF309">
        <v>25</v>
      </c>
      <c r="BG309">
        <v>3</v>
      </c>
      <c r="BH309">
        <v>8</v>
      </c>
      <c r="BI309">
        <v>3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0</v>
      </c>
      <c r="BQ309">
        <v>60</v>
      </c>
      <c r="BR309">
        <v>0</v>
      </c>
      <c r="BS309">
        <v>3</v>
      </c>
      <c r="BT309" t="s">
        <v>243</v>
      </c>
      <c r="BU309" t="s">
        <v>261</v>
      </c>
      <c r="BV309" t="b">
        <v>0</v>
      </c>
      <c r="BW309" t="s">
        <v>262</v>
      </c>
    </row>
    <row r="310" spans="1:75">
      <c r="A310" t="s">
        <v>243</v>
      </c>
      <c r="B310" t="s">
        <v>252</v>
      </c>
      <c r="C310">
        <v>1223</v>
      </c>
      <c r="D310" t="s">
        <v>253</v>
      </c>
      <c r="E310" t="s">
        <v>254</v>
      </c>
      <c r="F310">
        <v>5</v>
      </c>
      <c r="G310" s="13">
        <v>46269.339363425926</v>
      </c>
      <c r="H310" s="13">
        <v>46269.346666666665</v>
      </c>
      <c r="I310">
        <v>631</v>
      </c>
      <c r="J310" t="s">
        <v>255</v>
      </c>
      <c r="K310">
        <v>2</v>
      </c>
      <c r="L310">
        <v>0.08</v>
      </c>
      <c r="M310">
        <v>0.04</v>
      </c>
      <c r="N310">
        <v>2</v>
      </c>
      <c r="O310">
        <v>0.08</v>
      </c>
      <c r="P310">
        <v>17.68</v>
      </c>
      <c r="Q310">
        <v>22.92</v>
      </c>
      <c r="R310">
        <v>17.48</v>
      </c>
      <c r="S310" t="s">
        <v>263</v>
      </c>
      <c r="T310" t="s">
        <v>257</v>
      </c>
      <c r="U310">
        <v>11</v>
      </c>
      <c r="V310">
        <v>3621.35</v>
      </c>
      <c r="W310">
        <v>4999.32</v>
      </c>
      <c r="X310">
        <v>4982.32</v>
      </c>
      <c r="Y310">
        <v>0</v>
      </c>
      <c r="Z310">
        <v>0</v>
      </c>
      <c r="AA310">
        <v>35</v>
      </c>
      <c r="AB310">
        <v>50</v>
      </c>
      <c r="AC310">
        <v>5000</v>
      </c>
      <c r="AD310">
        <v>0</v>
      </c>
      <c r="AE310">
        <v>0</v>
      </c>
      <c r="AF310">
        <v>3638.95</v>
      </c>
      <c r="AG310">
        <v>3638.95</v>
      </c>
      <c r="AH310" s="14">
        <v>46269</v>
      </c>
      <c r="AI310" t="s">
        <v>258</v>
      </c>
      <c r="AJ310" s="13">
        <v>46262.213402777779</v>
      </c>
      <c r="AK310">
        <v>6066.68</v>
      </c>
      <c r="AL310" t="s">
        <v>259</v>
      </c>
      <c r="AM310" t="s">
        <v>260</v>
      </c>
      <c r="AN310">
        <v>1400</v>
      </c>
      <c r="AO310">
        <v>0</v>
      </c>
      <c r="AP310">
        <v>35</v>
      </c>
      <c r="AQ310">
        <v>85</v>
      </c>
      <c r="AR310">
        <v>35</v>
      </c>
      <c r="AS310">
        <v>2</v>
      </c>
      <c r="AT310">
        <v>23</v>
      </c>
      <c r="AU310">
        <v>1</v>
      </c>
      <c r="AV310">
        <v>0</v>
      </c>
      <c r="AW310">
        <v>10</v>
      </c>
      <c r="AX310">
        <v>1</v>
      </c>
      <c r="AY310">
        <v>10</v>
      </c>
      <c r="AZ310">
        <v>5</v>
      </c>
      <c r="BA310">
        <v>1</v>
      </c>
      <c r="BB310">
        <v>1440</v>
      </c>
      <c r="BC310">
        <v>0</v>
      </c>
      <c r="BD310">
        <v>0</v>
      </c>
      <c r="BE310">
        <v>14</v>
      </c>
      <c r="BF310">
        <v>25</v>
      </c>
      <c r="BG310">
        <v>3</v>
      </c>
      <c r="BH310">
        <v>8</v>
      </c>
      <c r="BI310">
        <v>3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0</v>
      </c>
      <c r="BQ310">
        <v>60</v>
      </c>
      <c r="BR310">
        <v>0</v>
      </c>
      <c r="BS310">
        <v>3</v>
      </c>
      <c r="BT310" t="s">
        <v>243</v>
      </c>
      <c r="BU310" t="s">
        <v>261</v>
      </c>
      <c r="BV310" t="b">
        <v>0</v>
      </c>
      <c r="BW310" t="s">
        <v>262</v>
      </c>
    </row>
    <row r="311" spans="1:75">
      <c r="A311" t="s">
        <v>243</v>
      </c>
      <c r="B311" t="s">
        <v>252</v>
      </c>
      <c r="C311">
        <v>1224</v>
      </c>
      <c r="D311" t="s">
        <v>253</v>
      </c>
      <c r="E311" t="s">
        <v>254</v>
      </c>
      <c r="F311">
        <v>5</v>
      </c>
      <c r="G311" s="13">
        <v>46269.348564814813</v>
      </c>
      <c r="H311" s="13">
        <v>46269.352939814817</v>
      </c>
      <c r="I311">
        <v>378</v>
      </c>
      <c r="J311" t="s">
        <v>264</v>
      </c>
      <c r="K311">
        <v>1</v>
      </c>
      <c r="L311">
        <v>0.04</v>
      </c>
      <c r="M311">
        <v>0.04</v>
      </c>
      <c r="N311">
        <v>1</v>
      </c>
      <c r="O311">
        <v>0.04</v>
      </c>
      <c r="P311">
        <v>2.92</v>
      </c>
      <c r="Q311">
        <v>5.48</v>
      </c>
      <c r="R311">
        <v>4.12</v>
      </c>
      <c r="S311" t="s">
        <v>256</v>
      </c>
      <c r="T311" t="s">
        <v>257</v>
      </c>
      <c r="U311">
        <v>10</v>
      </c>
      <c r="V311">
        <v>3638.31</v>
      </c>
      <c r="W311">
        <v>4999.3599999999997</v>
      </c>
      <c r="X311">
        <v>4997.08</v>
      </c>
      <c r="Y311">
        <v>0</v>
      </c>
      <c r="Z311">
        <v>0</v>
      </c>
      <c r="AA311">
        <v>35</v>
      </c>
      <c r="AB311">
        <v>50</v>
      </c>
      <c r="AC311">
        <v>5000</v>
      </c>
      <c r="AD311">
        <v>0</v>
      </c>
      <c r="AE311">
        <v>0</v>
      </c>
      <c r="AF311">
        <v>3642.99</v>
      </c>
      <c r="AG311">
        <v>3642.99</v>
      </c>
      <c r="AH311" s="14">
        <v>46269</v>
      </c>
      <c r="AI311" t="s">
        <v>258</v>
      </c>
      <c r="AJ311" s="13">
        <v>46262.213402777779</v>
      </c>
      <c r="AK311">
        <v>6066.68</v>
      </c>
      <c r="AL311" t="s">
        <v>259</v>
      </c>
      <c r="AM311" t="s">
        <v>260</v>
      </c>
      <c r="AN311">
        <v>1400</v>
      </c>
      <c r="AO311">
        <v>0</v>
      </c>
      <c r="AP311">
        <v>35</v>
      </c>
      <c r="AQ311">
        <v>85</v>
      </c>
      <c r="AR311">
        <v>35</v>
      </c>
      <c r="AS311">
        <v>2</v>
      </c>
      <c r="AT311">
        <v>23</v>
      </c>
      <c r="AU311">
        <v>1</v>
      </c>
      <c r="AV311">
        <v>0</v>
      </c>
      <c r="AW311">
        <v>10</v>
      </c>
      <c r="AX311">
        <v>1</v>
      </c>
      <c r="AY311">
        <v>10</v>
      </c>
      <c r="AZ311">
        <v>5</v>
      </c>
      <c r="BA311">
        <v>1</v>
      </c>
      <c r="BB311">
        <v>1440</v>
      </c>
      <c r="BC311">
        <v>0</v>
      </c>
      <c r="BD311">
        <v>0</v>
      </c>
      <c r="BE311">
        <v>14</v>
      </c>
      <c r="BF311">
        <v>25</v>
      </c>
      <c r="BG311">
        <v>3</v>
      </c>
      <c r="BH311">
        <v>8</v>
      </c>
      <c r="BI311">
        <v>3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0</v>
      </c>
      <c r="BQ311">
        <v>60</v>
      </c>
      <c r="BR311">
        <v>0</v>
      </c>
      <c r="BS311">
        <v>3</v>
      </c>
      <c r="BT311" t="s">
        <v>243</v>
      </c>
      <c r="BU311" t="s">
        <v>261</v>
      </c>
      <c r="BV311" t="b">
        <v>0</v>
      </c>
      <c r="BW311" t="s">
        <v>262</v>
      </c>
    </row>
    <row r="312" spans="1:75">
      <c r="A312" t="s">
        <v>243</v>
      </c>
      <c r="B312" t="s">
        <v>252</v>
      </c>
      <c r="C312">
        <v>1225</v>
      </c>
      <c r="D312" t="s">
        <v>253</v>
      </c>
      <c r="E312" t="s">
        <v>254</v>
      </c>
      <c r="F312">
        <v>5</v>
      </c>
      <c r="G312" s="13">
        <v>46269.354548611111</v>
      </c>
      <c r="H312" s="13">
        <v>46269.354895833334</v>
      </c>
      <c r="I312">
        <v>30</v>
      </c>
      <c r="J312" t="s">
        <v>255</v>
      </c>
      <c r="K312">
        <v>1</v>
      </c>
      <c r="L312">
        <v>0.04</v>
      </c>
      <c r="M312">
        <v>0.04</v>
      </c>
      <c r="N312">
        <v>1</v>
      </c>
      <c r="O312">
        <v>0.04</v>
      </c>
      <c r="P312">
        <v>0.64</v>
      </c>
      <c r="Q312">
        <v>3.88</v>
      </c>
      <c r="R312">
        <v>3.8</v>
      </c>
      <c r="S312" t="s">
        <v>256</v>
      </c>
      <c r="T312" t="s">
        <v>257</v>
      </c>
      <c r="U312">
        <v>11</v>
      </c>
      <c r="V312">
        <v>3642.35</v>
      </c>
      <c r="W312">
        <v>4999.3599999999997</v>
      </c>
      <c r="X312">
        <v>4999.3599999999997</v>
      </c>
      <c r="Y312">
        <v>0</v>
      </c>
      <c r="Z312">
        <v>0</v>
      </c>
      <c r="AA312">
        <v>35</v>
      </c>
      <c r="AB312">
        <v>50</v>
      </c>
      <c r="AC312">
        <v>5000</v>
      </c>
      <c r="AD312">
        <v>0</v>
      </c>
      <c r="AE312">
        <v>0</v>
      </c>
      <c r="AF312">
        <v>3645.47</v>
      </c>
      <c r="AG312">
        <v>3645.47</v>
      </c>
      <c r="AH312" s="14">
        <v>46269</v>
      </c>
      <c r="AI312" t="s">
        <v>258</v>
      </c>
      <c r="AJ312" s="13">
        <v>46262.213402777779</v>
      </c>
      <c r="AK312">
        <v>6066.68</v>
      </c>
      <c r="AL312" t="s">
        <v>259</v>
      </c>
      <c r="AM312" t="s">
        <v>260</v>
      </c>
      <c r="AN312">
        <v>1400</v>
      </c>
      <c r="AO312">
        <v>0</v>
      </c>
      <c r="AP312">
        <v>35</v>
      </c>
      <c r="AQ312">
        <v>85</v>
      </c>
      <c r="AR312">
        <v>35</v>
      </c>
      <c r="AS312">
        <v>2</v>
      </c>
      <c r="AT312">
        <v>23</v>
      </c>
      <c r="AU312">
        <v>1</v>
      </c>
      <c r="AV312">
        <v>0</v>
      </c>
      <c r="AW312">
        <v>10</v>
      </c>
      <c r="AX312">
        <v>1</v>
      </c>
      <c r="AY312">
        <v>10</v>
      </c>
      <c r="AZ312">
        <v>5</v>
      </c>
      <c r="BA312">
        <v>1</v>
      </c>
      <c r="BB312">
        <v>1440</v>
      </c>
      <c r="BC312">
        <v>0</v>
      </c>
      <c r="BD312">
        <v>0</v>
      </c>
      <c r="BE312">
        <v>14</v>
      </c>
      <c r="BF312">
        <v>25</v>
      </c>
      <c r="BG312">
        <v>3</v>
      </c>
      <c r="BH312">
        <v>8</v>
      </c>
      <c r="BI312">
        <v>3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0</v>
      </c>
      <c r="BQ312">
        <v>60</v>
      </c>
      <c r="BR312">
        <v>0</v>
      </c>
      <c r="BS312">
        <v>3</v>
      </c>
      <c r="BT312" t="s">
        <v>243</v>
      </c>
      <c r="BU312" t="s">
        <v>261</v>
      </c>
      <c r="BV312" t="b">
        <v>0</v>
      </c>
      <c r="BW312" t="s">
        <v>262</v>
      </c>
    </row>
    <row r="313" spans="1:75">
      <c r="A313" t="s">
        <v>243</v>
      </c>
      <c r="B313" t="s">
        <v>252</v>
      </c>
      <c r="C313">
        <v>1226</v>
      </c>
      <c r="D313" t="s">
        <v>253</v>
      </c>
      <c r="E313" t="s">
        <v>254</v>
      </c>
      <c r="F313">
        <v>5</v>
      </c>
      <c r="G313" s="13">
        <v>46269.358287037037</v>
      </c>
      <c r="H313" s="13">
        <v>46269.368310185186</v>
      </c>
      <c r="I313">
        <v>866</v>
      </c>
      <c r="J313" t="s">
        <v>264</v>
      </c>
      <c r="K313">
        <v>2</v>
      </c>
      <c r="L313">
        <v>0.08</v>
      </c>
      <c r="M313">
        <v>0.04</v>
      </c>
      <c r="N313">
        <v>2</v>
      </c>
      <c r="O313">
        <v>0.08</v>
      </c>
      <c r="P313">
        <v>32.08</v>
      </c>
      <c r="Q313">
        <v>14.56</v>
      </c>
      <c r="R313">
        <v>9.52</v>
      </c>
      <c r="S313" t="s">
        <v>263</v>
      </c>
      <c r="T313" t="s">
        <v>257</v>
      </c>
      <c r="U313">
        <v>10</v>
      </c>
      <c r="V313">
        <v>3644.79</v>
      </c>
      <c r="W313">
        <v>4999.32</v>
      </c>
      <c r="X313">
        <v>4967.92</v>
      </c>
      <c r="Y313">
        <v>0</v>
      </c>
      <c r="Z313">
        <v>0</v>
      </c>
      <c r="AA313">
        <v>35</v>
      </c>
      <c r="AB313">
        <v>50</v>
      </c>
      <c r="AC313">
        <v>5000</v>
      </c>
      <c r="AD313">
        <v>0</v>
      </c>
      <c r="AE313">
        <v>0</v>
      </c>
      <c r="AF313">
        <v>3654.99</v>
      </c>
      <c r="AG313">
        <v>3654.99</v>
      </c>
      <c r="AH313" s="14">
        <v>46269</v>
      </c>
      <c r="AI313" t="s">
        <v>258</v>
      </c>
      <c r="AJ313" s="13">
        <v>46262.213402777779</v>
      </c>
      <c r="AK313">
        <v>6066.68</v>
      </c>
      <c r="AL313" t="s">
        <v>259</v>
      </c>
      <c r="AM313" t="s">
        <v>260</v>
      </c>
      <c r="AN313">
        <v>1400</v>
      </c>
      <c r="AO313">
        <v>0</v>
      </c>
      <c r="AP313">
        <v>35</v>
      </c>
      <c r="AQ313">
        <v>85</v>
      </c>
      <c r="AR313">
        <v>35</v>
      </c>
      <c r="AS313">
        <v>2</v>
      </c>
      <c r="AT313">
        <v>23</v>
      </c>
      <c r="AU313">
        <v>1</v>
      </c>
      <c r="AV313">
        <v>0</v>
      </c>
      <c r="AW313">
        <v>10</v>
      </c>
      <c r="AX313">
        <v>1</v>
      </c>
      <c r="AY313">
        <v>10</v>
      </c>
      <c r="AZ313">
        <v>5</v>
      </c>
      <c r="BA313">
        <v>1</v>
      </c>
      <c r="BB313">
        <v>1440</v>
      </c>
      <c r="BC313">
        <v>0</v>
      </c>
      <c r="BD313">
        <v>0</v>
      </c>
      <c r="BE313">
        <v>14</v>
      </c>
      <c r="BF313">
        <v>25</v>
      </c>
      <c r="BG313">
        <v>3</v>
      </c>
      <c r="BH313">
        <v>8</v>
      </c>
      <c r="BI313">
        <v>3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0</v>
      </c>
      <c r="BQ313">
        <v>60</v>
      </c>
      <c r="BR313">
        <v>0</v>
      </c>
      <c r="BS313">
        <v>3</v>
      </c>
      <c r="BT313" t="s">
        <v>243</v>
      </c>
      <c r="BU313" t="s">
        <v>261</v>
      </c>
      <c r="BV313" t="b">
        <v>0</v>
      </c>
      <c r="BW313" t="s">
        <v>262</v>
      </c>
    </row>
    <row r="314" spans="1:75">
      <c r="A314" t="s">
        <v>243</v>
      </c>
      <c r="B314" t="s">
        <v>252</v>
      </c>
      <c r="C314">
        <v>1227</v>
      </c>
      <c r="D314" t="s">
        <v>253</v>
      </c>
      <c r="E314" t="s">
        <v>254</v>
      </c>
      <c r="F314">
        <v>5</v>
      </c>
      <c r="G314" s="13">
        <v>46269.374050925922</v>
      </c>
      <c r="H314" s="13">
        <v>46269.374502314815</v>
      </c>
      <c r="I314">
        <v>39</v>
      </c>
      <c r="J314" t="s">
        <v>255</v>
      </c>
      <c r="K314">
        <v>1</v>
      </c>
      <c r="L314">
        <v>0.04</v>
      </c>
      <c r="M314">
        <v>0.04</v>
      </c>
      <c r="N314">
        <v>1</v>
      </c>
      <c r="O314">
        <v>0.04</v>
      </c>
      <c r="P314">
        <v>1</v>
      </c>
      <c r="Q314">
        <v>4.84</v>
      </c>
      <c r="R314">
        <v>3.6</v>
      </c>
      <c r="S314" t="s">
        <v>256</v>
      </c>
      <c r="T314" t="s">
        <v>257</v>
      </c>
      <c r="U314">
        <v>11</v>
      </c>
      <c r="V314">
        <v>3654.31</v>
      </c>
      <c r="W314">
        <v>4999.32</v>
      </c>
      <c r="X314">
        <v>4999</v>
      </c>
      <c r="Y314">
        <v>0</v>
      </c>
      <c r="Z314">
        <v>0</v>
      </c>
      <c r="AA314">
        <v>35</v>
      </c>
      <c r="AB314">
        <v>50</v>
      </c>
      <c r="AC314">
        <v>5000</v>
      </c>
      <c r="AD314">
        <v>0</v>
      </c>
      <c r="AE314">
        <v>0</v>
      </c>
      <c r="AF314">
        <v>3658.43</v>
      </c>
      <c r="AG314">
        <v>3658.43</v>
      </c>
      <c r="AH314" s="14">
        <v>46269</v>
      </c>
      <c r="AI314" t="s">
        <v>258</v>
      </c>
      <c r="AJ314" s="13">
        <v>46262.213402777779</v>
      </c>
      <c r="AK314">
        <v>6066.68</v>
      </c>
      <c r="AL314" t="s">
        <v>259</v>
      </c>
      <c r="AM314" t="s">
        <v>260</v>
      </c>
      <c r="AN314">
        <v>1400</v>
      </c>
      <c r="AO314">
        <v>0</v>
      </c>
      <c r="AP314">
        <v>35</v>
      </c>
      <c r="AQ314">
        <v>85</v>
      </c>
      <c r="AR314">
        <v>35</v>
      </c>
      <c r="AS314">
        <v>2</v>
      </c>
      <c r="AT314">
        <v>23</v>
      </c>
      <c r="AU314">
        <v>1</v>
      </c>
      <c r="AV314">
        <v>0</v>
      </c>
      <c r="AW314">
        <v>10</v>
      </c>
      <c r="AX314">
        <v>1</v>
      </c>
      <c r="AY314">
        <v>10</v>
      </c>
      <c r="AZ314">
        <v>5</v>
      </c>
      <c r="BA314">
        <v>1</v>
      </c>
      <c r="BB314">
        <v>1440</v>
      </c>
      <c r="BC314">
        <v>0</v>
      </c>
      <c r="BD314">
        <v>0</v>
      </c>
      <c r="BE314">
        <v>14</v>
      </c>
      <c r="BF314">
        <v>25</v>
      </c>
      <c r="BG314">
        <v>3</v>
      </c>
      <c r="BH314">
        <v>8</v>
      </c>
      <c r="BI314">
        <v>3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0</v>
      </c>
      <c r="BQ314">
        <v>60</v>
      </c>
      <c r="BR314">
        <v>0</v>
      </c>
      <c r="BS314">
        <v>3</v>
      </c>
      <c r="BT314" t="s">
        <v>243</v>
      </c>
      <c r="BU314" t="s">
        <v>261</v>
      </c>
      <c r="BV314" t="b">
        <v>0</v>
      </c>
      <c r="BW314" t="s">
        <v>262</v>
      </c>
    </row>
    <row r="315" spans="1:75">
      <c r="A315" t="s">
        <v>243</v>
      </c>
      <c r="B315" t="s">
        <v>252</v>
      </c>
      <c r="C315">
        <v>1228</v>
      </c>
      <c r="D315" t="s">
        <v>253</v>
      </c>
      <c r="E315" t="s">
        <v>254</v>
      </c>
      <c r="F315">
        <v>5</v>
      </c>
      <c r="G315" s="13">
        <v>46269.377962962964</v>
      </c>
      <c r="H315" s="13">
        <v>46269.38077546296</v>
      </c>
      <c r="I315">
        <v>243</v>
      </c>
      <c r="J315" t="s">
        <v>264</v>
      </c>
      <c r="K315">
        <v>1</v>
      </c>
      <c r="L315">
        <v>0.04</v>
      </c>
      <c r="M315">
        <v>0.04</v>
      </c>
      <c r="N315">
        <v>1</v>
      </c>
      <c r="O315">
        <v>0.04</v>
      </c>
      <c r="P315">
        <v>8.1999999999999993</v>
      </c>
      <c r="Q315">
        <v>4.5199999999999996</v>
      </c>
      <c r="R315">
        <v>4.5199999999999996</v>
      </c>
      <c r="S315" t="s">
        <v>256</v>
      </c>
      <c r="T315" t="s">
        <v>257</v>
      </c>
      <c r="U315">
        <v>11</v>
      </c>
      <c r="V315">
        <v>3657.79</v>
      </c>
      <c r="W315">
        <v>4999.3599999999997</v>
      </c>
      <c r="X315">
        <v>4991.8</v>
      </c>
      <c r="Y315">
        <v>0</v>
      </c>
      <c r="Z315">
        <v>0</v>
      </c>
      <c r="AA315">
        <v>35</v>
      </c>
      <c r="AB315">
        <v>50</v>
      </c>
      <c r="AC315">
        <v>5000</v>
      </c>
      <c r="AD315">
        <v>0</v>
      </c>
      <c r="AE315">
        <v>0</v>
      </c>
      <c r="AF315">
        <v>3661.55</v>
      </c>
      <c r="AG315">
        <v>3661.55</v>
      </c>
      <c r="AH315" s="14">
        <v>46269</v>
      </c>
      <c r="AI315" t="s">
        <v>258</v>
      </c>
      <c r="AJ315" s="13">
        <v>46262.213402777779</v>
      </c>
      <c r="AK315">
        <v>6066.68</v>
      </c>
      <c r="AL315" t="s">
        <v>259</v>
      </c>
      <c r="AM315" t="s">
        <v>260</v>
      </c>
      <c r="AN315">
        <v>1400</v>
      </c>
      <c r="AO315">
        <v>0</v>
      </c>
      <c r="AP315">
        <v>35</v>
      </c>
      <c r="AQ315">
        <v>85</v>
      </c>
      <c r="AR315">
        <v>35</v>
      </c>
      <c r="AS315">
        <v>2</v>
      </c>
      <c r="AT315">
        <v>23</v>
      </c>
      <c r="AU315">
        <v>1</v>
      </c>
      <c r="AV315">
        <v>0</v>
      </c>
      <c r="AW315">
        <v>10</v>
      </c>
      <c r="AX315">
        <v>1</v>
      </c>
      <c r="AY315">
        <v>10</v>
      </c>
      <c r="AZ315">
        <v>5</v>
      </c>
      <c r="BA315">
        <v>1</v>
      </c>
      <c r="BB315">
        <v>1440</v>
      </c>
      <c r="BC315">
        <v>0</v>
      </c>
      <c r="BD315">
        <v>0</v>
      </c>
      <c r="BE315">
        <v>14</v>
      </c>
      <c r="BF315">
        <v>25</v>
      </c>
      <c r="BG315">
        <v>3</v>
      </c>
      <c r="BH315">
        <v>8</v>
      </c>
      <c r="BI315">
        <v>3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0</v>
      </c>
      <c r="BQ315">
        <v>60</v>
      </c>
      <c r="BR315">
        <v>0</v>
      </c>
      <c r="BS315">
        <v>3</v>
      </c>
      <c r="BT315" t="s">
        <v>243</v>
      </c>
      <c r="BU315" t="s">
        <v>261</v>
      </c>
      <c r="BV315" t="b">
        <v>0</v>
      </c>
      <c r="BW315" t="s">
        <v>262</v>
      </c>
    </row>
    <row r="316" spans="1:75">
      <c r="A316" t="s">
        <v>243</v>
      </c>
      <c r="B316" t="s">
        <v>252</v>
      </c>
      <c r="C316">
        <v>1229</v>
      </c>
      <c r="D316" t="s">
        <v>253</v>
      </c>
      <c r="E316" t="s">
        <v>254</v>
      </c>
      <c r="F316">
        <v>5</v>
      </c>
      <c r="G316" s="13">
        <v>46269.380925925929</v>
      </c>
      <c r="H316" s="13">
        <v>46269.39880787037</v>
      </c>
      <c r="I316">
        <v>1545</v>
      </c>
      <c r="J316" t="s">
        <v>264</v>
      </c>
      <c r="K316">
        <v>3</v>
      </c>
      <c r="L316">
        <v>0.12</v>
      </c>
      <c r="M316">
        <v>0.04</v>
      </c>
      <c r="N316">
        <v>3</v>
      </c>
      <c r="O316">
        <v>0.12</v>
      </c>
      <c r="P316">
        <v>50.68</v>
      </c>
      <c r="Q316">
        <v>13.52</v>
      </c>
      <c r="R316">
        <v>8.1199999999999992</v>
      </c>
      <c r="S316" t="s">
        <v>263</v>
      </c>
      <c r="T316" t="s">
        <v>257</v>
      </c>
      <c r="U316">
        <v>10</v>
      </c>
      <c r="V316">
        <v>3660.91</v>
      </c>
      <c r="W316">
        <v>4999.3599999999997</v>
      </c>
      <c r="X316">
        <v>4949.32</v>
      </c>
      <c r="Y316">
        <v>0</v>
      </c>
      <c r="Z316">
        <v>0</v>
      </c>
      <c r="AA316">
        <v>35</v>
      </c>
      <c r="AB316">
        <v>50</v>
      </c>
      <c r="AC316">
        <v>5000</v>
      </c>
      <c r="AD316">
        <v>0</v>
      </c>
      <c r="AE316">
        <v>0</v>
      </c>
      <c r="AF316">
        <v>3669.67</v>
      </c>
      <c r="AG316">
        <v>3669.67</v>
      </c>
      <c r="AH316" s="14">
        <v>46269</v>
      </c>
      <c r="AI316" t="s">
        <v>258</v>
      </c>
      <c r="AJ316" s="13">
        <v>46262.213402777779</v>
      </c>
      <c r="AK316">
        <v>6066.68</v>
      </c>
      <c r="AL316" t="s">
        <v>259</v>
      </c>
      <c r="AM316" t="s">
        <v>260</v>
      </c>
      <c r="AN316">
        <v>1400</v>
      </c>
      <c r="AO316">
        <v>0</v>
      </c>
      <c r="AP316">
        <v>35</v>
      </c>
      <c r="AQ316">
        <v>85</v>
      </c>
      <c r="AR316">
        <v>35</v>
      </c>
      <c r="AS316">
        <v>2</v>
      </c>
      <c r="AT316">
        <v>23</v>
      </c>
      <c r="AU316">
        <v>1</v>
      </c>
      <c r="AV316">
        <v>0</v>
      </c>
      <c r="AW316">
        <v>10</v>
      </c>
      <c r="AX316">
        <v>1</v>
      </c>
      <c r="AY316">
        <v>10</v>
      </c>
      <c r="AZ316">
        <v>5</v>
      </c>
      <c r="BA316">
        <v>1</v>
      </c>
      <c r="BB316">
        <v>1440</v>
      </c>
      <c r="BC316">
        <v>0</v>
      </c>
      <c r="BD316">
        <v>0</v>
      </c>
      <c r="BE316">
        <v>14</v>
      </c>
      <c r="BF316">
        <v>25</v>
      </c>
      <c r="BG316">
        <v>3</v>
      </c>
      <c r="BH316">
        <v>8</v>
      </c>
      <c r="BI316">
        <v>3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0</v>
      </c>
      <c r="BQ316">
        <v>60</v>
      </c>
      <c r="BR316">
        <v>0</v>
      </c>
      <c r="BS316">
        <v>3</v>
      </c>
      <c r="BT316" t="s">
        <v>243</v>
      </c>
      <c r="BU316" t="s">
        <v>261</v>
      </c>
      <c r="BV316" t="b">
        <v>0</v>
      </c>
      <c r="BW316" t="s">
        <v>262</v>
      </c>
    </row>
    <row r="317" spans="1:75">
      <c r="A317" t="s">
        <v>243</v>
      </c>
      <c r="B317" t="s">
        <v>252</v>
      </c>
      <c r="C317">
        <v>1230</v>
      </c>
      <c r="D317" t="s">
        <v>253</v>
      </c>
      <c r="E317" t="s">
        <v>254</v>
      </c>
      <c r="F317">
        <v>5</v>
      </c>
      <c r="G317" s="13">
        <v>46269.399039351854</v>
      </c>
      <c r="H317" s="13">
        <v>46269.399513888886</v>
      </c>
      <c r="I317">
        <v>41</v>
      </c>
      <c r="J317" t="s">
        <v>264</v>
      </c>
      <c r="K317">
        <v>1</v>
      </c>
      <c r="L317">
        <v>0.04</v>
      </c>
      <c r="M317">
        <v>0.04</v>
      </c>
      <c r="N317">
        <v>1</v>
      </c>
      <c r="O317">
        <v>0.04</v>
      </c>
      <c r="P317">
        <v>0.68</v>
      </c>
      <c r="Q317">
        <v>5.8</v>
      </c>
      <c r="R317">
        <v>4.5599999999999996</v>
      </c>
      <c r="S317" t="s">
        <v>256</v>
      </c>
      <c r="T317" t="s">
        <v>257</v>
      </c>
      <c r="U317">
        <v>11</v>
      </c>
      <c r="V317">
        <v>3668.99</v>
      </c>
      <c r="W317">
        <v>4999.32</v>
      </c>
      <c r="X317">
        <v>4999.32</v>
      </c>
      <c r="Y317">
        <v>0</v>
      </c>
      <c r="Z317">
        <v>0</v>
      </c>
      <c r="AA317">
        <v>35</v>
      </c>
      <c r="AB317">
        <v>50</v>
      </c>
      <c r="AC317">
        <v>5000</v>
      </c>
      <c r="AD317">
        <v>0</v>
      </c>
      <c r="AE317">
        <v>0</v>
      </c>
      <c r="AF317">
        <v>3674.03</v>
      </c>
      <c r="AG317">
        <v>3674.03</v>
      </c>
      <c r="AH317" s="14">
        <v>46269</v>
      </c>
      <c r="AI317" t="s">
        <v>258</v>
      </c>
      <c r="AJ317" s="13">
        <v>46262.213402777779</v>
      </c>
      <c r="AK317">
        <v>6066.68</v>
      </c>
      <c r="AL317" t="s">
        <v>259</v>
      </c>
      <c r="AM317" t="s">
        <v>260</v>
      </c>
      <c r="AN317">
        <v>1400</v>
      </c>
      <c r="AO317">
        <v>0</v>
      </c>
      <c r="AP317">
        <v>35</v>
      </c>
      <c r="AQ317">
        <v>85</v>
      </c>
      <c r="AR317">
        <v>35</v>
      </c>
      <c r="AS317">
        <v>2</v>
      </c>
      <c r="AT317">
        <v>23</v>
      </c>
      <c r="AU317">
        <v>1</v>
      </c>
      <c r="AV317">
        <v>0</v>
      </c>
      <c r="AW317">
        <v>10</v>
      </c>
      <c r="AX317">
        <v>1</v>
      </c>
      <c r="AY317">
        <v>10</v>
      </c>
      <c r="AZ317">
        <v>5</v>
      </c>
      <c r="BA317">
        <v>1</v>
      </c>
      <c r="BB317">
        <v>1440</v>
      </c>
      <c r="BC317">
        <v>0</v>
      </c>
      <c r="BD317">
        <v>0</v>
      </c>
      <c r="BE317">
        <v>14</v>
      </c>
      <c r="BF317">
        <v>25</v>
      </c>
      <c r="BG317">
        <v>3</v>
      </c>
      <c r="BH317">
        <v>8</v>
      </c>
      <c r="BI317">
        <v>3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0</v>
      </c>
      <c r="BQ317">
        <v>60</v>
      </c>
      <c r="BR317">
        <v>0</v>
      </c>
      <c r="BS317">
        <v>3</v>
      </c>
      <c r="BT317" t="s">
        <v>243</v>
      </c>
      <c r="BU317" t="s">
        <v>261</v>
      </c>
      <c r="BV317" t="b">
        <v>0</v>
      </c>
      <c r="BW317" t="s">
        <v>262</v>
      </c>
    </row>
    <row r="318" spans="1:75">
      <c r="A318" t="s">
        <v>243</v>
      </c>
      <c r="B318" t="s">
        <v>252</v>
      </c>
      <c r="C318">
        <v>1231</v>
      </c>
      <c r="D318" t="s">
        <v>253</v>
      </c>
      <c r="E318" t="s">
        <v>254</v>
      </c>
      <c r="F318">
        <v>5</v>
      </c>
      <c r="G318" s="13">
        <v>46269.403912037036</v>
      </c>
      <c r="H318" s="13">
        <v>46269.422500000001</v>
      </c>
      <c r="I318">
        <v>1606</v>
      </c>
      <c r="J318" t="s">
        <v>255</v>
      </c>
      <c r="K318">
        <v>3</v>
      </c>
      <c r="L318">
        <v>0.12</v>
      </c>
      <c r="M318">
        <v>0.04</v>
      </c>
      <c r="N318">
        <v>3</v>
      </c>
      <c r="O318">
        <v>0.12</v>
      </c>
      <c r="P318">
        <v>32.32</v>
      </c>
      <c r="Q318">
        <v>12.96</v>
      </c>
      <c r="R318">
        <v>4</v>
      </c>
      <c r="S318" t="s">
        <v>263</v>
      </c>
      <c r="T318" t="s">
        <v>257</v>
      </c>
      <c r="U318">
        <v>10</v>
      </c>
      <c r="V318">
        <v>3673.35</v>
      </c>
      <c r="W318">
        <v>4999.32</v>
      </c>
      <c r="X318">
        <v>4967.68</v>
      </c>
      <c r="Y318">
        <v>0</v>
      </c>
      <c r="Z318">
        <v>0</v>
      </c>
      <c r="AA318">
        <v>35</v>
      </c>
      <c r="AB318">
        <v>50</v>
      </c>
      <c r="AC318">
        <v>5000</v>
      </c>
      <c r="AD318">
        <v>0</v>
      </c>
      <c r="AE318">
        <v>0</v>
      </c>
      <c r="AF318">
        <v>3678.03</v>
      </c>
      <c r="AG318">
        <v>3678.03</v>
      </c>
      <c r="AH318" s="14">
        <v>46269</v>
      </c>
      <c r="AI318" t="s">
        <v>258</v>
      </c>
      <c r="AJ318" s="13">
        <v>46262.213402777779</v>
      </c>
      <c r="AK318">
        <v>6066.68</v>
      </c>
      <c r="AL318" t="s">
        <v>259</v>
      </c>
      <c r="AM318" t="s">
        <v>260</v>
      </c>
      <c r="AN318">
        <v>1400</v>
      </c>
      <c r="AO318">
        <v>0</v>
      </c>
      <c r="AP318">
        <v>35</v>
      </c>
      <c r="AQ318">
        <v>85</v>
      </c>
      <c r="AR318">
        <v>35</v>
      </c>
      <c r="AS318">
        <v>2</v>
      </c>
      <c r="AT318">
        <v>23</v>
      </c>
      <c r="AU318">
        <v>1</v>
      </c>
      <c r="AV318">
        <v>0</v>
      </c>
      <c r="AW318">
        <v>10</v>
      </c>
      <c r="AX318">
        <v>1</v>
      </c>
      <c r="AY318">
        <v>10</v>
      </c>
      <c r="AZ318">
        <v>5</v>
      </c>
      <c r="BA318">
        <v>1</v>
      </c>
      <c r="BB318">
        <v>1440</v>
      </c>
      <c r="BC318">
        <v>0</v>
      </c>
      <c r="BD318">
        <v>0</v>
      </c>
      <c r="BE318">
        <v>14</v>
      </c>
      <c r="BF318">
        <v>25</v>
      </c>
      <c r="BG318">
        <v>3</v>
      </c>
      <c r="BH318">
        <v>8</v>
      </c>
      <c r="BI318">
        <v>3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0</v>
      </c>
      <c r="BQ318">
        <v>60</v>
      </c>
      <c r="BR318">
        <v>0</v>
      </c>
      <c r="BS318">
        <v>3</v>
      </c>
      <c r="BT318" t="s">
        <v>243</v>
      </c>
      <c r="BU318" t="s">
        <v>261</v>
      </c>
      <c r="BV318" t="b">
        <v>0</v>
      </c>
      <c r="BW318" t="s">
        <v>262</v>
      </c>
    </row>
    <row r="319" spans="1:75">
      <c r="A319" t="s">
        <v>243</v>
      </c>
      <c r="B319" t="s">
        <v>252</v>
      </c>
      <c r="C319">
        <v>1232</v>
      </c>
      <c r="D319" t="s">
        <v>253</v>
      </c>
      <c r="E319" t="s">
        <v>254</v>
      </c>
      <c r="F319">
        <v>5</v>
      </c>
      <c r="G319" s="13">
        <v>46269.427071759259</v>
      </c>
      <c r="H319" s="13">
        <v>46269.427395833336</v>
      </c>
      <c r="I319">
        <v>28</v>
      </c>
      <c r="J319" t="s">
        <v>264</v>
      </c>
      <c r="K319">
        <v>1</v>
      </c>
      <c r="L319">
        <v>0.04</v>
      </c>
      <c r="M319">
        <v>0.04</v>
      </c>
      <c r="N319">
        <v>1</v>
      </c>
      <c r="O319">
        <v>0.04</v>
      </c>
      <c r="P319">
        <v>0.68</v>
      </c>
      <c r="Q319">
        <v>3.96</v>
      </c>
      <c r="R319">
        <v>2.92</v>
      </c>
      <c r="S319" t="s">
        <v>256</v>
      </c>
      <c r="T319" t="s">
        <v>257</v>
      </c>
      <c r="U319">
        <v>11</v>
      </c>
      <c r="V319">
        <v>3677.35</v>
      </c>
      <c r="W319">
        <v>4999.32</v>
      </c>
      <c r="X319">
        <v>4999.32</v>
      </c>
      <c r="Y319">
        <v>0</v>
      </c>
      <c r="Z319">
        <v>0</v>
      </c>
      <c r="AA319">
        <v>35</v>
      </c>
      <c r="AB319">
        <v>50</v>
      </c>
      <c r="AC319">
        <v>5000</v>
      </c>
      <c r="AD319">
        <v>0</v>
      </c>
      <c r="AE319">
        <v>0</v>
      </c>
      <c r="AF319">
        <v>3680.59</v>
      </c>
      <c r="AG319">
        <v>3680.59</v>
      </c>
      <c r="AH319" s="14">
        <v>46269</v>
      </c>
      <c r="AI319" t="s">
        <v>258</v>
      </c>
      <c r="AJ319" s="13">
        <v>46262.213402777779</v>
      </c>
      <c r="AK319">
        <v>6066.68</v>
      </c>
      <c r="AL319" t="s">
        <v>259</v>
      </c>
      <c r="AM319" t="s">
        <v>260</v>
      </c>
      <c r="AN319">
        <v>1400</v>
      </c>
      <c r="AO319">
        <v>0</v>
      </c>
      <c r="AP319">
        <v>35</v>
      </c>
      <c r="AQ319">
        <v>85</v>
      </c>
      <c r="AR319">
        <v>35</v>
      </c>
      <c r="AS319">
        <v>2</v>
      </c>
      <c r="AT319">
        <v>23</v>
      </c>
      <c r="AU319">
        <v>1</v>
      </c>
      <c r="AV319">
        <v>0</v>
      </c>
      <c r="AW319">
        <v>10</v>
      </c>
      <c r="AX319">
        <v>1</v>
      </c>
      <c r="AY319">
        <v>10</v>
      </c>
      <c r="AZ319">
        <v>5</v>
      </c>
      <c r="BA319">
        <v>1</v>
      </c>
      <c r="BB319">
        <v>1440</v>
      </c>
      <c r="BC319">
        <v>0</v>
      </c>
      <c r="BD319">
        <v>0</v>
      </c>
      <c r="BE319">
        <v>14</v>
      </c>
      <c r="BF319">
        <v>25</v>
      </c>
      <c r="BG319">
        <v>3</v>
      </c>
      <c r="BH319">
        <v>8</v>
      </c>
      <c r="BI319">
        <v>3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0</v>
      </c>
      <c r="BQ319">
        <v>60</v>
      </c>
      <c r="BR319">
        <v>0</v>
      </c>
      <c r="BS319">
        <v>3</v>
      </c>
      <c r="BT319" t="s">
        <v>243</v>
      </c>
      <c r="BU319" t="s">
        <v>261</v>
      </c>
      <c r="BV319" t="b">
        <v>0</v>
      </c>
      <c r="BW319" t="s">
        <v>262</v>
      </c>
    </row>
    <row r="320" spans="1:75">
      <c r="A320" t="s">
        <v>243</v>
      </c>
      <c r="B320" t="s">
        <v>252</v>
      </c>
      <c r="C320">
        <v>1233</v>
      </c>
      <c r="D320" t="s">
        <v>253</v>
      </c>
      <c r="E320" t="s">
        <v>254</v>
      </c>
      <c r="F320">
        <v>5</v>
      </c>
      <c r="G320" s="13">
        <v>46269.437106481484</v>
      </c>
      <c r="H320" s="13">
        <v>46269.438252314816</v>
      </c>
      <c r="I320">
        <v>99</v>
      </c>
      <c r="J320" t="s">
        <v>255</v>
      </c>
      <c r="K320">
        <v>1</v>
      </c>
      <c r="L320">
        <v>0.04</v>
      </c>
      <c r="M320">
        <v>0.04</v>
      </c>
      <c r="N320">
        <v>1</v>
      </c>
      <c r="O320">
        <v>0.04</v>
      </c>
      <c r="P320">
        <v>0.92</v>
      </c>
      <c r="Q320">
        <v>8.68</v>
      </c>
      <c r="R320">
        <v>8.1199999999999992</v>
      </c>
      <c r="S320" t="s">
        <v>256</v>
      </c>
      <c r="T320" t="s">
        <v>257</v>
      </c>
      <c r="U320">
        <v>11</v>
      </c>
      <c r="V320">
        <v>3679.91</v>
      </c>
      <c r="W320">
        <v>4999.32</v>
      </c>
      <c r="X320">
        <v>4999.08</v>
      </c>
      <c r="Y320">
        <v>0</v>
      </c>
      <c r="Z320">
        <v>0</v>
      </c>
      <c r="AA320">
        <v>35</v>
      </c>
      <c r="AB320">
        <v>50</v>
      </c>
      <c r="AC320">
        <v>5000</v>
      </c>
      <c r="AD320">
        <v>0</v>
      </c>
      <c r="AE320">
        <v>0</v>
      </c>
      <c r="AF320">
        <v>3687.87</v>
      </c>
      <c r="AG320">
        <v>3687.87</v>
      </c>
      <c r="AH320" s="14">
        <v>46269</v>
      </c>
      <c r="AI320" t="s">
        <v>258</v>
      </c>
      <c r="AJ320" s="13">
        <v>46262.213402777779</v>
      </c>
      <c r="AK320">
        <v>6066.68</v>
      </c>
      <c r="AL320" t="s">
        <v>259</v>
      </c>
      <c r="AM320" t="s">
        <v>260</v>
      </c>
      <c r="AN320">
        <v>1400</v>
      </c>
      <c r="AO320">
        <v>0</v>
      </c>
      <c r="AP320">
        <v>35</v>
      </c>
      <c r="AQ320">
        <v>85</v>
      </c>
      <c r="AR320">
        <v>35</v>
      </c>
      <c r="AS320">
        <v>2</v>
      </c>
      <c r="AT320">
        <v>23</v>
      </c>
      <c r="AU320">
        <v>1</v>
      </c>
      <c r="AV320">
        <v>0</v>
      </c>
      <c r="AW320">
        <v>10</v>
      </c>
      <c r="AX320">
        <v>1</v>
      </c>
      <c r="AY320">
        <v>10</v>
      </c>
      <c r="AZ320">
        <v>5</v>
      </c>
      <c r="BA320">
        <v>1</v>
      </c>
      <c r="BB320">
        <v>1440</v>
      </c>
      <c r="BC320">
        <v>0</v>
      </c>
      <c r="BD320">
        <v>0</v>
      </c>
      <c r="BE320">
        <v>14</v>
      </c>
      <c r="BF320">
        <v>25</v>
      </c>
      <c r="BG320">
        <v>3</v>
      </c>
      <c r="BH320">
        <v>8</v>
      </c>
      <c r="BI320">
        <v>3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0</v>
      </c>
      <c r="BQ320">
        <v>60</v>
      </c>
      <c r="BR320">
        <v>0</v>
      </c>
      <c r="BS320">
        <v>3</v>
      </c>
      <c r="BT320" t="s">
        <v>243</v>
      </c>
      <c r="BU320" t="s">
        <v>261</v>
      </c>
      <c r="BV320" t="b">
        <v>0</v>
      </c>
      <c r="BW320" t="s">
        <v>262</v>
      </c>
    </row>
    <row r="321" spans="1:75">
      <c r="A321" t="s">
        <v>243</v>
      </c>
      <c r="B321" t="s">
        <v>252</v>
      </c>
      <c r="C321">
        <v>1234</v>
      </c>
      <c r="D321" t="s">
        <v>253</v>
      </c>
      <c r="E321" t="s">
        <v>254</v>
      </c>
      <c r="F321">
        <v>5</v>
      </c>
      <c r="G321" s="13">
        <v>46269.445879629631</v>
      </c>
      <c r="H321" s="13">
        <v>46269.446064814816</v>
      </c>
      <c r="I321">
        <v>16</v>
      </c>
      <c r="J321" t="s">
        <v>255</v>
      </c>
      <c r="K321">
        <v>1</v>
      </c>
      <c r="L321">
        <v>0.04</v>
      </c>
      <c r="M321">
        <v>0.04</v>
      </c>
      <c r="N321">
        <v>1</v>
      </c>
      <c r="O321">
        <v>0.04</v>
      </c>
      <c r="P321">
        <v>0.8</v>
      </c>
      <c r="Q321">
        <v>6.08</v>
      </c>
      <c r="R321">
        <v>4.76</v>
      </c>
      <c r="S321" t="s">
        <v>256</v>
      </c>
      <c r="T321" t="s">
        <v>257</v>
      </c>
      <c r="U321">
        <v>15</v>
      </c>
      <c r="V321">
        <v>3687.07</v>
      </c>
      <c r="W321">
        <v>4999.2</v>
      </c>
      <c r="X321">
        <v>4999.2</v>
      </c>
      <c r="Y321">
        <v>0</v>
      </c>
      <c r="Z321">
        <v>0</v>
      </c>
      <c r="AA321">
        <v>35</v>
      </c>
      <c r="AB321">
        <v>50</v>
      </c>
      <c r="AC321">
        <v>5000</v>
      </c>
      <c r="AD321">
        <v>0</v>
      </c>
      <c r="AE321">
        <v>0</v>
      </c>
      <c r="AF321">
        <v>3692.55</v>
      </c>
      <c r="AG321">
        <v>3692.55</v>
      </c>
      <c r="AH321" s="14">
        <v>46269</v>
      </c>
      <c r="AI321" t="s">
        <v>258</v>
      </c>
      <c r="AJ321" s="13">
        <v>46262.213402777779</v>
      </c>
      <c r="AK321">
        <v>6066.68</v>
      </c>
      <c r="AL321" t="s">
        <v>259</v>
      </c>
      <c r="AM321" t="s">
        <v>260</v>
      </c>
      <c r="AN321">
        <v>1400</v>
      </c>
      <c r="AO321">
        <v>0</v>
      </c>
      <c r="AP321">
        <v>35</v>
      </c>
      <c r="AQ321">
        <v>85</v>
      </c>
      <c r="AR321">
        <v>35</v>
      </c>
      <c r="AS321">
        <v>2</v>
      </c>
      <c r="AT321">
        <v>23</v>
      </c>
      <c r="AU321">
        <v>1</v>
      </c>
      <c r="AV321">
        <v>0</v>
      </c>
      <c r="AW321">
        <v>10</v>
      </c>
      <c r="AX321">
        <v>1</v>
      </c>
      <c r="AY321">
        <v>10</v>
      </c>
      <c r="AZ321">
        <v>5</v>
      </c>
      <c r="BA321">
        <v>1</v>
      </c>
      <c r="BB321">
        <v>1440</v>
      </c>
      <c r="BC321">
        <v>0</v>
      </c>
      <c r="BD321">
        <v>0</v>
      </c>
      <c r="BE321">
        <v>14</v>
      </c>
      <c r="BF321">
        <v>25</v>
      </c>
      <c r="BG321">
        <v>3</v>
      </c>
      <c r="BH321">
        <v>8</v>
      </c>
      <c r="BI321">
        <v>3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0</v>
      </c>
      <c r="BQ321">
        <v>60</v>
      </c>
      <c r="BR321">
        <v>0</v>
      </c>
      <c r="BS321">
        <v>3</v>
      </c>
      <c r="BT321" t="s">
        <v>243</v>
      </c>
      <c r="BU321" t="s">
        <v>261</v>
      </c>
      <c r="BV321" t="b">
        <v>0</v>
      </c>
      <c r="BW321" t="s">
        <v>262</v>
      </c>
    </row>
    <row r="322" spans="1:75">
      <c r="A322" t="s">
        <v>243</v>
      </c>
      <c r="B322" t="s">
        <v>252</v>
      </c>
      <c r="C322">
        <v>1235</v>
      </c>
      <c r="D322" t="s">
        <v>253</v>
      </c>
      <c r="E322" t="s">
        <v>254</v>
      </c>
      <c r="F322">
        <v>5</v>
      </c>
      <c r="G322" s="13">
        <v>46269.448819444442</v>
      </c>
      <c r="H322" s="13">
        <v>46269.450590277775</v>
      </c>
      <c r="I322">
        <v>153</v>
      </c>
      <c r="J322" t="s">
        <v>255</v>
      </c>
      <c r="K322">
        <v>1</v>
      </c>
      <c r="L322">
        <v>0.04</v>
      </c>
      <c r="M322">
        <v>0.04</v>
      </c>
      <c r="N322">
        <v>1</v>
      </c>
      <c r="O322">
        <v>0.04</v>
      </c>
      <c r="P322">
        <v>9.76</v>
      </c>
      <c r="Q322">
        <v>7.76</v>
      </c>
      <c r="R322">
        <v>7.76</v>
      </c>
      <c r="S322" t="s">
        <v>256</v>
      </c>
      <c r="T322" t="s">
        <v>257</v>
      </c>
      <c r="U322">
        <v>11</v>
      </c>
      <c r="V322">
        <v>3691.87</v>
      </c>
      <c r="W322">
        <v>4999.32</v>
      </c>
      <c r="X322">
        <v>4990.24</v>
      </c>
      <c r="Y322">
        <v>0</v>
      </c>
      <c r="Z322">
        <v>0</v>
      </c>
      <c r="AA322">
        <v>35</v>
      </c>
      <c r="AB322">
        <v>50</v>
      </c>
      <c r="AC322">
        <v>5000</v>
      </c>
      <c r="AD322">
        <v>0</v>
      </c>
      <c r="AE322">
        <v>0</v>
      </c>
      <c r="AF322">
        <v>3698.91</v>
      </c>
      <c r="AG322">
        <v>3698.91</v>
      </c>
      <c r="AH322" s="14">
        <v>46269</v>
      </c>
      <c r="AI322" t="s">
        <v>258</v>
      </c>
      <c r="AJ322" s="13">
        <v>46262.213402777779</v>
      </c>
      <c r="AK322">
        <v>6066.68</v>
      </c>
      <c r="AL322" t="s">
        <v>259</v>
      </c>
      <c r="AM322" t="s">
        <v>260</v>
      </c>
      <c r="AN322">
        <v>1400</v>
      </c>
      <c r="AO322">
        <v>0</v>
      </c>
      <c r="AP322">
        <v>35</v>
      </c>
      <c r="AQ322">
        <v>85</v>
      </c>
      <c r="AR322">
        <v>35</v>
      </c>
      <c r="AS322">
        <v>2</v>
      </c>
      <c r="AT322">
        <v>23</v>
      </c>
      <c r="AU322">
        <v>1</v>
      </c>
      <c r="AV322">
        <v>0</v>
      </c>
      <c r="AW322">
        <v>10</v>
      </c>
      <c r="AX322">
        <v>1</v>
      </c>
      <c r="AY322">
        <v>10</v>
      </c>
      <c r="AZ322">
        <v>5</v>
      </c>
      <c r="BA322">
        <v>1</v>
      </c>
      <c r="BB322">
        <v>1440</v>
      </c>
      <c r="BC322">
        <v>0</v>
      </c>
      <c r="BD322">
        <v>0</v>
      </c>
      <c r="BE322">
        <v>14</v>
      </c>
      <c r="BF322">
        <v>25</v>
      </c>
      <c r="BG322">
        <v>3</v>
      </c>
      <c r="BH322">
        <v>8</v>
      </c>
      <c r="BI322">
        <v>3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0</v>
      </c>
      <c r="BQ322">
        <v>60</v>
      </c>
      <c r="BR322">
        <v>0</v>
      </c>
      <c r="BS322">
        <v>3</v>
      </c>
      <c r="BT322" t="s">
        <v>243</v>
      </c>
      <c r="BU322" t="s">
        <v>261</v>
      </c>
      <c r="BV322" t="b">
        <v>0</v>
      </c>
      <c r="BW322" t="s">
        <v>262</v>
      </c>
    </row>
    <row r="323" spans="1:75">
      <c r="A323" t="s">
        <v>243</v>
      </c>
      <c r="B323" t="s">
        <v>252</v>
      </c>
      <c r="C323">
        <v>1236</v>
      </c>
      <c r="D323" t="s">
        <v>253</v>
      </c>
      <c r="E323" t="s">
        <v>254</v>
      </c>
      <c r="F323">
        <v>5</v>
      </c>
      <c r="G323" s="13">
        <v>46269.452094907407</v>
      </c>
      <c r="H323" s="13">
        <v>46269.45349537037</v>
      </c>
      <c r="I323">
        <v>121</v>
      </c>
      <c r="J323" t="s">
        <v>264</v>
      </c>
      <c r="K323">
        <v>1</v>
      </c>
      <c r="L323">
        <v>0.04</v>
      </c>
      <c r="M323">
        <v>0.04</v>
      </c>
      <c r="N323">
        <v>1</v>
      </c>
      <c r="O323">
        <v>0.04</v>
      </c>
      <c r="P323">
        <v>3.16</v>
      </c>
      <c r="Q323">
        <v>7.36</v>
      </c>
      <c r="R323">
        <v>6.04</v>
      </c>
      <c r="S323" t="s">
        <v>256</v>
      </c>
      <c r="T323" t="s">
        <v>257</v>
      </c>
      <c r="U323">
        <v>11</v>
      </c>
      <c r="V323">
        <v>3698.19</v>
      </c>
      <c r="W323">
        <v>4999.28</v>
      </c>
      <c r="X323">
        <v>4996.84</v>
      </c>
      <c r="Y323">
        <v>0</v>
      </c>
      <c r="Z323">
        <v>0</v>
      </c>
      <c r="AA323">
        <v>35</v>
      </c>
      <c r="AB323">
        <v>50</v>
      </c>
      <c r="AC323">
        <v>5000</v>
      </c>
      <c r="AD323">
        <v>0</v>
      </c>
      <c r="AE323">
        <v>0</v>
      </c>
      <c r="AF323">
        <v>3704.83</v>
      </c>
      <c r="AG323">
        <v>3704.83</v>
      </c>
      <c r="AH323" s="14">
        <v>46269</v>
      </c>
      <c r="AI323" t="s">
        <v>258</v>
      </c>
      <c r="AJ323" s="13">
        <v>46262.213402777779</v>
      </c>
      <c r="AK323">
        <v>6066.68</v>
      </c>
      <c r="AL323" t="s">
        <v>259</v>
      </c>
      <c r="AM323" t="s">
        <v>260</v>
      </c>
      <c r="AN323">
        <v>1400</v>
      </c>
      <c r="AO323">
        <v>0</v>
      </c>
      <c r="AP323">
        <v>35</v>
      </c>
      <c r="AQ323">
        <v>85</v>
      </c>
      <c r="AR323">
        <v>35</v>
      </c>
      <c r="AS323">
        <v>2</v>
      </c>
      <c r="AT323">
        <v>23</v>
      </c>
      <c r="AU323">
        <v>1</v>
      </c>
      <c r="AV323">
        <v>0</v>
      </c>
      <c r="AW323">
        <v>10</v>
      </c>
      <c r="AX323">
        <v>1</v>
      </c>
      <c r="AY323">
        <v>10</v>
      </c>
      <c r="AZ323">
        <v>5</v>
      </c>
      <c r="BA323">
        <v>1</v>
      </c>
      <c r="BB323">
        <v>1440</v>
      </c>
      <c r="BC323">
        <v>0</v>
      </c>
      <c r="BD323">
        <v>0</v>
      </c>
      <c r="BE323">
        <v>14</v>
      </c>
      <c r="BF323">
        <v>25</v>
      </c>
      <c r="BG323">
        <v>3</v>
      </c>
      <c r="BH323">
        <v>8</v>
      </c>
      <c r="BI323">
        <v>3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0</v>
      </c>
      <c r="BQ323">
        <v>60</v>
      </c>
      <c r="BR323">
        <v>0</v>
      </c>
      <c r="BS323">
        <v>3</v>
      </c>
      <c r="BT323" t="s">
        <v>243</v>
      </c>
      <c r="BU323" t="s">
        <v>261</v>
      </c>
      <c r="BV323" t="b">
        <v>0</v>
      </c>
      <c r="BW323" t="s">
        <v>262</v>
      </c>
    </row>
    <row r="324" spans="1:75">
      <c r="A324" t="s">
        <v>243</v>
      </c>
      <c r="B324" t="s">
        <v>252</v>
      </c>
      <c r="C324">
        <v>1237</v>
      </c>
      <c r="D324" t="s">
        <v>253</v>
      </c>
      <c r="E324" t="s">
        <v>254</v>
      </c>
      <c r="F324">
        <v>5</v>
      </c>
      <c r="G324" s="13">
        <v>46269.456597222219</v>
      </c>
      <c r="H324" s="13">
        <v>46269.456932870373</v>
      </c>
      <c r="I324">
        <v>29</v>
      </c>
      <c r="J324" t="s">
        <v>264</v>
      </c>
      <c r="K324">
        <v>1</v>
      </c>
      <c r="L324">
        <v>0.04</v>
      </c>
      <c r="M324">
        <v>0.04</v>
      </c>
      <c r="N324">
        <v>1</v>
      </c>
      <c r="O324">
        <v>0.04</v>
      </c>
      <c r="P324">
        <v>1.2</v>
      </c>
      <c r="Q324">
        <v>5.8</v>
      </c>
      <c r="R324">
        <v>5.16</v>
      </c>
      <c r="S324" t="s">
        <v>256</v>
      </c>
      <c r="T324" t="s">
        <v>257</v>
      </c>
      <c r="U324">
        <v>11</v>
      </c>
      <c r="V324">
        <v>3703.91</v>
      </c>
      <c r="W324">
        <v>4999.08</v>
      </c>
      <c r="X324">
        <v>4998.8</v>
      </c>
      <c r="Y324">
        <v>0</v>
      </c>
      <c r="Z324">
        <v>0</v>
      </c>
      <c r="AA324">
        <v>35</v>
      </c>
      <c r="AB324">
        <v>50</v>
      </c>
      <c r="AC324">
        <v>5000</v>
      </c>
      <c r="AD324">
        <v>0</v>
      </c>
      <c r="AE324">
        <v>0</v>
      </c>
      <c r="AF324">
        <v>3709.19</v>
      </c>
      <c r="AG324">
        <v>3709.19</v>
      </c>
      <c r="AH324" s="14">
        <v>46269</v>
      </c>
      <c r="AI324" t="s">
        <v>258</v>
      </c>
      <c r="AJ324" s="13">
        <v>46262.213402777779</v>
      </c>
      <c r="AK324">
        <v>6066.68</v>
      </c>
      <c r="AL324" t="s">
        <v>259</v>
      </c>
      <c r="AM324" t="s">
        <v>260</v>
      </c>
      <c r="AN324">
        <v>1400</v>
      </c>
      <c r="AO324">
        <v>0</v>
      </c>
      <c r="AP324">
        <v>35</v>
      </c>
      <c r="AQ324">
        <v>85</v>
      </c>
      <c r="AR324">
        <v>35</v>
      </c>
      <c r="AS324">
        <v>2</v>
      </c>
      <c r="AT324">
        <v>23</v>
      </c>
      <c r="AU324">
        <v>1</v>
      </c>
      <c r="AV324">
        <v>0</v>
      </c>
      <c r="AW324">
        <v>10</v>
      </c>
      <c r="AX324">
        <v>1</v>
      </c>
      <c r="AY324">
        <v>10</v>
      </c>
      <c r="AZ324">
        <v>5</v>
      </c>
      <c r="BA324">
        <v>1</v>
      </c>
      <c r="BB324">
        <v>1440</v>
      </c>
      <c r="BC324">
        <v>0</v>
      </c>
      <c r="BD324">
        <v>0</v>
      </c>
      <c r="BE324">
        <v>14</v>
      </c>
      <c r="BF324">
        <v>25</v>
      </c>
      <c r="BG324">
        <v>3</v>
      </c>
      <c r="BH324">
        <v>8</v>
      </c>
      <c r="BI324">
        <v>3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0</v>
      </c>
      <c r="BQ324">
        <v>60</v>
      </c>
      <c r="BR324">
        <v>0</v>
      </c>
      <c r="BS324">
        <v>3</v>
      </c>
      <c r="BT324" t="s">
        <v>243</v>
      </c>
      <c r="BU324" t="s">
        <v>261</v>
      </c>
      <c r="BV324" t="b">
        <v>0</v>
      </c>
      <c r="BW324" t="s">
        <v>262</v>
      </c>
    </row>
    <row r="325" spans="1:75">
      <c r="A325" t="s">
        <v>246</v>
      </c>
      <c r="B325" t="s">
        <v>252</v>
      </c>
      <c r="C325">
        <v>679</v>
      </c>
      <c r="D325" t="s">
        <v>253</v>
      </c>
      <c r="E325" t="s">
        <v>254</v>
      </c>
      <c r="F325">
        <v>5</v>
      </c>
      <c r="G325" s="13">
        <v>46265.087812500002</v>
      </c>
      <c r="H325" s="13">
        <v>46265.08929398148</v>
      </c>
      <c r="I325">
        <v>128</v>
      </c>
      <c r="J325" t="s">
        <v>255</v>
      </c>
      <c r="K325">
        <v>1</v>
      </c>
      <c r="L325">
        <v>0.01</v>
      </c>
      <c r="M325">
        <v>0.01</v>
      </c>
      <c r="N325">
        <v>1</v>
      </c>
      <c r="O325">
        <v>0.01</v>
      </c>
      <c r="P325">
        <v>1.82</v>
      </c>
      <c r="Q325">
        <v>1.1100000000000001</v>
      </c>
      <c r="R325">
        <v>1.1100000000000001</v>
      </c>
      <c r="S325" t="s">
        <v>256</v>
      </c>
      <c r="T325" t="s">
        <v>257</v>
      </c>
      <c r="U325">
        <v>10</v>
      </c>
      <c r="V325">
        <v>6763.15</v>
      </c>
      <c r="W325">
        <v>4999.84</v>
      </c>
      <c r="X325">
        <v>4998.18</v>
      </c>
      <c r="Y325">
        <v>0</v>
      </c>
      <c r="Z325">
        <v>0</v>
      </c>
      <c r="AA325">
        <v>35</v>
      </c>
      <c r="AB325">
        <v>50</v>
      </c>
      <c r="AC325">
        <v>5000</v>
      </c>
      <c r="AD325">
        <v>0</v>
      </c>
      <c r="AE325">
        <v>0</v>
      </c>
      <c r="AF325">
        <v>6764.07</v>
      </c>
      <c r="AG325">
        <v>6764.07</v>
      </c>
      <c r="AH325" s="14">
        <v>46265</v>
      </c>
      <c r="AI325" t="s">
        <v>266</v>
      </c>
      <c r="AJ325" s="13">
        <v>46265.054768518516</v>
      </c>
      <c r="AK325">
        <v>6763.31</v>
      </c>
      <c r="AL325" t="s">
        <v>259</v>
      </c>
      <c r="AM325" t="s">
        <v>260</v>
      </c>
      <c r="AN325">
        <v>1400</v>
      </c>
      <c r="AO325">
        <v>0</v>
      </c>
      <c r="AP325">
        <v>35</v>
      </c>
      <c r="AQ325">
        <v>85</v>
      </c>
      <c r="AR325">
        <v>35</v>
      </c>
      <c r="AS325">
        <v>2</v>
      </c>
      <c r="AT325">
        <v>23</v>
      </c>
      <c r="AU325">
        <v>1</v>
      </c>
      <c r="AV325">
        <v>0</v>
      </c>
      <c r="AW325">
        <v>10</v>
      </c>
      <c r="AX325">
        <v>1</v>
      </c>
      <c r="AY325">
        <v>5</v>
      </c>
      <c r="AZ325">
        <v>2</v>
      </c>
      <c r="BA325">
        <v>1</v>
      </c>
      <c r="BB325">
        <v>1440</v>
      </c>
      <c r="BC325">
        <v>0</v>
      </c>
      <c r="BD325">
        <v>0</v>
      </c>
      <c r="BE325">
        <v>14</v>
      </c>
      <c r="BF325">
        <v>25</v>
      </c>
      <c r="BG325">
        <v>3</v>
      </c>
      <c r="BH325">
        <v>8</v>
      </c>
      <c r="BI325">
        <v>3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0</v>
      </c>
      <c r="BQ325">
        <v>60</v>
      </c>
      <c r="BR325">
        <v>0</v>
      </c>
      <c r="BS325">
        <v>3</v>
      </c>
      <c r="BT325" t="s">
        <v>246</v>
      </c>
      <c r="BU325" t="s">
        <v>267</v>
      </c>
      <c r="BV325" t="b">
        <v>0</v>
      </c>
      <c r="BW325" t="s">
        <v>268</v>
      </c>
    </row>
    <row r="326" spans="1:75">
      <c r="A326" t="s">
        <v>246</v>
      </c>
      <c r="B326" t="s">
        <v>252</v>
      </c>
      <c r="C326">
        <v>680</v>
      </c>
      <c r="D326" t="s">
        <v>253</v>
      </c>
      <c r="E326" t="s">
        <v>254</v>
      </c>
      <c r="F326">
        <v>5</v>
      </c>
      <c r="G326" s="13">
        <v>46265.092928240738</v>
      </c>
      <c r="H326" s="13">
        <v>46265.093055555553</v>
      </c>
      <c r="I326">
        <v>11</v>
      </c>
      <c r="J326" t="s">
        <v>264</v>
      </c>
      <c r="K326">
        <v>1</v>
      </c>
      <c r="L326">
        <v>0.01</v>
      </c>
      <c r="M326">
        <v>0.01</v>
      </c>
      <c r="N326">
        <v>1</v>
      </c>
      <c r="O326">
        <v>0.01</v>
      </c>
      <c r="P326">
        <v>0.19</v>
      </c>
      <c r="Q326">
        <v>1.77</v>
      </c>
      <c r="R326">
        <v>1.76</v>
      </c>
      <c r="S326" t="s">
        <v>256</v>
      </c>
      <c r="T326" t="s">
        <v>257</v>
      </c>
      <c r="U326">
        <v>15</v>
      </c>
      <c r="V326">
        <v>6763.91</v>
      </c>
      <c r="W326">
        <v>4999.84</v>
      </c>
      <c r="X326">
        <v>4999.8100000000004</v>
      </c>
      <c r="Y326">
        <v>0</v>
      </c>
      <c r="Z326">
        <v>0</v>
      </c>
      <c r="AA326">
        <v>35</v>
      </c>
      <c r="AB326">
        <v>50</v>
      </c>
      <c r="AC326">
        <v>5000</v>
      </c>
      <c r="AD326">
        <v>0</v>
      </c>
      <c r="AE326">
        <v>0</v>
      </c>
      <c r="AF326">
        <v>6765.49</v>
      </c>
      <c r="AG326">
        <v>6765.49</v>
      </c>
      <c r="AH326" s="14">
        <v>46265</v>
      </c>
      <c r="AI326" t="s">
        <v>266</v>
      </c>
      <c r="AJ326" s="13">
        <v>46265.054768518516</v>
      </c>
      <c r="AK326">
        <v>6763.31</v>
      </c>
      <c r="AL326" t="s">
        <v>259</v>
      </c>
      <c r="AM326" t="s">
        <v>260</v>
      </c>
      <c r="AN326">
        <v>1400</v>
      </c>
      <c r="AO326">
        <v>0</v>
      </c>
      <c r="AP326">
        <v>35</v>
      </c>
      <c r="AQ326">
        <v>85</v>
      </c>
      <c r="AR326">
        <v>35</v>
      </c>
      <c r="AS326">
        <v>2</v>
      </c>
      <c r="AT326">
        <v>23</v>
      </c>
      <c r="AU326">
        <v>1</v>
      </c>
      <c r="AV326">
        <v>0</v>
      </c>
      <c r="AW326">
        <v>10</v>
      </c>
      <c r="AX326">
        <v>1</v>
      </c>
      <c r="AY326">
        <v>5</v>
      </c>
      <c r="AZ326">
        <v>2</v>
      </c>
      <c r="BA326">
        <v>1</v>
      </c>
      <c r="BB326">
        <v>1440</v>
      </c>
      <c r="BC326">
        <v>0</v>
      </c>
      <c r="BD326">
        <v>0</v>
      </c>
      <c r="BE326">
        <v>14</v>
      </c>
      <c r="BF326">
        <v>25</v>
      </c>
      <c r="BG326">
        <v>3</v>
      </c>
      <c r="BH326">
        <v>8</v>
      </c>
      <c r="BI326">
        <v>3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0</v>
      </c>
      <c r="BQ326">
        <v>60</v>
      </c>
      <c r="BR326">
        <v>0</v>
      </c>
      <c r="BS326">
        <v>3</v>
      </c>
      <c r="BT326" t="s">
        <v>246</v>
      </c>
      <c r="BU326" t="s">
        <v>267</v>
      </c>
      <c r="BV326" t="b">
        <v>0</v>
      </c>
      <c r="BW326" t="s">
        <v>268</v>
      </c>
    </row>
    <row r="327" spans="1:75">
      <c r="A327" t="s">
        <v>246</v>
      </c>
      <c r="B327" t="s">
        <v>252</v>
      </c>
      <c r="C327">
        <v>681</v>
      </c>
      <c r="D327" t="s">
        <v>253</v>
      </c>
      <c r="E327" t="s">
        <v>254</v>
      </c>
      <c r="F327">
        <v>5</v>
      </c>
      <c r="G327" s="13">
        <v>46265.095856481479</v>
      </c>
      <c r="H327" s="13">
        <v>46265.098194444443</v>
      </c>
      <c r="I327">
        <v>202</v>
      </c>
      <c r="J327" t="s">
        <v>255</v>
      </c>
      <c r="K327">
        <v>1</v>
      </c>
      <c r="L327">
        <v>0.01</v>
      </c>
      <c r="M327">
        <v>0.01</v>
      </c>
      <c r="N327">
        <v>1</v>
      </c>
      <c r="O327">
        <v>0.01</v>
      </c>
      <c r="P327">
        <v>1.4</v>
      </c>
      <c r="Q327">
        <v>1.1000000000000001</v>
      </c>
      <c r="R327">
        <v>0.74</v>
      </c>
      <c r="S327" t="s">
        <v>256</v>
      </c>
      <c r="T327" t="s">
        <v>257</v>
      </c>
      <c r="U327">
        <v>11</v>
      </c>
      <c r="V327">
        <v>6765.32</v>
      </c>
      <c r="W327">
        <v>4999.83</v>
      </c>
      <c r="X327">
        <v>4998.6000000000004</v>
      </c>
      <c r="Y327">
        <v>0</v>
      </c>
      <c r="Z327">
        <v>0</v>
      </c>
      <c r="AA327">
        <v>35</v>
      </c>
      <c r="AB327">
        <v>50</v>
      </c>
      <c r="AC327">
        <v>5000</v>
      </c>
      <c r="AD327">
        <v>0</v>
      </c>
      <c r="AE327">
        <v>0</v>
      </c>
      <c r="AF327">
        <v>6766.23</v>
      </c>
      <c r="AG327">
        <v>6766.23</v>
      </c>
      <c r="AH327" s="14">
        <v>46265</v>
      </c>
      <c r="AI327" t="s">
        <v>266</v>
      </c>
      <c r="AJ327" s="13">
        <v>46265.054768518516</v>
      </c>
      <c r="AK327">
        <v>6763.31</v>
      </c>
      <c r="AL327" t="s">
        <v>259</v>
      </c>
      <c r="AM327" t="s">
        <v>260</v>
      </c>
      <c r="AN327">
        <v>1400</v>
      </c>
      <c r="AO327">
        <v>0</v>
      </c>
      <c r="AP327">
        <v>35</v>
      </c>
      <c r="AQ327">
        <v>85</v>
      </c>
      <c r="AR327">
        <v>35</v>
      </c>
      <c r="AS327">
        <v>2</v>
      </c>
      <c r="AT327">
        <v>23</v>
      </c>
      <c r="AU327">
        <v>1</v>
      </c>
      <c r="AV327">
        <v>0</v>
      </c>
      <c r="AW327">
        <v>10</v>
      </c>
      <c r="AX327">
        <v>1</v>
      </c>
      <c r="AY327">
        <v>5</v>
      </c>
      <c r="AZ327">
        <v>2</v>
      </c>
      <c r="BA327">
        <v>1</v>
      </c>
      <c r="BB327">
        <v>1440</v>
      </c>
      <c r="BC327">
        <v>0</v>
      </c>
      <c r="BD327">
        <v>0</v>
      </c>
      <c r="BE327">
        <v>14</v>
      </c>
      <c r="BF327">
        <v>25</v>
      </c>
      <c r="BG327">
        <v>3</v>
      </c>
      <c r="BH327">
        <v>8</v>
      </c>
      <c r="BI327">
        <v>3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0</v>
      </c>
      <c r="BQ327">
        <v>60</v>
      </c>
      <c r="BR327">
        <v>0</v>
      </c>
      <c r="BS327">
        <v>3</v>
      </c>
      <c r="BT327" t="s">
        <v>246</v>
      </c>
      <c r="BU327" t="s">
        <v>267</v>
      </c>
      <c r="BV327" t="b">
        <v>0</v>
      </c>
      <c r="BW327" t="s">
        <v>268</v>
      </c>
    </row>
    <row r="328" spans="1:75">
      <c r="A328" t="s">
        <v>246</v>
      </c>
      <c r="B328" t="s">
        <v>252</v>
      </c>
      <c r="C328">
        <v>682</v>
      </c>
      <c r="D328" t="s">
        <v>253</v>
      </c>
      <c r="E328" t="s">
        <v>254</v>
      </c>
      <c r="F328">
        <v>5</v>
      </c>
      <c r="G328" s="13">
        <v>46265.099351851852</v>
      </c>
      <c r="H328" s="13">
        <v>46265.100624999999</v>
      </c>
      <c r="I328">
        <v>110</v>
      </c>
      <c r="J328" t="s">
        <v>264</v>
      </c>
      <c r="K328">
        <v>1</v>
      </c>
      <c r="L328">
        <v>0.01</v>
      </c>
      <c r="M328">
        <v>0.01</v>
      </c>
      <c r="N328">
        <v>1</v>
      </c>
      <c r="O328">
        <v>0.01</v>
      </c>
      <c r="P328">
        <v>1.1399999999999999</v>
      </c>
      <c r="Q328">
        <v>2.4500000000000002</v>
      </c>
      <c r="R328">
        <v>2.4500000000000002</v>
      </c>
      <c r="S328" t="s">
        <v>256</v>
      </c>
      <c r="T328" t="s">
        <v>257</v>
      </c>
      <c r="U328">
        <v>15</v>
      </c>
      <c r="V328">
        <v>6766.02</v>
      </c>
      <c r="W328">
        <v>4999.79</v>
      </c>
      <c r="X328">
        <v>4998.8599999999997</v>
      </c>
      <c r="Y328">
        <v>0</v>
      </c>
      <c r="Z328">
        <v>0</v>
      </c>
      <c r="AA328">
        <v>35</v>
      </c>
      <c r="AB328">
        <v>50</v>
      </c>
      <c r="AC328">
        <v>5000</v>
      </c>
      <c r="AD328">
        <v>0</v>
      </c>
      <c r="AE328">
        <v>0</v>
      </c>
      <c r="AF328">
        <v>6768.33</v>
      </c>
      <c r="AG328">
        <v>6768.33</v>
      </c>
      <c r="AH328" s="14">
        <v>46265</v>
      </c>
      <c r="AI328" t="s">
        <v>266</v>
      </c>
      <c r="AJ328" s="13">
        <v>46265.054768518516</v>
      </c>
      <c r="AK328">
        <v>6763.31</v>
      </c>
      <c r="AL328" t="s">
        <v>259</v>
      </c>
      <c r="AM328" t="s">
        <v>260</v>
      </c>
      <c r="AN328">
        <v>1400</v>
      </c>
      <c r="AO328">
        <v>0</v>
      </c>
      <c r="AP328">
        <v>35</v>
      </c>
      <c r="AQ328">
        <v>85</v>
      </c>
      <c r="AR328">
        <v>35</v>
      </c>
      <c r="AS328">
        <v>2</v>
      </c>
      <c r="AT328">
        <v>23</v>
      </c>
      <c r="AU328">
        <v>1</v>
      </c>
      <c r="AV328">
        <v>0</v>
      </c>
      <c r="AW328">
        <v>10</v>
      </c>
      <c r="AX328">
        <v>1</v>
      </c>
      <c r="AY328">
        <v>5</v>
      </c>
      <c r="AZ328">
        <v>2</v>
      </c>
      <c r="BA328">
        <v>1</v>
      </c>
      <c r="BB328">
        <v>1440</v>
      </c>
      <c r="BC328">
        <v>0</v>
      </c>
      <c r="BD328">
        <v>0</v>
      </c>
      <c r="BE328">
        <v>14</v>
      </c>
      <c r="BF328">
        <v>25</v>
      </c>
      <c r="BG328">
        <v>3</v>
      </c>
      <c r="BH328">
        <v>8</v>
      </c>
      <c r="BI328">
        <v>3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0</v>
      </c>
      <c r="BQ328">
        <v>60</v>
      </c>
      <c r="BR328">
        <v>0</v>
      </c>
      <c r="BS328">
        <v>3</v>
      </c>
      <c r="BT328" t="s">
        <v>246</v>
      </c>
      <c r="BU328" t="s">
        <v>267</v>
      </c>
      <c r="BV328" t="b">
        <v>0</v>
      </c>
      <c r="BW328" t="s">
        <v>268</v>
      </c>
    </row>
    <row r="329" spans="1:75">
      <c r="A329" t="s">
        <v>246</v>
      </c>
      <c r="B329" t="s">
        <v>252</v>
      </c>
      <c r="C329">
        <v>683</v>
      </c>
      <c r="D329" t="s">
        <v>253</v>
      </c>
      <c r="E329" t="s">
        <v>254</v>
      </c>
      <c r="F329">
        <v>5</v>
      </c>
      <c r="G329" s="13">
        <v>46265.102326388886</v>
      </c>
      <c r="H329" s="13">
        <v>46265.104687500003</v>
      </c>
      <c r="I329">
        <v>204</v>
      </c>
      <c r="J329" t="s">
        <v>264</v>
      </c>
      <c r="K329">
        <v>1</v>
      </c>
      <c r="L329">
        <v>0.01</v>
      </c>
      <c r="M329">
        <v>0.01</v>
      </c>
      <c r="N329">
        <v>2</v>
      </c>
      <c r="O329">
        <v>0.02</v>
      </c>
      <c r="P329">
        <v>2.16</v>
      </c>
      <c r="Q329">
        <v>1.92</v>
      </c>
      <c r="R329">
        <v>0.56000000000000005</v>
      </c>
      <c r="S329" t="s">
        <v>256</v>
      </c>
      <c r="T329" t="s">
        <v>257</v>
      </c>
      <c r="U329">
        <v>10</v>
      </c>
      <c r="V329">
        <v>6768.17</v>
      </c>
      <c r="W329">
        <v>4999.84</v>
      </c>
      <c r="X329">
        <v>4997.84</v>
      </c>
      <c r="Y329">
        <v>0</v>
      </c>
      <c r="Z329">
        <v>0</v>
      </c>
      <c r="AA329">
        <v>35</v>
      </c>
      <c r="AB329">
        <v>50</v>
      </c>
      <c r="AC329">
        <v>5000</v>
      </c>
      <c r="AD329">
        <v>0</v>
      </c>
      <c r="AE329">
        <v>0</v>
      </c>
      <c r="AF329">
        <v>6770.46</v>
      </c>
      <c r="AG329">
        <v>6770.46</v>
      </c>
      <c r="AH329" s="14">
        <v>46265</v>
      </c>
      <c r="AI329" t="s">
        <v>266</v>
      </c>
      <c r="AJ329" s="13">
        <v>46265.054768518516</v>
      </c>
      <c r="AK329">
        <v>6763.31</v>
      </c>
      <c r="AL329" t="s">
        <v>259</v>
      </c>
      <c r="AM329" t="s">
        <v>260</v>
      </c>
      <c r="AN329">
        <v>1400</v>
      </c>
      <c r="AO329">
        <v>0</v>
      </c>
      <c r="AP329">
        <v>35</v>
      </c>
      <c r="AQ329">
        <v>85</v>
      </c>
      <c r="AR329">
        <v>35</v>
      </c>
      <c r="AS329">
        <v>2</v>
      </c>
      <c r="AT329">
        <v>23</v>
      </c>
      <c r="AU329">
        <v>1</v>
      </c>
      <c r="AV329">
        <v>0</v>
      </c>
      <c r="AW329">
        <v>10</v>
      </c>
      <c r="AX329">
        <v>1</v>
      </c>
      <c r="AY329">
        <v>5</v>
      </c>
      <c r="AZ329">
        <v>2</v>
      </c>
      <c r="BA329">
        <v>1</v>
      </c>
      <c r="BB329">
        <v>1440</v>
      </c>
      <c r="BC329">
        <v>0</v>
      </c>
      <c r="BD329">
        <v>0</v>
      </c>
      <c r="BE329">
        <v>14</v>
      </c>
      <c r="BF329">
        <v>25</v>
      </c>
      <c r="BG329">
        <v>3</v>
      </c>
      <c r="BH329">
        <v>8</v>
      </c>
      <c r="BI329">
        <v>3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0</v>
      </c>
      <c r="BQ329">
        <v>60</v>
      </c>
      <c r="BR329">
        <v>0</v>
      </c>
      <c r="BS329">
        <v>3</v>
      </c>
      <c r="BT329" t="s">
        <v>246</v>
      </c>
      <c r="BU329" t="s">
        <v>267</v>
      </c>
      <c r="BV329" t="b">
        <v>0</v>
      </c>
      <c r="BW329" t="s">
        <v>268</v>
      </c>
    </row>
    <row r="330" spans="1:75">
      <c r="A330" t="s">
        <v>246</v>
      </c>
      <c r="B330" t="s">
        <v>252</v>
      </c>
      <c r="C330">
        <v>684</v>
      </c>
      <c r="D330" t="s">
        <v>253</v>
      </c>
      <c r="E330" t="s">
        <v>254</v>
      </c>
      <c r="F330">
        <v>5</v>
      </c>
      <c r="G330" s="13">
        <v>46265.109675925924</v>
      </c>
      <c r="H330" s="13">
        <v>46265.112129629626</v>
      </c>
      <c r="I330">
        <v>212</v>
      </c>
      <c r="J330" t="s">
        <v>264</v>
      </c>
      <c r="K330">
        <v>1</v>
      </c>
      <c r="L330">
        <v>0.01</v>
      </c>
      <c r="M330">
        <v>0.01</v>
      </c>
      <c r="N330">
        <v>1</v>
      </c>
      <c r="O330">
        <v>0.01</v>
      </c>
      <c r="P330">
        <v>1.96</v>
      </c>
      <c r="Q330">
        <v>2.04</v>
      </c>
      <c r="R330">
        <v>1.85</v>
      </c>
      <c r="S330" t="s">
        <v>256</v>
      </c>
      <c r="T330" t="s">
        <v>257</v>
      </c>
      <c r="U330">
        <v>11</v>
      </c>
      <c r="V330">
        <v>6770.29</v>
      </c>
      <c r="W330">
        <v>4999.83</v>
      </c>
      <c r="X330">
        <v>4998.04</v>
      </c>
      <c r="Y330">
        <v>0</v>
      </c>
      <c r="Z330">
        <v>0</v>
      </c>
      <c r="AA330">
        <v>35</v>
      </c>
      <c r="AB330">
        <v>50</v>
      </c>
      <c r="AC330">
        <v>5000</v>
      </c>
      <c r="AD330">
        <v>0</v>
      </c>
      <c r="AE330">
        <v>0</v>
      </c>
      <c r="AF330">
        <v>6772.15</v>
      </c>
      <c r="AG330">
        <v>6772.15</v>
      </c>
      <c r="AH330" s="14">
        <v>46265</v>
      </c>
      <c r="AI330" t="s">
        <v>266</v>
      </c>
      <c r="AJ330" s="13">
        <v>46265.054768518516</v>
      </c>
      <c r="AK330">
        <v>6763.31</v>
      </c>
      <c r="AL330" t="s">
        <v>259</v>
      </c>
      <c r="AM330" t="s">
        <v>260</v>
      </c>
      <c r="AN330">
        <v>1400</v>
      </c>
      <c r="AO330">
        <v>0</v>
      </c>
      <c r="AP330">
        <v>35</v>
      </c>
      <c r="AQ330">
        <v>85</v>
      </c>
      <c r="AR330">
        <v>35</v>
      </c>
      <c r="AS330">
        <v>2</v>
      </c>
      <c r="AT330">
        <v>23</v>
      </c>
      <c r="AU330">
        <v>1</v>
      </c>
      <c r="AV330">
        <v>0</v>
      </c>
      <c r="AW330">
        <v>10</v>
      </c>
      <c r="AX330">
        <v>1</v>
      </c>
      <c r="AY330">
        <v>5</v>
      </c>
      <c r="AZ330">
        <v>2</v>
      </c>
      <c r="BA330">
        <v>1</v>
      </c>
      <c r="BB330">
        <v>1440</v>
      </c>
      <c r="BC330">
        <v>0</v>
      </c>
      <c r="BD330">
        <v>0</v>
      </c>
      <c r="BE330">
        <v>14</v>
      </c>
      <c r="BF330">
        <v>25</v>
      </c>
      <c r="BG330">
        <v>3</v>
      </c>
      <c r="BH330">
        <v>8</v>
      </c>
      <c r="BI330">
        <v>3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0</v>
      </c>
      <c r="BQ330">
        <v>60</v>
      </c>
      <c r="BR330">
        <v>0</v>
      </c>
      <c r="BS330">
        <v>3</v>
      </c>
      <c r="BT330" t="s">
        <v>246</v>
      </c>
      <c r="BU330" t="s">
        <v>267</v>
      </c>
      <c r="BV330" t="b">
        <v>0</v>
      </c>
      <c r="BW330" t="s">
        <v>268</v>
      </c>
    </row>
    <row r="331" spans="1:75">
      <c r="A331" t="s">
        <v>246</v>
      </c>
      <c r="B331" t="s">
        <v>252</v>
      </c>
      <c r="C331">
        <v>685</v>
      </c>
      <c r="D331" t="s">
        <v>253</v>
      </c>
      <c r="E331" t="s">
        <v>254</v>
      </c>
      <c r="F331">
        <v>5</v>
      </c>
      <c r="G331" s="13">
        <v>46265.112222222226</v>
      </c>
      <c r="H331" s="13">
        <v>46265.113333333335</v>
      </c>
      <c r="I331">
        <v>96</v>
      </c>
      <c r="J331" t="s">
        <v>264</v>
      </c>
      <c r="K331">
        <v>1</v>
      </c>
      <c r="L331">
        <v>0.01</v>
      </c>
      <c r="M331">
        <v>0.01</v>
      </c>
      <c r="N331">
        <v>1</v>
      </c>
      <c r="O331">
        <v>0.01</v>
      </c>
      <c r="P331">
        <v>1.45</v>
      </c>
      <c r="Q331">
        <v>0.99</v>
      </c>
      <c r="R331">
        <v>0.82</v>
      </c>
      <c r="S331" t="s">
        <v>256</v>
      </c>
      <c r="T331" t="s">
        <v>257</v>
      </c>
      <c r="U331">
        <v>11</v>
      </c>
      <c r="V331">
        <v>6771.94</v>
      </c>
      <c r="W331">
        <v>4999.79</v>
      </c>
      <c r="X331">
        <v>4998.55</v>
      </c>
      <c r="Y331">
        <v>0</v>
      </c>
      <c r="Z331">
        <v>0</v>
      </c>
      <c r="AA331">
        <v>35</v>
      </c>
      <c r="AB331">
        <v>50</v>
      </c>
      <c r="AC331">
        <v>5000</v>
      </c>
      <c r="AD331">
        <v>0</v>
      </c>
      <c r="AE331">
        <v>0</v>
      </c>
      <c r="AF331">
        <v>6772.79</v>
      </c>
      <c r="AG331">
        <v>6772.79</v>
      </c>
      <c r="AH331" s="14">
        <v>46265</v>
      </c>
      <c r="AI331" t="s">
        <v>266</v>
      </c>
      <c r="AJ331" s="13">
        <v>46265.054768518516</v>
      </c>
      <c r="AK331">
        <v>6763.31</v>
      </c>
      <c r="AL331" t="s">
        <v>259</v>
      </c>
      <c r="AM331" t="s">
        <v>260</v>
      </c>
      <c r="AN331">
        <v>1400</v>
      </c>
      <c r="AO331">
        <v>0</v>
      </c>
      <c r="AP331">
        <v>35</v>
      </c>
      <c r="AQ331">
        <v>85</v>
      </c>
      <c r="AR331">
        <v>35</v>
      </c>
      <c r="AS331">
        <v>2</v>
      </c>
      <c r="AT331">
        <v>23</v>
      </c>
      <c r="AU331">
        <v>1</v>
      </c>
      <c r="AV331">
        <v>0</v>
      </c>
      <c r="AW331">
        <v>10</v>
      </c>
      <c r="AX331">
        <v>1</v>
      </c>
      <c r="AY331">
        <v>5</v>
      </c>
      <c r="AZ331">
        <v>2</v>
      </c>
      <c r="BA331">
        <v>1</v>
      </c>
      <c r="BB331">
        <v>1440</v>
      </c>
      <c r="BC331">
        <v>0</v>
      </c>
      <c r="BD331">
        <v>0</v>
      </c>
      <c r="BE331">
        <v>14</v>
      </c>
      <c r="BF331">
        <v>25</v>
      </c>
      <c r="BG331">
        <v>3</v>
      </c>
      <c r="BH331">
        <v>8</v>
      </c>
      <c r="BI331">
        <v>3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0</v>
      </c>
      <c r="BQ331">
        <v>60</v>
      </c>
      <c r="BR331">
        <v>0</v>
      </c>
      <c r="BS331">
        <v>3</v>
      </c>
      <c r="BT331" t="s">
        <v>246</v>
      </c>
      <c r="BU331" t="s">
        <v>267</v>
      </c>
      <c r="BV331" t="b">
        <v>0</v>
      </c>
      <c r="BW331" t="s">
        <v>268</v>
      </c>
    </row>
    <row r="332" spans="1:75">
      <c r="A332" t="s">
        <v>246</v>
      </c>
      <c r="B332" t="s">
        <v>252</v>
      </c>
      <c r="C332">
        <v>686</v>
      </c>
      <c r="D332" t="s">
        <v>253</v>
      </c>
      <c r="E332" t="s">
        <v>254</v>
      </c>
      <c r="F332">
        <v>5</v>
      </c>
      <c r="G332" s="13">
        <v>46265.114756944444</v>
      </c>
      <c r="H332" s="13">
        <v>46265.114884259259</v>
      </c>
      <c r="I332">
        <v>11</v>
      </c>
      <c r="J332" t="s">
        <v>264</v>
      </c>
      <c r="K332">
        <v>1</v>
      </c>
      <c r="L332">
        <v>0.01</v>
      </c>
      <c r="M332">
        <v>0.01</v>
      </c>
      <c r="N332">
        <v>1</v>
      </c>
      <c r="O332">
        <v>0.01</v>
      </c>
      <c r="P332">
        <v>0.35</v>
      </c>
      <c r="Q332">
        <v>0.99</v>
      </c>
      <c r="R332">
        <v>0.93</v>
      </c>
      <c r="S332" t="s">
        <v>256</v>
      </c>
      <c r="T332" t="s">
        <v>257</v>
      </c>
      <c r="U332">
        <v>10</v>
      </c>
      <c r="V332">
        <v>6772.63</v>
      </c>
      <c r="W332">
        <v>4999.84</v>
      </c>
      <c r="X332">
        <v>4999.6499999999996</v>
      </c>
      <c r="Y332">
        <v>0</v>
      </c>
      <c r="Z332">
        <v>0</v>
      </c>
      <c r="AA332">
        <v>35</v>
      </c>
      <c r="AB332">
        <v>50</v>
      </c>
      <c r="AC332">
        <v>5000</v>
      </c>
      <c r="AD332">
        <v>0</v>
      </c>
      <c r="AE332">
        <v>0</v>
      </c>
      <c r="AF332">
        <v>6773.43</v>
      </c>
      <c r="AG332">
        <v>6773.43</v>
      </c>
      <c r="AH332" s="14">
        <v>46265</v>
      </c>
      <c r="AI332" t="s">
        <v>266</v>
      </c>
      <c r="AJ332" s="13">
        <v>46265.054768518516</v>
      </c>
      <c r="AK332">
        <v>6763.31</v>
      </c>
      <c r="AL332" t="s">
        <v>259</v>
      </c>
      <c r="AM332" t="s">
        <v>260</v>
      </c>
      <c r="AN332">
        <v>1400</v>
      </c>
      <c r="AO332">
        <v>0</v>
      </c>
      <c r="AP332">
        <v>35</v>
      </c>
      <c r="AQ332">
        <v>85</v>
      </c>
      <c r="AR332">
        <v>35</v>
      </c>
      <c r="AS332">
        <v>2</v>
      </c>
      <c r="AT332">
        <v>23</v>
      </c>
      <c r="AU332">
        <v>1</v>
      </c>
      <c r="AV332">
        <v>0</v>
      </c>
      <c r="AW332">
        <v>10</v>
      </c>
      <c r="AX332">
        <v>1</v>
      </c>
      <c r="AY332">
        <v>5</v>
      </c>
      <c r="AZ332">
        <v>2</v>
      </c>
      <c r="BA332">
        <v>1</v>
      </c>
      <c r="BB332">
        <v>1440</v>
      </c>
      <c r="BC332">
        <v>0</v>
      </c>
      <c r="BD332">
        <v>0</v>
      </c>
      <c r="BE332">
        <v>14</v>
      </c>
      <c r="BF332">
        <v>25</v>
      </c>
      <c r="BG332">
        <v>3</v>
      </c>
      <c r="BH332">
        <v>8</v>
      </c>
      <c r="BI332">
        <v>3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0</v>
      </c>
      <c r="BQ332">
        <v>60</v>
      </c>
      <c r="BR332">
        <v>0</v>
      </c>
      <c r="BS332">
        <v>3</v>
      </c>
      <c r="BT332" t="s">
        <v>246</v>
      </c>
      <c r="BU332" t="s">
        <v>267</v>
      </c>
      <c r="BV332" t="b">
        <v>0</v>
      </c>
      <c r="BW332" t="s">
        <v>268</v>
      </c>
    </row>
    <row r="333" spans="1:75">
      <c r="A333" t="s">
        <v>246</v>
      </c>
      <c r="B333" t="s">
        <v>252</v>
      </c>
      <c r="C333">
        <v>687</v>
      </c>
      <c r="D333" t="s">
        <v>253</v>
      </c>
      <c r="E333" t="s">
        <v>254</v>
      </c>
      <c r="F333">
        <v>5</v>
      </c>
      <c r="G333" s="13">
        <v>46265.11818287037</v>
      </c>
      <c r="H333" s="13">
        <v>46265.118252314816</v>
      </c>
      <c r="I333">
        <v>6</v>
      </c>
      <c r="J333" t="s">
        <v>255</v>
      </c>
      <c r="K333">
        <v>1</v>
      </c>
      <c r="L333">
        <v>0.01</v>
      </c>
      <c r="M333">
        <v>0.01</v>
      </c>
      <c r="N333">
        <v>1</v>
      </c>
      <c r="O333">
        <v>0.01</v>
      </c>
      <c r="P333">
        <v>0.36</v>
      </c>
      <c r="Q333">
        <v>1.18</v>
      </c>
      <c r="R333">
        <v>0.83</v>
      </c>
      <c r="S333" t="s">
        <v>256</v>
      </c>
      <c r="T333" t="s">
        <v>257</v>
      </c>
      <c r="U333">
        <v>15</v>
      </c>
      <c r="V333">
        <v>6773.22</v>
      </c>
      <c r="W333">
        <v>4999.79</v>
      </c>
      <c r="X333">
        <v>4999.6400000000003</v>
      </c>
      <c r="Y333">
        <v>0</v>
      </c>
      <c r="Z333">
        <v>0</v>
      </c>
      <c r="AA333">
        <v>35</v>
      </c>
      <c r="AB333">
        <v>50</v>
      </c>
      <c r="AC333">
        <v>5000</v>
      </c>
      <c r="AD333">
        <v>0</v>
      </c>
      <c r="AE333">
        <v>0</v>
      </c>
      <c r="AF333">
        <v>6774.26</v>
      </c>
      <c r="AG333">
        <v>6774.26</v>
      </c>
      <c r="AH333" s="14">
        <v>46265</v>
      </c>
      <c r="AI333" t="s">
        <v>266</v>
      </c>
      <c r="AJ333" s="13">
        <v>46265.054768518516</v>
      </c>
      <c r="AK333">
        <v>6763.31</v>
      </c>
      <c r="AL333" t="s">
        <v>259</v>
      </c>
      <c r="AM333" t="s">
        <v>260</v>
      </c>
      <c r="AN333">
        <v>1400</v>
      </c>
      <c r="AO333">
        <v>0</v>
      </c>
      <c r="AP333">
        <v>35</v>
      </c>
      <c r="AQ333">
        <v>85</v>
      </c>
      <c r="AR333">
        <v>35</v>
      </c>
      <c r="AS333">
        <v>2</v>
      </c>
      <c r="AT333">
        <v>23</v>
      </c>
      <c r="AU333">
        <v>1</v>
      </c>
      <c r="AV333">
        <v>0</v>
      </c>
      <c r="AW333">
        <v>10</v>
      </c>
      <c r="AX333">
        <v>1</v>
      </c>
      <c r="AY333">
        <v>5</v>
      </c>
      <c r="AZ333">
        <v>2</v>
      </c>
      <c r="BA333">
        <v>1</v>
      </c>
      <c r="BB333">
        <v>1440</v>
      </c>
      <c r="BC333">
        <v>0</v>
      </c>
      <c r="BD333">
        <v>0</v>
      </c>
      <c r="BE333">
        <v>14</v>
      </c>
      <c r="BF333">
        <v>25</v>
      </c>
      <c r="BG333">
        <v>3</v>
      </c>
      <c r="BH333">
        <v>8</v>
      </c>
      <c r="BI333">
        <v>3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0</v>
      </c>
      <c r="BQ333">
        <v>60</v>
      </c>
      <c r="BR333">
        <v>0</v>
      </c>
      <c r="BS333">
        <v>3</v>
      </c>
      <c r="BT333" t="s">
        <v>246</v>
      </c>
      <c r="BU333" t="s">
        <v>267</v>
      </c>
      <c r="BV333" t="b">
        <v>0</v>
      </c>
      <c r="BW333" t="s">
        <v>268</v>
      </c>
    </row>
    <row r="334" spans="1:75">
      <c r="A334" t="s">
        <v>246</v>
      </c>
      <c r="B334" t="s">
        <v>252</v>
      </c>
      <c r="C334">
        <v>688</v>
      </c>
      <c r="D334" t="s">
        <v>253</v>
      </c>
      <c r="E334" t="s">
        <v>254</v>
      </c>
      <c r="F334">
        <v>5</v>
      </c>
      <c r="G334" s="13">
        <v>46265.121666666666</v>
      </c>
      <c r="H334" s="13">
        <v>46265.122395833336</v>
      </c>
      <c r="I334">
        <v>63</v>
      </c>
      <c r="J334" t="s">
        <v>255</v>
      </c>
      <c r="K334">
        <v>1</v>
      </c>
      <c r="L334">
        <v>0.01</v>
      </c>
      <c r="M334">
        <v>0.01</v>
      </c>
      <c r="N334">
        <v>1</v>
      </c>
      <c r="O334">
        <v>0.01</v>
      </c>
      <c r="P334">
        <v>1.67</v>
      </c>
      <c r="Q334">
        <v>0.87</v>
      </c>
      <c r="R334">
        <v>0.8</v>
      </c>
      <c r="S334" t="s">
        <v>256</v>
      </c>
      <c r="T334" t="s">
        <v>257</v>
      </c>
      <c r="U334">
        <v>10</v>
      </c>
      <c r="V334">
        <v>6774.1</v>
      </c>
      <c r="W334">
        <v>4999.84</v>
      </c>
      <c r="X334">
        <v>4998.33</v>
      </c>
      <c r="Y334">
        <v>0</v>
      </c>
      <c r="Z334">
        <v>0</v>
      </c>
      <c r="AA334">
        <v>35</v>
      </c>
      <c r="AB334">
        <v>50</v>
      </c>
      <c r="AC334">
        <v>5000</v>
      </c>
      <c r="AD334">
        <v>0</v>
      </c>
      <c r="AE334">
        <v>0</v>
      </c>
      <c r="AF334">
        <v>6774.78</v>
      </c>
      <c r="AG334">
        <v>6774.78</v>
      </c>
      <c r="AH334" s="14">
        <v>46265</v>
      </c>
      <c r="AI334" t="s">
        <v>266</v>
      </c>
      <c r="AJ334" s="13">
        <v>46265.054768518516</v>
      </c>
      <c r="AK334">
        <v>6763.31</v>
      </c>
      <c r="AL334" t="s">
        <v>259</v>
      </c>
      <c r="AM334" t="s">
        <v>260</v>
      </c>
      <c r="AN334">
        <v>1400</v>
      </c>
      <c r="AO334">
        <v>0</v>
      </c>
      <c r="AP334">
        <v>35</v>
      </c>
      <c r="AQ334">
        <v>85</v>
      </c>
      <c r="AR334">
        <v>35</v>
      </c>
      <c r="AS334">
        <v>2</v>
      </c>
      <c r="AT334">
        <v>23</v>
      </c>
      <c r="AU334">
        <v>1</v>
      </c>
      <c r="AV334">
        <v>0</v>
      </c>
      <c r="AW334">
        <v>10</v>
      </c>
      <c r="AX334">
        <v>1</v>
      </c>
      <c r="AY334">
        <v>5</v>
      </c>
      <c r="AZ334">
        <v>2</v>
      </c>
      <c r="BA334">
        <v>1</v>
      </c>
      <c r="BB334">
        <v>1440</v>
      </c>
      <c r="BC334">
        <v>0</v>
      </c>
      <c r="BD334">
        <v>0</v>
      </c>
      <c r="BE334">
        <v>14</v>
      </c>
      <c r="BF334">
        <v>25</v>
      </c>
      <c r="BG334">
        <v>3</v>
      </c>
      <c r="BH334">
        <v>8</v>
      </c>
      <c r="BI334">
        <v>3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0</v>
      </c>
      <c r="BQ334">
        <v>60</v>
      </c>
      <c r="BR334">
        <v>0</v>
      </c>
      <c r="BS334">
        <v>3</v>
      </c>
      <c r="BT334" t="s">
        <v>246</v>
      </c>
      <c r="BU334" t="s">
        <v>267</v>
      </c>
      <c r="BV334" t="b">
        <v>0</v>
      </c>
      <c r="BW334" t="s">
        <v>268</v>
      </c>
    </row>
    <row r="335" spans="1:75">
      <c r="A335" t="s">
        <v>246</v>
      </c>
      <c r="B335" t="s">
        <v>252</v>
      </c>
      <c r="C335">
        <v>689</v>
      </c>
      <c r="D335" t="s">
        <v>253</v>
      </c>
      <c r="E335" t="s">
        <v>254</v>
      </c>
      <c r="F335">
        <v>5</v>
      </c>
      <c r="G335" s="13">
        <v>46265.125474537039</v>
      </c>
      <c r="H335" s="13">
        <v>46265.125578703701</v>
      </c>
      <c r="I335">
        <v>9</v>
      </c>
      <c r="J335" t="s">
        <v>255</v>
      </c>
      <c r="K335">
        <v>1</v>
      </c>
      <c r="L335">
        <v>0.01</v>
      </c>
      <c r="M335">
        <v>0.01</v>
      </c>
      <c r="N335">
        <v>1</v>
      </c>
      <c r="O335">
        <v>0.01</v>
      </c>
      <c r="P335">
        <v>0.41</v>
      </c>
      <c r="Q335">
        <v>1.03</v>
      </c>
      <c r="R335">
        <v>1.01</v>
      </c>
      <c r="S335" t="s">
        <v>256</v>
      </c>
      <c r="T335" t="s">
        <v>257</v>
      </c>
      <c r="U335">
        <v>10</v>
      </c>
      <c r="V335">
        <v>6774.61</v>
      </c>
      <c r="W335">
        <v>4999.83</v>
      </c>
      <c r="X335">
        <v>4999.59</v>
      </c>
      <c r="Y335">
        <v>0</v>
      </c>
      <c r="Z335">
        <v>0</v>
      </c>
      <c r="AA335">
        <v>35</v>
      </c>
      <c r="AB335">
        <v>50</v>
      </c>
      <c r="AC335">
        <v>5000</v>
      </c>
      <c r="AD335">
        <v>0</v>
      </c>
      <c r="AE335">
        <v>0</v>
      </c>
      <c r="AF335">
        <v>6775.46</v>
      </c>
      <c r="AG335">
        <v>6775.46</v>
      </c>
      <c r="AH335" s="14">
        <v>46265</v>
      </c>
      <c r="AI335" t="s">
        <v>266</v>
      </c>
      <c r="AJ335" s="13">
        <v>46265.054768518516</v>
      </c>
      <c r="AK335">
        <v>6763.31</v>
      </c>
      <c r="AL335" t="s">
        <v>259</v>
      </c>
      <c r="AM335" t="s">
        <v>260</v>
      </c>
      <c r="AN335">
        <v>1400</v>
      </c>
      <c r="AO335">
        <v>0</v>
      </c>
      <c r="AP335">
        <v>35</v>
      </c>
      <c r="AQ335">
        <v>85</v>
      </c>
      <c r="AR335">
        <v>35</v>
      </c>
      <c r="AS335">
        <v>2</v>
      </c>
      <c r="AT335">
        <v>23</v>
      </c>
      <c r="AU335">
        <v>1</v>
      </c>
      <c r="AV335">
        <v>0</v>
      </c>
      <c r="AW335">
        <v>10</v>
      </c>
      <c r="AX335">
        <v>1</v>
      </c>
      <c r="AY335">
        <v>5</v>
      </c>
      <c r="AZ335">
        <v>2</v>
      </c>
      <c r="BA335">
        <v>1</v>
      </c>
      <c r="BB335">
        <v>1440</v>
      </c>
      <c r="BC335">
        <v>0</v>
      </c>
      <c r="BD335">
        <v>0</v>
      </c>
      <c r="BE335">
        <v>14</v>
      </c>
      <c r="BF335">
        <v>25</v>
      </c>
      <c r="BG335">
        <v>3</v>
      </c>
      <c r="BH335">
        <v>8</v>
      </c>
      <c r="BI335">
        <v>3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0</v>
      </c>
      <c r="BQ335">
        <v>60</v>
      </c>
      <c r="BR335">
        <v>0</v>
      </c>
      <c r="BS335">
        <v>3</v>
      </c>
      <c r="BT335" t="s">
        <v>246</v>
      </c>
      <c r="BU335" t="s">
        <v>267</v>
      </c>
      <c r="BV335" t="b">
        <v>0</v>
      </c>
      <c r="BW335" t="s">
        <v>268</v>
      </c>
    </row>
    <row r="336" spans="1:75">
      <c r="A336" t="s">
        <v>246</v>
      </c>
      <c r="B336" t="s">
        <v>252</v>
      </c>
      <c r="C336">
        <v>690</v>
      </c>
      <c r="D336" t="s">
        <v>253</v>
      </c>
      <c r="E336" t="s">
        <v>254</v>
      </c>
      <c r="F336">
        <v>5</v>
      </c>
      <c r="G336" s="13">
        <v>46265.129027777781</v>
      </c>
      <c r="H336" s="13">
        <v>46265.129652777781</v>
      </c>
      <c r="I336">
        <v>54</v>
      </c>
      <c r="J336" t="s">
        <v>255</v>
      </c>
      <c r="K336">
        <v>1</v>
      </c>
      <c r="L336">
        <v>0.01</v>
      </c>
      <c r="M336">
        <v>0.01</v>
      </c>
      <c r="N336">
        <v>1</v>
      </c>
      <c r="O336">
        <v>0.01</v>
      </c>
      <c r="P336">
        <v>1.93</v>
      </c>
      <c r="Q336">
        <v>0.87</v>
      </c>
      <c r="R336">
        <v>0.84</v>
      </c>
      <c r="S336" t="s">
        <v>256</v>
      </c>
      <c r="T336" t="s">
        <v>257</v>
      </c>
      <c r="U336">
        <v>14</v>
      </c>
      <c r="V336">
        <v>6775.29</v>
      </c>
      <c r="W336">
        <v>4999.83</v>
      </c>
      <c r="X336">
        <v>4998.07</v>
      </c>
      <c r="Y336">
        <v>0</v>
      </c>
      <c r="Z336">
        <v>0</v>
      </c>
      <c r="AA336">
        <v>35</v>
      </c>
      <c r="AB336">
        <v>50</v>
      </c>
      <c r="AC336">
        <v>5000</v>
      </c>
      <c r="AD336">
        <v>0</v>
      </c>
      <c r="AE336">
        <v>0</v>
      </c>
      <c r="AF336">
        <v>6775.98</v>
      </c>
      <c r="AG336">
        <v>6775.98</v>
      </c>
      <c r="AH336" s="14">
        <v>46265</v>
      </c>
      <c r="AI336" t="s">
        <v>266</v>
      </c>
      <c r="AJ336" s="13">
        <v>46265.054768518516</v>
      </c>
      <c r="AK336">
        <v>6763.31</v>
      </c>
      <c r="AL336" t="s">
        <v>259</v>
      </c>
      <c r="AM336" t="s">
        <v>260</v>
      </c>
      <c r="AN336">
        <v>1400</v>
      </c>
      <c r="AO336">
        <v>0</v>
      </c>
      <c r="AP336">
        <v>35</v>
      </c>
      <c r="AQ336">
        <v>85</v>
      </c>
      <c r="AR336">
        <v>35</v>
      </c>
      <c r="AS336">
        <v>2</v>
      </c>
      <c r="AT336">
        <v>23</v>
      </c>
      <c r="AU336">
        <v>1</v>
      </c>
      <c r="AV336">
        <v>0</v>
      </c>
      <c r="AW336">
        <v>10</v>
      </c>
      <c r="AX336">
        <v>1</v>
      </c>
      <c r="AY336">
        <v>5</v>
      </c>
      <c r="AZ336">
        <v>2</v>
      </c>
      <c r="BA336">
        <v>1</v>
      </c>
      <c r="BB336">
        <v>1440</v>
      </c>
      <c r="BC336">
        <v>0</v>
      </c>
      <c r="BD336">
        <v>0</v>
      </c>
      <c r="BE336">
        <v>14</v>
      </c>
      <c r="BF336">
        <v>25</v>
      </c>
      <c r="BG336">
        <v>3</v>
      </c>
      <c r="BH336">
        <v>8</v>
      </c>
      <c r="BI336">
        <v>3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0</v>
      </c>
      <c r="BQ336">
        <v>60</v>
      </c>
      <c r="BR336">
        <v>0</v>
      </c>
      <c r="BS336">
        <v>3</v>
      </c>
      <c r="BT336" t="s">
        <v>246</v>
      </c>
      <c r="BU336" t="s">
        <v>267</v>
      </c>
      <c r="BV336" t="b">
        <v>0</v>
      </c>
      <c r="BW336" t="s">
        <v>268</v>
      </c>
    </row>
    <row r="337" spans="1:75">
      <c r="A337" t="s">
        <v>246</v>
      </c>
      <c r="B337" t="s">
        <v>252</v>
      </c>
      <c r="C337">
        <v>691</v>
      </c>
      <c r="D337" t="s">
        <v>253</v>
      </c>
      <c r="E337" t="s">
        <v>254</v>
      </c>
      <c r="F337">
        <v>5</v>
      </c>
      <c r="G337" s="13">
        <v>46265.133668981478</v>
      </c>
      <c r="H337" s="13">
        <v>46265.134062500001</v>
      </c>
      <c r="I337">
        <v>34</v>
      </c>
      <c r="J337" t="s">
        <v>255</v>
      </c>
      <c r="K337">
        <v>1</v>
      </c>
      <c r="L337">
        <v>0.01</v>
      </c>
      <c r="M337">
        <v>0.01</v>
      </c>
      <c r="N337">
        <v>1</v>
      </c>
      <c r="O337">
        <v>0.01</v>
      </c>
      <c r="P337">
        <v>1.28</v>
      </c>
      <c r="Q337">
        <v>0.83</v>
      </c>
      <c r="R337">
        <v>0.83</v>
      </c>
      <c r="S337" t="s">
        <v>256</v>
      </c>
      <c r="T337" t="s">
        <v>257</v>
      </c>
      <c r="U337">
        <v>15</v>
      </c>
      <c r="V337">
        <v>6775.77</v>
      </c>
      <c r="W337">
        <v>4999.79</v>
      </c>
      <c r="X337">
        <v>4998.72</v>
      </c>
      <c r="Y337">
        <v>0</v>
      </c>
      <c r="Z337">
        <v>0</v>
      </c>
      <c r="AA337">
        <v>35</v>
      </c>
      <c r="AB337">
        <v>50</v>
      </c>
      <c r="AC337">
        <v>5000</v>
      </c>
      <c r="AD337">
        <v>0</v>
      </c>
      <c r="AE337">
        <v>0</v>
      </c>
      <c r="AF337">
        <v>6776.45</v>
      </c>
      <c r="AG337">
        <v>6776.45</v>
      </c>
      <c r="AH337" s="14">
        <v>46265</v>
      </c>
      <c r="AI337" t="s">
        <v>266</v>
      </c>
      <c r="AJ337" s="13">
        <v>46265.054768518516</v>
      </c>
      <c r="AK337">
        <v>6763.31</v>
      </c>
      <c r="AL337" t="s">
        <v>259</v>
      </c>
      <c r="AM337" t="s">
        <v>260</v>
      </c>
      <c r="AN337">
        <v>1400</v>
      </c>
      <c r="AO337">
        <v>0</v>
      </c>
      <c r="AP337">
        <v>35</v>
      </c>
      <c r="AQ337">
        <v>85</v>
      </c>
      <c r="AR337">
        <v>35</v>
      </c>
      <c r="AS337">
        <v>2</v>
      </c>
      <c r="AT337">
        <v>23</v>
      </c>
      <c r="AU337">
        <v>1</v>
      </c>
      <c r="AV337">
        <v>0</v>
      </c>
      <c r="AW337">
        <v>10</v>
      </c>
      <c r="AX337">
        <v>1</v>
      </c>
      <c r="AY337">
        <v>5</v>
      </c>
      <c r="AZ337">
        <v>2</v>
      </c>
      <c r="BA337">
        <v>1</v>
      </c>
      <c r="BB337">
        <v>1440</v>
      </c>
      <c r="BC337">
        <v>0</v>
      </c>
      <c r="BD337">
        <v>0</v>
      </c>
      <c r="BE337">
        <v>14</v>
      </c>
      <c r="BF337">
        <v>25</v>
      </c>
      <c r="BG337">
        <v>3</v>
      </c>
      <c r="BH337">
        <v>8</v>
      </c>
      <c r="BI337">
        <v>3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0</v>
      </c>
      <c r="BQ337">
        <v>60</v>
      </c>
      <c r="BR337">
        <v>0</v>
      </c>
      <c r="BS337">
        <v>3</v>
      </c>
      <c r="BT337" t="s">
        <v>246</v>
      </c>
      <c r="BU337" t="s">
        <v>267</v>
      </c>
      <c r="BV337" t="b">
        <v>0</v>
      </c>
      <c r="BW337" t="s">
        <v>268</v>
      </c>
    </row>
    <row r="338" spans="1:75">
      <c r="A338" t="s">
        <v>246</v>
      </c>
      <c r="B338" t="s">
        <v>252</v>
      </c>
      <c r="C338">
        <v>692</v>
      </c>
      <c r="D338" t="s">
        <v>253</v>
      </c>
      <c r="E338" t="s">
        <v>254</v>
      </c>
      <c r="F338">
        <v>5</v>
      </c>
      <c r="G338" s="13">
        <v>46265.136631944442</v>
      </c>
      <c r="H338" s="13">
        <v>46265.137430555558</v>
      </c>
      <c r="I338">
        <v>69</v>
      </c>
      <c r="J338" t="s">
        <v>264</v>
      </c>
      <c r="K338">
        <v>1</v>
      </c>
      <c r="L338">
        <v>0.01</v>
      </c>
      <c r="M338">
        <v>0.01</v>
      </c>
      <c r="N338">
        <v>1</v>
      </c>
      <c r="O338">
        <v>0.01</v>
      </c>
      <c r="P338">
        <v>1.57</v>
      </c>
      <c r="Q338">
        <v>1.86</v>
      </c>
      <c r="R338">
        <v>1.33</v>
      </c>
      <c r="S338" t="s">
        <v>256</v>
      </c>
      <c r="T338" t="s">
        <v>257</v>
      </c>
      <c r="U338">
        <v>10</v>
      </c>
      <c r="V338">
        <v>6776.28</v>
      </c>
      <c r="W338">
        <v>4999.83</v>
      </c>
      <c r="X338">
        <v>4998.43</v>
      </c>
      <c r="Y338">
        <v>0</v>
      </c>
      <c r="Z338">
        <v>0</v>
      </c>
      <c r="AA338">
        <v>35</v>
      </c>
      <c r="AB338">
        <v>50</v>
      </c>
      <c r="AC338">
        <v>5000</v>
      </c>
      <c r="AD338">
        <v>0</v>
      </c>
      <c r="AE338">
        <v>0</v>
      </c>
      <c r="AF338">
        <v>6777.96</v>
      </c>
      <c r="AG338">
        <v>6777.96</v>
      </c>
      <c r="AH338" s="14">
        <v>46265</v>
      </c>
      <c r="AI338" t="s">
        <v>266</v>
      </c>
      <c r="AJ338" s="13">
        <v>46265.054768518516</v>
      </c>
      <c r="AK338">
        <v>6763.31</v>
      </c>
      <c r="AL338" t="s">
        <v>259</v>
      </c>
      <c r="AM338" t="s">
        <v>260</v>
      </c>
      <c r="AN338">
        <v>1400</v>
      </c>
      <c r="AO338">
        <v>0</v>
      </c>
      <c r="AP338">
        <v>35</v>
      </c>
      <c r="AQ338">
        <v>85</v>
      </c>
      <c r="AR338">
        <v>35</v>
      </c>
      <c r="AS338">
        <v>2</v>
      </c>
      <c r="AT338">
        <v>23</v>
      </c>
      <c r="AU338">
        <v>1</v>
      </c>
      <c r="AV338">
        <v>0</v>
      </c>
      <c r="AW338">
        <v>10</v>
      </c>
      <c r="AX338">
        <v>1</v>
      </c>
      <c r="AY338">
        <v>5</v>
      </c>
      <c r="AZ338">
        <v>2</v>
      </c>
      <c r="BA338">
        <v>1</v>
      </c>
      <c r="BB338">
        <v>1440</v>
      </c>
      <c r="BC338">
        <v>0</v>
      </c>
      <c r="BD338">
        <v>0</v>
      </c>
      <c r="BE338">
        <v>14</v>
      </c>
      <c r="BF338">
        <v>25</v>
      </c>
      <c r="BG338">
        <v>3</v>
      </c>
      <c r="BH338">
        <v>8</v>
      </c>
      <c r="BI338">
        <v>3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0</v>
      </c>
      <c r="BQ338">
        <v>60</v>
      </c>
      <c r="BR338">
        <v>0</v>
      </c>
      <c r="BS338">
        <v>3</v>
      </c>
      <c r="BT338" t="s">
        <v>246</v>
      </c>
      <c r="BU338" t="s">
        <v>267</v>
      </c>
      <c r="BV338" t="b">
        <v>0</v>
      </c>
      <c r="BW338" t="s">
        <v>268</v>
      </c>
    </row>
    <row r="339" spans="1:75">
      <c r="A339" t="s">
        <v>246</v>
      </c>
      <c r="B339" t="s">
        <v>252</v>
      </c>
      <c r="C339">
        <v>693</v>
      </c>
      <c r="D339" t="s">
        <v>253</v>
      </c>
      <c r="E339" t="s">
        <v>254</v>
      </c>
      <c r="F339">
        <v>5</v>
      </c>
      <c r="G339" s="13">
        <v>46265.14203703704</v>
      </c>
      <c r="H339" s="13">
        <v>46265.143171296295</v>
      </c>
      <c r="I339">
        <v>98</v>
      </c>
      <c r="J339" t="s">
        <v>264</v>
      </c>
      <c r="K339">
        <v>1</v>
      </c>
      <c r="L339">
        <v>0.01</v>
      </c>
      <c r="M339">
        <v>0.01</v>
      </c>
      <c r="N339">
        <v>1</v>
      </c>
      <c r="O339">
        <v>0.01</v>
      </c>
      <c r="P339">
        <v>1.58</v>
      </c>
      <c r="Q339">
        <v>1</v>
      </c>
      <c r="R339">
        <v>0.94</v>
      </c>
      <c r="S339" t="s">
        <v>256</v>
      </c>
      <c r="T339" t="s">
        <v>257</v>
      </c>
      <c r="U339">
        <v>11</v>
      </c>
      <c r="V339">
        <v>6777.79</v>
      </c>
      <c r="W339">
        <v>4999.83</v>
      </c>
      <c r="X339">
        <v>4998.42</v>
      </c>
      <c r="Y339">
        <v>0</v>
      </c>
      <c r="Z339">
        <v>0</v>
      </c>
      <c r="AA339">
        <v>35</v>
      </c>
      <c r="AB339">
        <v>50</v>
      </c>
      <c r="AC339">
        <v>5000</v>
      </c>
      <c r="AD339">
        <v>0</v>
      </c>
      <c r="AE339">
        <v>0</v>
      </c>
      <c r="AF339">
        <v>6778.61</v>
      </c>
      <c r="AG339">
        <v>6778.61</v>
      </c>
      <c r="AH339" s="14">
        <v>46265</v>
      </c>
      <c r="AI339" t="s">
        <v>266</v>
      </c>
      <c r="AJ339" s="13">
        <v>46265.054768518516</v>
      </c>
      <c r="AK339">
        <v>6763.31</v>
      </c>
      <c r="AL339" t="s">
        <v>259</v>
      </c>
      <c r="AM339" t="s">
        <v>260</v>
      </c>
      <c r="AN339">
        <v>1400</v>
      </c>
      <c r="AO339">
        <v>0</v>
      </c>
      <c r="AP339">
        <v>35</v>
      </c>
      <c r="AQ339">
        <v>85</v>
      </c>
      <c r="AR339">
        <v>35</v>
      </c>
      <c r="AS339">
        <v>2</v>
      </c>
      <c r="AT339">
        <v>23</v>
      </c>
      <c r="AU339">
        <v>1</v>
      </c>
      <c r="AV339">
        <v>0</v>
      </c>
      <c r="AW339">
        <v>10</v>
      </c>
      <c r="AX339">
        <v>1</v>
      </c>
      <c r="AY339">
        <v>5</v>
      </c>
      <c r="AZ339">
        <v>2</v>
      </c>
      <c r="BA339">
        <v>1</v>
      </c>
      <c r="BB339">
        <v>1440</v>
      </c>
      <c r="BC339">
        <v>0</v>
      </c>
      <c r="BD339">
        <v>0</v>
      </c>
      <c r="BE339">
        <v>14</v>
      </c>
      <c r="BF339">
        <v>25</v>
      </c>
      <c r="BG339">
        <v>3</v>
      </c>
      <c r="BH339">
        <v>8</v>
      </c>
      <c r="BI339">
        <v>3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0</v>
      </c>
      <c r="BQ339">
        <v>60</v>
      </c>
      <c r="BR339">
        <v>0</v>
      </c>
      <c r="BS339">
        <v>3</v>
      </c>
      <c r="BT339" t="s">
        <v>246</v>
      </c>
      <c r="BU339" t="s">
        <v>267</v>
      </c>
      <c r="BV339" t="b">
        <v>0</v>
      </c>
      <c r="BW339" t="s">
        <v>268</v>
      </c>
    </row>
    <row r="340" spans="1:75">
      <c r="A340" t="s">
        <v>246</v>
      </c>
      <c r="B340" t="s">
        <v>252</v>
      </c>
      <c r="C340">
        <v>694</v>
      </c>
      <c r="D340" t="s">
        <v>253</v>
      </c>
      <c r="E340" t="s">
        <v>254</v>
      </c>
      <c r="F340">
        <v>5</v>
      </c>
      <c r="G340" s="13">
        <v>46265.143321759257</v>
      </c>
      <c r="H340" s="13">
        <v>46265.144803240742</v>
      </c>
      <c r="I340">
        <v>128</v>
      </c>
      <c r="J340" t="s">
        <v>264</v>
      </c>
      <c r="K340">
        <v>1</v>
      </c>
      <c r="L340">
        <v>0.01</v>
      </c>
      <c r="M340">
        <v>0.01</v>
      </c>
      <c r="N340">
        <v>1</v>
      </c>
      <c r="O340">
        <v>0.01</v>
      </c>
      <c r="P340">
        <v>2.85</v>
      </c>
      <c r="Q340">
        <v>2.31</v>
      </c>
      <c r="R340">
        <v>1.98</v>
      </c>
      <c r="S340" t="s">
        <v>256</v>
      </c>
      <c r="T340" t="s">
        <v>257</v>
      </c>
      <c r="U340">
        <v>11</v>
      </c>
      <c r="V340">
        <v>6778.44</v>
      </c>
      <c r="W340">
        <v>4999.83</v>
      </c>
      <c r="X340">
        <v>4997.1499999999996</v>
      </c>
      <c r="Y340">
        <v>0</v>
      </c>
      <c r="Z340">
        <v>0</v>
      </c>
      <c r="AA340">
        <v>35</v>
      </c>
      <c r="AB340">
        <v>50</v>
      </c>
      <c r="AC340">
        <v>5000</v>
      </c>
      <c r="AD340">
        <v>0</v>
      </c>
      <c r="AE340">
        <v>0</v>
      </c>
      <c r="AF340">
        <v>6780.57</v>
      </c>
      <c r="AG340">
        <v>6780.57</v>
      </c>
      <c r="AH340" s="14">
        <v>46265</v>
      </c>
      <c r="AI340" t="s">
        <v>266</v>
      </c>
      <c r="AJ340" s="13">
        <v>46265.054768518516</v>
      </c>
      <c r="AK340">
        <v>6763.31</v>
      </c>
      <c r="AL340" t="s">
        <v>259</v>
      </c>
      <c r="AM340" t="s">
        <v>260</v>
      </c>
      <c r="AN340">
        <v>1400</v>
      </c>
      <c r="AO340">
        <v>0</v>
      </c>
      <c r="AP340">
        <v>35</v>
      </c>
      <c r="AQ340">
        <v>85</v>
      </c>
      <c r="AR340">
        <v>35</v>
      </c>
      <c r="AS340">
        <v>2</v>
      </c>
      <c r="AT340">
        <v>23</v>
      </c>
      <c r="AU340">
        <v>1</v>
      </c>
      <c r="AV340">
        <v>0</v>
      </c>
      <c r="AW340">
        <v>10</v>
      </c>
      <c r="AX340">
        <v>1</v>
      </c>
      <c r="AY340">
        <v>5</v>
      </c>
      <c r="AZ340">
        <v>2</v>
      </c>
      <c r="BA340">
        <v>1</v>
      </c>
      <c r="BB340">
        <v>1440</v>
      </c>
      <c r="BC340">
        <v>0</v>
      </c>
      <c r="BD340">
        <v>0</v>
      </c>
      <c r="BE340">
        <v>14</v>
      </c>
      <c r="BF340">
        <v>25</v>
      </c>
      <c r="BG340">
        <v>3</v>
      </c>
      <c r="BH340">
        <v>8</v>
      </c>
      <c r="BI340">
        <v>3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0</v>
      </c>
      <c r="BQ340">
        <v>60</v>
      </c>
      <c r="BR340">
        <v>0</v>
      </c>
      <c r="BS340">
        <v>3</v>
      </c>
      <c r="BT340" t="s">
        <v>246</v>
      </c>
      <c r="BU340" t="s">
        <v>267</v>
      </c>
      <c r="BV340" t="b">
        <v>0</v>
      </c>
      <c r="BW340" t="s">
        <v>268</v>
      </c>
    </row>
    <row r="341" spans="1:75">
      <c r="A341" t="s">
        <v>246</v>
      </c>
      <c r="B341" t="s">
        <v>252</v>
      </c>
      <c r="C341">
        <v>695</v>
      </c>
      <c r="D341" t="s">
        <v>253</v>
      </c>
      <c r="E341" t="s">
        <v>254</v>
      </c>
      <c r="F341">
        <v>5</v>
      </c>
      <c r="G341" s="13">
        <v>46265.145925925928</v>
      </c>
      <c r="H341" s="13">
        <v>46265.14603009259</v>
      </c>
      <c r="I341">
        <v>9</v>
      </c>
      <c r="J341" t="s">
        <v>255</v>
      </c>
      <c r="K341">
        <v>1</v>
      </c>
      <c r="L341">
        <v>0.01</v>
      </c>
      <c r="M341">
        <v>0.01</v>
      </c>
      <c r="N341">
        <v>1</v>
      </c>
      <c r="O341">
        <v>0.01</v>
      </c>
      <c r="P341">
        <v>0.16</v>
      </c>
      <c r="Q341">
        <v>1.1000000000000001</v>
      </c>
      <c r="R341">
        <v>0.97</v>
      </c>
      <c r="S341" t="s">
        <v>256</v>
      </c>
      <c r="T341" t="s">
        <v>257</v>
      </c>
      <c r="U341">
        <v>10</v>
      </c>
      <c r="V341">
        <v>6780.41</v>
      </c>
      <c r="W341">
        <v>4999.84</v>
      </c>
      <c r="X341">
        <v>4999.84</v>
      </c>
      <c r="Y341">
        <v>0</v>
      </c>
      <c r="Z341">
        <v>0</v>
      </c>
      <c r="AA341">
        <v>35</v>
      </c>
      <c r="AB341">
        <v>50</v>
      </c>
      <c r="AC341">
        <v>5000</v>
      </c>
      <c r="AD341">
        <v>0</v>
      </c>
      <c r="AE341">
        <v>0</v>
      </c>
      <c r="AF341">
        <v>6781.32</v>
      </c>
      <c r="AG341">
        <v>6781.32</v>
      </c>
      <c r="AH341" s="14">
        <v>46265</v>
      </c>
      <c r="AI341" t="s">
        <v>266</v>
      </c>
      <c r="AJ341" s="13">
        <v>46265.054768518516</v>
      </c>
      <c r="AK341">
        <v>6763.31</v>
      </c>
      <c r="AL341" t="s">
        <v>259</v>
      </c>
      <c r="AM341" t="s">
        <v>260</v>
      </c>
      <c r="AN341">
        <v>1400</v>
      </c>
      <c r="AO341">
        <v>0</v>
      </c>
      <c r="AP341">
        <v>35</v>
      </c>
      <c r="AQ341">
        <v>85</v>
      </c>
      <c r="AR341">
        <v>35</v>
      </c>
      <c r="AS341">
        <v>2</v>
      </c>
      <c r="AT341">
        <v>23</v>
      </c>
      <c r="AU341">
        <v>1</v>
      </c>
      <c r="AV341">
        <v>0</v>
      </c>
      <c r="AW341">
        <v>10</v>
      </c>
      <c r="AX341">
        <v>1</v>
      </c>
      <c r="AY341">
        <v>5</v>
      </c>
      <c r="AZ341">
        <v>2</v>
      </c>
      <c r="BA341">
        <v>1</v>
      </c>
      <c r="BB341">
        <v>1440</v>
      </c>
      <c r="BC341">
        <v>0</v>
      </c>
      <c r="BD341">
        <v>0</v>
      </c>
      <c r="BE341">
        <v>14</v>
      </c>
      <c r="BF341">
        <v>25</v>
      </c>
      <c r="BG341">
        <v>3</v>
      </c>
      <c r="BH341">
        <v>8</v>
      </c>
      <c r="BI341">
        <v>3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0</v>
      </c>
      <c r="BQ341">
        <v>60</v>
      </c>
      <c r="BR341">
        <v>0</v>
      </c>
      <c r="BS341">
        <v>3</v>
      </c>
      <c r="BT341" t="s">
        <v>246</v>
      </c>
      <c r="BU341" t="s">
        <v>267</v>
      </c>
      <c r="BV341" t="b">
        <v>0</v>
      </c>
      <c r="BW341" t="s">
        <v>268</v>
      </c>
    </row>
    <row r="342" spans="1:75">
      <c r="A342" t="s">
        <v>246</v>
      </c>
      <c r="B342" t="s">
        <v>252</v>
      </c>
      <c r="C342">
        <v>696</v>
      </c>
      <c r="D342" t="s">
        <v>253</v>
      </c>
      <c r="E342" t="s">
        <v>254</v>
      </c>
      <c r="F342">
        <v>5</v>
      </c>
      <c r="G342" s="13">
        <v>46265.149571759262</v>
      </c>
      <c r="H342" s="13">
        <v>46265.149768518517</v>
      </c>
      <c r="I342">
        <v>17</v>
      </c>
      <c r="J342" t="s">
        <v>255</v>
      </c>
      <c r="K342">
        <v>1</v>
      </c>
      <c r="L342">
        <v>0.01</v>
      </c>
      <c r="M342">
        <v>0.01</v>
      </c>
      <c r="N342">
        <v>1</v>
      </c>
      <c r="O342">
        <v>0.01</v>
      </c>
      <c r="P342">
        <v>0.31</v>
      </c>
      <c r="Q342">
        <v>1.07</v>
      </c>
      <c r="R342">
        <v>0.94</v>
      </c>
      <c r="S342" t="s">
        <v>256</v>
      </c>
      <c r="T342" t="s">
        <v>257</v>
      </c>
      <c r="U342">
        <v>10</v>
      </c>
      <c r="V342">
        <v>6781.16</v>
      </c>
      <c r="W342">
        <v>4999.84</v>
      </c>
      <c r="X342">
        <v>4999.6899999999996</v>
      </c>
      <c r="Y342">
        <v>0</v>
      </c>
      <c r="Z342">
        <v>0</v>
      </c>
      <c r="AA342">
        <v>35</v>
      </c>
      <c r="AB342">
        <v>50</v>
      </c>
      <c r="AC342">
        <v>5000</v>
      </c>
      <c r="AD342">
        <v>0</v>
      </c>
      <c r="AE342">
        <v>0</v>
      </c>
      <c r="AF342">
        <v>6782.03</v>
      </c>
      <c r="AG342">
        <v>6782.03</v>
      </c>
      <c r="AH342" s="14">
        <v>46265</v>
      </c>
      <c r="AI342" t="s">
        <v>266</v>
      </c>
      <c r="AJ342" s="13">
        <v>46265.054768518516</v>
      </c>
      <c r="AK342">
        <v>6763.31</v>
      </c>
      <c r="AL342" t="s">
        <v>259</v>
      </c>
      <c r="AM342" t="s">
        <v>260</v>
      </c>
      <c r="AN342">
        <v>1400</v>
      </c>
      <c r="AO342">
        <v>0</v>
      </c>
      <c r="AP342">
        <v>35</v>
      </c>
      <c r="AQ342">
        <v>85</v>
      </c>
      <c r="AR342">
        <v>35</v>
      </c>
      <c r="AS342">
        <v>2</v>
      </c>
      <c r="AT342">
        <v>23</v>
      </c>
      <c r="AU342">
        <v>1</v>
      </c>
      <c r="AV342">
        <v>0</v>
      </c>
      <c r="AW342">
        <v>10</v>
      </c>
      <c r="AX342">
        <v>1</v>
      </c>
      <c r="AY342">
        <v>5</v>
      </c>
      <c r="AZ342">
        <v>2</v>
      </c>
      <c r="BA342">
        <v>1</v>
      </c>
      <c r="BB342">
        <v>1440</v>
      </c>
      <c r="BC342">
        <v>0</v>
      </c>
      <c r="BD342">
        <v>0</v>
      </c>
      <c r="BE342">
        <v>14</v>
      </c>
      <c r="BF342">
        <v>25</v>
      </c>
      <c r="BG342">
        <v>3</v>
      </c>
      <c r="BH342">
        <v>8</v>
      </c>
      <c r="BI342">
        <v>3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0</v>
      </c>
      <c r="BQ342">
        <v>60</v>
      </c>
      <c r="BR342">
        <v>0</v>
      </c>
      <c r="BS342">
        <v>3</v>
      </c>
      <c r="BT342" t="s">
        <v>246</v>
      </c>
      <c r="BU342" t="s">
        <v>267</v>
      </c>
      <c r="BV342" t="b">
        <v>0</v>
      </c>
      <c r="BW342" t="s">
        <v>268</v>
      </c>
    </row>
    <row r="343" spans="1:75">
      <c r="A343" t="s">
        <v>246</v>
      </c>
      <c r="B343" t="s">
        <v>252</v>
      </c>
      <c r="C343">
        <v>697</v>
      </c>
      <c r="D343" t="s">
        <v>253</v>
      </c>
      <c r="E343" t="s">
        <v>254</v>
      </c>
      <c r="F343">
        <v>5</v>
      </c>
      <c r="G343" s="13">
        <v>46265.153645833336</v>
      </c>
      <c r="H343" s="13">
        <v>46265.15421296296</v>
      </c>
      <c r="I343">
        <v>49</v>
      </c>
      <c r="J343" t="s">
        <v>264</v>
      </c>
      <c r="K343">
        <v>1</v>
      </c>
      <c r="L343">
        <v>0.01</v>
      </c>
      <c r="M343">
        <v>0.01</v>
      </c>
      <c r="N343">
        <v>1</v>
      </c>
      <c r="O343">
        <v>0.01</v>
      </c>
      <c r="P343">
        <v>1.59</v>
      </c>
      <c r="Q343">
        <v>0.82</v>
      </c>
      <c r="R343">
        <v>0.82</v>
      </c>
      <c r="S343" t="s">
        <v>256</v>
      </c>
      <c r="T343" t="s">
        <v>257</v>
      </c>
      <c r="U343">
        <v>10</v>
      </c>
      <c r="V343">
        <v>6781.87</v>
      </c>
      <c r="W343">
        <v>4999.84</v>
      </c>
      <c r="X343">
        <v>4998.41</v>
      </c>
      <c r="Y343">
        <v>0</v>
      </c>
      <c r="Z343">
        <v>0</v>
      </c>
      <c r="AA343">
        <v>35</v>
      </c>
      <c r="AB343">
        <v>50</v>
      </c>
      <c r="AC343">
        <v>5000</v>
      </c>
      <c r="AD343">
        <v>0</v>
      </c>
      <c r="AE343">
        <v>0</v>
      </c>
      <c r="AF343">
        <v>6782.5</v>
      </c>
      <c r="AG343">
        <v>6782.5</v>
      </c>
      <c r="AH343" s="14">
        <v>46265</v>
      </c>
      <c r="AI343" t="s">
        <v>266</v>
      </c>
      <c r="AJ343" s="13">
        <v>46265.054768518516</v>
      </c>
      <c r="AK343">
        <v>6763.31</v>
      </c>
      <c r="AL343" t="s">
        <v>259</v>
      </c>
      <c r="AM343" t="s">
        <v>260</v>
      </c>
      <c r="AN343">
        <v>1400</v>
      </c>
      <c r="AO343">
        <v>0</v>
      </c>
      <c r="AP343">
        <v>35</v>
      </c>
      <c r="AQ343">
        <v>85</v>
      </c>
      <c r="AR343">
        <v>35</v>
      </c>
      <c r="AS343">
        <v>2</v>
      </c>
      <c r="AT343">
        <v>23</v>
      </c>
      <c r="AU343">
        <v>1</v>
      </c>
      <c r="AV343">
        <v>0</v>
      </c>
      <c r="AW343">
        <v>10</v>
      </c>
      <c r="AX343">
        <v>1</v>
      </c>
      <c r="AY343">
        <v>5</v>
      </c>
      <c r="AZ343">
        <v>2</v>
      </c>
      <c r="BA343">
        <v>1</v>
      </c>
      <c r="BB343">
        <v>1440</v>
      </c>
      <c r="BC343">
        <v>0</v>
      </c>
      <c r="BD343">
        <v>0</v>
      </c>
      <c r="BE343">
        <v>14</v>
      </c>
      <c r="BF343">
        <v>25</v>
      </c>
      <c r="BG343">
        <v>3</v>
      </c>
      <c r="BH343">
        <v>8</v>
      </c>
      <c r="BI343">
        <v>3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0</v>
      </c>
      <c r="BQ343">
        <v>60</v>
      </c>
      <c r="BR343">
        <v>0</v>
      </c>
      <c r="BS343">
        <v>3</v>
      </c>
      <c r="BT343" t="s">
        <v>246</v>
      </c>
      <c r="BU343" t="s">
        <v>267</v>
      </c>
      <c r="BV343" t="b">
        <v>0</v>
      </c>
      <c r="BW343" t="s">
        <v>268</v>
      </c>
    </row>
    <row r="344" spans="1:75">
      <c r="A344" t="s">
        <v>246</v>
      </c>
      <c r="B344" t="s">
        <v>252</v>
      </c>
      <c r="C344">
        <v>698</v>
      </c>
      <c r="D344" t="s">
        <v>253</v>
      </c>
      <c r="E344" t="s">
        <v>254</v>
      </c>
      <c r="F344">
        <v>5</v>
      </c>
      <c r="G344" s="13">
        <v>46265.157013888886</v>
      </c>
      <c r="H344" s="13">
        <v>46265.157986111109</v>
      </c>
      <c r="I344">
        <v>84</v>
      </c>
      <c r="J344" t="s">
        <v>255</v>
      </c>
      <c r="K344">
        <v>1</v>
      </c>
      <c r="L344">
        <v>0.01</v>
      </c>
      <c r="M344">
        <v>0.01</v>
      </c>
      <c r="N344">
        <v>1</v>
      </c>
      <c r="O344">
        <v>0.01</v>
      </c>
      <c r="P344">
        <v>1.68</v>
      </c>
      <c r="Q344">
        <v>0.81</v>
      </c>
      <c r="R344">
        <v>0.56000000000000005</v>
      </c>
      <c r="S344" t="s">
        <v>256</v>
      </c>
      <c r="T344" t="s">
        <v>257</v>
      </c>
      <c r="U344">
        <v>10</v>
      </c>
      <c r="V344">
        <v>6782.37</v>
      </c>
      <c r="W344">
        <v>4999.87</v>
      </c>
      <c r="X344">
        <v>4998.32</v>
      </c>
      <c r="Y344">
        <v>0</v>
      </c>
      <c r="Z344">
        <v>0</v>
      </c>
      <c r="AA344">
        <v>35</v>
      </c>
      <c r="AB344">
        <v>50</v>
      </c>
      <c r="AC344">
        <v>5000</v>
      </c>
      <c r="AD344">
        <v>0</v>
      </c>
      <c r="AE344">
        <v>0</v>
      </c>
      <c r="AF344">
        <v>6782.95</v>
      </c>
      <c r="AG344">
        <v>6782.95</v>
      </c>
      <c r="AH344" s="14">
        <v>46265</v>
      </c>
      <c r="AI344" t="s">
        <v>266</v>
      </c>
      <c r="AJ344" s="13">
        <v>46265.054768518516</v>
      </c>
      <c r="AK344">
        <v>6763.31</v>
      </c>
      <c r="AL344" t="s">
        <v>259</v>
      </c>
      <c r="AM344" t="s">
        <v>260</v>
      </c>
      <c r="AN344">
        <v>1400</v>
      </c>
      <c r="AO344">
        <v>0</v>
      </c>
      <c r="AP344">
        <v>35</v>
      </c>
      <c r="AQ344">
        <v>85</v>
      </c>
      <c r="AR344">
        <v>35</v>
      </c>
      <c r="AS344">
        <v>2</v>
      </c>
      <c r="AT344">
        <v>23</v>
      </c>
      <c r="AU344">
        <v>1</v>
      </c>
      <c r="AV344">
        <v>0</v>
      </c>
      <c r="AW344">
        <v>10</v>
      </c>
      <c r="AX344">
        <v>1</v>
      </c>
      <c r="AY344">
        <v>5</v>
      </c>
      <c r="AZ344">
        <v>2</v>
      </c>
      <c r="BA344">
        <v>1</v>
      </c>
      <c r="BB344">
        <v>1440</v>
      </c>
      <c r="BC344">
        <v>0</v>
      </c>
      <c r="BD344">
        <v>0</v>
      </c>
      <c r="BE344">
        <v>14</v>
      </c>
      <c r="BF344">
        <v>25</v>
      </c>
      <c r="BG344">
        <v>3</v>
      </c>
      <c r="BH344">
        <v>8</v>
      </c>
      <c r="BI344">
        <v>3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0</v>
      </c>
      <c r="BQ344">
        <v>60</v>
      </c>
      <c r="BR344">
        <v>0</v>
      </c>
      <c r="BS344">
        <v>3</v>
      </c>
      <c r="BT344" t="s">
        <v>246</v>
      </c>
      <c r="BU344" t="s">
        <v>267</v>
      </c>
      <c r="BV344" t="b">
        <v>0</v>
      </c>
      <c r="BW344" t="s">
        <v>268</v>
      </c>
    </row>
    <row r="345" spans="1:75">
      <c r="A345" t="s">
        <v>246</v>
      </c>
      <c r="B345" t="s">
        <v>252</v>
      </c>
      <c r="C345">
        <v>699</v>
      </c>
      <c r="D345" t="s">
        <v>253</v>
      </c>
      <c r="E345" t="s">
        <v>254</v>
      </c>
      <c r="F345">
        <v>5</v>
      </c>
      <c r="G345" s="13">
        <v>46265.161041666666</v>
      </c>
      <c r="H345" s="13">
        <v>46265.16542824074</v>
      </c>
      <c r="I345">
        <v>379</v>
      </c>
      <c r="J345" t="s">
        <v>264</v>
      </c>
      <c r="K345">
        <v>2</v>
      </c>
      <c r="L345">
        <v>0.02</v>
      </c>
      <c r="M345">
        <v>0.01</v>
      </c>
      <c r="N345">
        <v>2</v>
      </c>
      <c r="O345">
        <v>0.02</v>
      </c>
      <c r="P345">
        <v>4.5</v>
      </c>
      <c r="Q345">
        <v>6.88</v>
      </c>
      <c r="R345">
        <v>4.22</v>
      </c>
      <c r="S345" t="s">
        <v>263</v>
      </c>
      <c r="T345" t="s">
        <v>257</v>
      </c>
      <c r="U345">
        <v>11</v>
      </c>
      <c r="V345">
        <v>6782.78</v>
      </c>
      <c r="W345">
        <v>4999.83</v>
      </c>
      <c r="X345">
        <v>4995.5</v>
      </c>
      <c r="Y345">
        <v>0</v>
      </c>
      <c r="Z345">
        <v>0</v>
      </c>
      <c r="AA345">
        <v>35</v>
      </c>
      <c r="AB345">
        <v>50</v>
      </c>
      <c r="AC345">
        <v>5000</v>
      </c>
      <c r="AD345">
        <v>0</v>
      </c>
      <c r="AE345">
        <v>0</v>
      </c>
      <c r="AF345">
        <v>6787.2</v>
      </c>
      <c r="AG345">
        <v>6787.2</v>
      </c>
      <c r="AH345" s="14">
        <v>46265</v>
      </c>
      <c r="AI345" t="s">
        <v>266</v>
      </c>
      <c r="AJ345" s="13">
        <v>46265.054768518516</v>
      </c>
      <c r="AK345">
        <v>6763.31</v>
      </c>
      <c r="AL345" t="s">
        <v>259</v>
      </c>
      <c r="AM345" t="s">
        <v>260</v>
      </c>
      <c r="AN345">
        <v>1400</v>
      </c>
      <c r="AO345">
        <v>0</v>
      </c>
      <c r="AP345">
        <v>35</v>
      </c>
      <c r="AQ345">
        <v>85</v>
      </c>
      <c r="AR345">
        <v>35</v>
      </c>
      <c r="AS345">
        <v>2</v>
      </c>
      <c r="AT345">
        <v>23</v>
      </c>
      <c r="AU345">
        <v>1</v>
      </c>
      <c r="AV345">
        <v>0</v>
      </c>
      <c r="AW345">
        <v>10</v>
      </c>
      <c r="AX345">
        <v>1</v>
      </c>
      <c r="AY345">
        <v>5</v>
      </c>
      <c r="AZ345">
        <v>2</v>
      </c>
      <c r="BA345">
        <v>1</v>
      </c>
      <c r="BB345">
        <v>1440</v>
      </c>
      <c r="BC345">
        <v>0</v>
      </c>
      <c r="BD345">
        <v>0</v>
      </c>
      <c r="BE345">
        <v>14</v>
      </c>
      <c r="BF345">
        <v>25</v>
      </c>
      <c r="BG345">
        <v>3</v>
      </c>
      <c r="BH345">
        <v>8</v>
      </c>
      <c r="BI345">
        <v>3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60</v>
      </c>
      <c r="BR345">
        <v>0</v>
      </c>
      <c r="BS345">
        <v>3</v>
      </c>
      <c r="BT345" t="s">
        <v>246</v>
      </c>
      <c r="BU345" t="s">
        <v>267</v>
      </c>
      <c r="BV345" t="b">
        <v>0</v>
      </c>
      <c r="BW345" t="s">
        <v>268</v>
      </c>
    </row>
    <row r="346" spans="1:75">
      <c r="A346" t="s">
        <v>246</v>
      </c>
      <c r="B346" t="s">
        <v>252</v>
      </c>
      <c r="C346">
        <v>700</v>
      </c>
      <c r="D346" t="s">
        <v>253</v>
      </c>
      <c r="E346" t="s">
        <v>254</v>
      </c>
      <c r="F346">
        <v>5</v>
      </c>
      <c r="G346" s="13">
        <v>46265.167708333334</v>
      </c>
      <c r="H346" s="13">
        <v>46265.172743055555</v>
      </c>
      <c r="I346">
        <v>435</v>
      </c>
      <c r="J346" t="s">
        <v>264</v>
      </c>
      <c r="K346">
        <v>2</v>
      </c>
      <c r="L346">
        <v>0.02</v>
      </c>
      <c r="M346">
        <v>0.01</v>
      </c>
      <c r="N346">
        <v>2</v>
      </c>
      <c r="O346">
        <v>0.02</v>
      </c>
      <c r="P346">
        <v>19.32</v>
      </c>
      <c r="Q346">
        <v>14.46</v>
      </c>
      <c r="R346">
        <v>12.32</v>
      </c>
      <c r="S346" t="s">
        <v>263</v>
      </c>
      <c r="T346" t="s">
        <v>257</v>
      </c>
      <c r="U346">
        <v>10</v>
      </c>
      <c r="V346">
        <v>6787.03</v>
      </c>
      <c r="W346">
        <v>4999.83</v>
      </c>
      <c r="X346">
        <v>4980.68</v>
      </c>
      <c r="Y346">
        <v>0</v>
      </c>
      <c r="Z346">
        <v>0</v>
      </c>
      <c r="AA346">
        <v>35</v>
      </c>
      <c r="AB346">
        <v>50</v>
      </c>
      <c r="AC346">
        <v>5000</v>
      </c>
      <c r="AD346">
        <v>0</v>
      </c>
      <c r="AE346">
        <v>0</v>
      </c>
      <c r="AF346">
        <v>6799.54</v>
      </c>
      <c r="AG346">
        <v>6799.54</v>
      </c>
      <c r="AH346" s="14">
        <v>46265</v>
      </c>
      <c r="AI346" t="s">
        <v>266</v>
      </c>
      <c r="AJ346" s="13">
        <v>46265.054768518516</v>
      </c>
      <c r="AK346">
        <v>6763.31</v>
      </c>
      <c r="AL346" t="s">
        <v>259</v>
      </c>
      <c r="AM346" t="s">
        <v>260</v>
      </c>
      <c r="AN346">
        <v>1400</v>
      </c>
      <c r="AO346">
        <v>0</v>
      </c>
      <c r="AP346">
        <v>35</v>
      </c>
      <c r="AQ346">
        <v>85</v>
      </c>
      <c r="AR346">
        <v>35</v>
      </c>
      <c r="AS346">
        <v>2</v>
      </c>
      <c r="AT346">
        <v>23</v>
      </c>
      <c r="AU346">
        <v>1</v>
      </c>
      <c r="AV346">
        <v>0</v>
      </c>
      <c r="AW346">
        <v>10</v>
      </c>
      <c r="AX346">
        <v>1</v>
      </c>
      <c r="AY346">
        <v>5</v>
      </c>
      <c r="AZ346">
        <v>2</v>
      </c>
      <c r="BA346">
        <v>1</v>
      </c>
      <c r="BB346">
        <v>1440</v>
      </c>
      <c r="BC346">
        <v>0</v>
      </c>
      <c r="BD346">
        <v>0</v>
      </c>
      <c r="BE346">
        <v>14</v>
      </c>
      <c r="BF346">
        <v>25</v>
      </c>
      <c r="BG346">
        <v>3</v>
      </c>
      <c r="BH346">
        <v>8</v>
      </c>
      <c r="BI346">
        <v>3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0</v>
      </c>
      <c r="BQ346">
        <v>60</v>
      </c>
      <c r="BR346">
        <v>0</v>
      </c>
      <c r="BS346">
        <v>3</v>
      </c>
      <c r="BT346" t="s">
        <v>246</v>
      </c>
      <c r="BU346" t="s">
        <v>267</v>
      </c>
      <c r="BV346" t="b">
        <v>0</v>
      </c>
      <c r="BW346" t="s">
        <v>268</v>
      </c>
    </row>
    <row r="347" spans="1:75">
      <c r="A347" t="s">
        <v>246</v>
      </c>
      <c r="B347" t="s">
        <v>252</v>
      </c>
      <c r="C347">
        <v>701</v>
      </c>
      <c r="D347" t="s">
        <v>253</v>
      </c>
      <c r="E347" t="s">
        <v>254</v>
      </c>
      <c r="F347">
        <v>5</v>
      </c>
      <c r="G347" s="13">
        <v>46265.17396990741</v>
      </c>
      <c r="H347" s="13">
        <v>46265.174097222225</v>
      </c>
      <c r="I347">
        <v>11</v>
      </c>
      <c r="J347" t="s">
        <v>264</v>
      </c>
      <c r="K347">
        <v>1</v>
      </c>
      <c r="L347">
        <v>0.01</v>
      </c>
      <c r="M347">
        <v>0.01</v>
      </c>
      <c r="N347">
        <v>1</v>
      </c>
      <c r="O347">
        <v>0.01</v>
      </c>
      <c r="P347">
        <v>0.45</v>
      </c>
      <c r="Q347">
        <v>0.82</v>
      </c>
      <c r="R347">
        <v>0.51</v>
      </c>
      <c r="S347" t="s">
        <v>256</v>
      </c>
      <c r="T347" t="s">
        <v>257</v>
      </c>
      <c r="U347">
        <v>11</v>
      </c>
      <c r="V347">
        <v>6799.33</v>
      </c>
      <c r="W347">
        <v>4999.79</v>
      </c>
      <c r="X347">
        <v>4999.55</v>
      </c>
      <c r="Y347">
        <v>0</v>
      </c>
      <c r="Z347">
        <v>0</v>
      </c>
      <c r="AA347">
        <v>35</v>
      </c>
      <c r="AB347">
        <v>50</v>
      </c>
      <c r="AC347">
        <v>5000</v>
      </c>
      <c r="AD347">
        <v>0</v>
      </c>
      <c r="AE347">
        <v>0</v>
      </c>
      <c r="AF347">
        <v>6800</v>
      </c>
      <c r="AG347">
        <v>6800</v>
      </c>
      <c r="AH347" s="14">
        <v>46265</v>
      </c>
      <c r="AI347" t="s">
        <v>266</v>
      </c>
      <c r="AJ347" s="13">
        <v>46265.054768518516</v>
      </c>
      <c r="AK347">
        <v>6763.31</v>
      </c>
      <c r="AL347" t="s">
        <v>259</v>
      </c>
      <c r="AM347" t="s">
        <v>260</v>
      </c>
      <c r="AN347">
        <v>1400</v>
      </c>
      <c r="AO347">
        <v>0</v>
      </c>
      <c r="AP347">
        <v>35</v>
      </c>
      <c r="AQ347">
        <v>85</v>
      </c>
      <c r="AR347">
        <v>35</v>
      </c>
      <c r="AS347">
        <v>2</v>
      </c>
      <c r="AT347">
        <v>23</v>
      </c>
      <c r="AU347">
        <v>1</v>
      </c>
      <c r="AV347">
        <v>0</v>
      </c>
      <c r="AW347">
        <v>10</v>
      </c>
      <c r="AX347">
        <v>1</v>
      </c>
      <c r="AY347">
        <v>5</v>
      </c>
      <c r="AZ347">
        <v>2</v>
      </c>
      <c r="BA347">
        <v>1</v>
      </c>
      <c r="BB347">
        <v>1440</v>
      </c>
      <c r="BC347">
        <v>0</v>
      </c>
      <c r="BD347">
        <v>0</v>
      </c>
      <c r="BE347">
        <v>14</v>
      </c>
      <c r="BF347">
        <v>25</v>
      </c>
      <c r="BG347">
        <v>3</v>
      </c>
      <c r="BH347">
        <v>8</v>
      </c>
      <c r="BI347">
        <v>3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0</v>
      </c>
      <c r="BQ347">
        <v>60</v>
      </c>
      <c r="BR347">
        <v>0</v>
      </c>
      <c r="BS347">
        <v>3</v>
      </c>
      <c r="BT347" t="s">
        <v>246</v>
      </c>
      <c r="BU347" t="s">
        <v>267</v>
      </c>
      <c r="BV347" t="b">
        <v>0</v>
      </c>
      <c r="BW347" t="s">
        <v>268</v>
      </c>
    </row>
    <row r="348" spans="1:75">
      <c r="A348" t="s">
        <v>246</v>
      </c>
      <c r="B348" t="s">
        <v>252</v>
      </c>
      <c r="C348">
        <v>702</v>
      </c>
      <c r="D348" t="s">
        <v>253</v>
      </c>
      <c r="E348" t="s">
        <v>254</v>
      </c>
      <c r="F348">
        <v>5</v>
      </c>
      <c r="G348" s="13">
        <v>46265.178159722222</v>
      </c>
      <c r="H348" s="13">
        <v>46265.178622685184</v>
      </c>
      <c r="I348">
        <v>40</v>
      </c>
      <c r="J348" t="s">
        <v>255</v>
      </c>
      <c r="K348">
        <v>1</v>
      </c>
      <c r="L348">
        <v>0.01</v>
      </c>
      <c r="M348">
        <v>0.01</v>
      </c>
      <c r="N348">
        <v>1</v>
      </c>
      <c r="O348">
        <v>0.01</v>
      </c>
      <c r="P348">
        <v>2.5499999999999998</v>
      </c>
      <c r="Q348">
        <v>2.39</v>
      </c>
      <c r="R348">
        <v>2.2000000000000002</v>
      </c>
      <c r="S348" t="s">
        <v>256</v>
      </c>
      <c r="T348" t="s">
        <v>257</v>
      </c>
      <c r="U348">
        <v>11</v>
      </c>
      <c r="V348">
        <v>6799.79</v>
      </c>
      <c r="W348">
        <v>4999.79</v>
      </c>
      <c r="X348">
        <v>4997.45</v>
      </c>
      <c r="Y348">
        <v>0</v>
      </c>
      <c r="Z348">
        <v>0</v>
      </c>
      <c r="AA348">
        <v>35</v>
      </c>
      <c r="AB348">
        <v>50</v>
      </c>
      <c r="AC348">
        <v>5000</v>
      </c>
      <c r="AD348">
        <v>0</v>
      </c>
      <c r="AE348">
        <v>0</v>
      </c>
      <c r="AF348">
        <v>6802.04</v>
      </c>
      <c r="AG348">
        <v>6802.04</v>
      </c>
      <c r="AH348" s="14">
        <v>46265</v>
      </c>
      <c r="AI348" t="s">
        <v>266</v>
      </c>
      <c r="AJ348" s="13">
        <v>46265.054768518516</v>
      </c>
      <c r="AK348">
        <v>6763.31</v>
      </c>
      <c r="AL348" t="s">
        <v>259</v>
      </c>
      <c r="AM348" t="s">
        <v>260</v>
      </c>
      <c r="AN348">
        <v>1400</v>
      </c>
      <c r="AO348">
        <v>0</v>
      </c>
      <c r="AP348">
        <v>35</v>
      </c>
      <c r="AQ348">
        <v>85</v>
      </c>
      <c r="AR348">
        <v>35</v>
      </c>
      <c r="AS348">
        <v>2</v>
      </c>
      <c r="AT348">
        <v>23</v>
      </c>
      <c r="AU348">
        <v>1</v>
      </c>
      <c r="AV348">
        <v>0</v>
      </c>
      <c r="AW348">
        <v>10</v>
      </c>
      <c r="AX348">
        <v>1</v>
      </c>
      <c r="AY348">
        <v>5</v>
      </c>
      <c r="AZ348">
        <v>2</v>
      </c>
      <c r="BA348">
        <v>1</v>
      </c>
      <c r="BB348">
        <v>1440</v>
      </c>
      <c r="BC348">
        <v>0</v>
      </c>
      <c r="BD348">
        <v>0</v>
      </c>
      <c r="BE348">
        <v>14</v>
      </c>
      <c r="BF348">
        <v>25</v>
      </c>
      <c r="BG348">
        <v>3</v>
      </c>
      <c r="BH348">
        <v>8</v>
      </c>
      <c r="BI348">
        <v>3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0</v>
      </c>
      <c r="BQ348">
        <v>60</v>
      </c>
      <c r="BR348">
        <v>0</v>
      </c>
      <c r="BS348">
        <v>3</v>
      </c>
      <c r="BT348" t="s">
        <v>246</v>
      </c>
      <c r="BU348" t="s">
        <v>267</v>
      </c>
      <c r="BV348" t="b">
        <v>0</v>
      </c>
      <c r="BW348" t="s">
        <v>268</v>
      </c>
    </row>
    <row r="349" spans="1:75">
      <c r="A349" t="s">
        <v>246</v>
      </c>
      <c r="B349" t="s">
        <v>252</v>
      </c>
      <c r="C349">
        <v>703</v>
      </c>
      <c r="D349" t="s">
        <v>253</v>
      </c>
      <c r="E349" t="s">
        <v>254</v>
      </c>
      <c r="F349">
        <v>5</v>
      </c>
      <c r="G349" s="13">
        <v>46265.181006944447</v>
      </c>
      <c r="H349" s="13">
        <v>46265.181539351855</v>
      </c>
      <c r="I349">
        <v>46</v>
      </c>
      <c r="J349" t="s">
        <v>264</v>
      </c>
      <c r="K349">
        <v>1</v>
      </c>
      <c r="L349">
        <v>0.01</v>
      </c>
      <c r="M349">
        <v>0.01</v>
      </c>
      <c r="N349">
        <v>1</v>
      </c>
      <c r="O349">
        <v>0.01</v>
      </c>
      <c r="P349">
        <v>0.98</v>
      </c>
      <c r="Q349">
        <v>1.62</v>
      </c>
      <c r="R349">
        <v>1.56</v>
      </c>
      <c r="S349" t="s">
        <v>256</v>
      </c>
      <c r="T349" t="s">
        <v>257</v>
      </c>
      <c r="U349">
        <v>10</v>
      </c>
      <c r="V349">
        <v>6801.88</v>
      </c>
      <c r="W349">
        <v>4999.84</v>
      </c>
      <c r="X349">
        <v>4999.0200000000004</v>
      </c>
      <c r="Y349">
        <v>0</v>
      </c>
      <c r="Z349">
        <v>0</v>
      </c>
      <c r="AA349">
        <v>35</v>
      </c>
      <c r="AB349">
        <v>50</v>
      </c>
      <c r="AC349">
        <v>5000</v>
      </c>
      <c r="AD349">
        <v>0</v>
      </c>
      <c r="AE349">
        <v>0</v>
      </c>
      <c r="AF349">
        <v>6803.3</v>
      </c>
      <c r="AG349">
        <v>6803.3</v>
      </c>
      <c r="AH349" s="14">
        <v>46265</v>
      </c>
      <c r="AI349" t="s">
        <v>266</v>
      </c>
      <c r="AJ349" s="13">
        <v>46265.054768518516</v>
      </c>
      <c r="AK349">
        <v>6763.31</v>
      </c>
      <c r="AL349" t="s">
        <v>259</v>
      </c>
      <c r="AM349" t="s">
        <v>260</v>
      </c>
      <c r="AN349">
        <v>1400</v>
      </c>
      <c r="AO349">
        <v>0</v>
      </c>
      <c r="AP349">
        <v>35</v>
      </c>
      <c r="AQ349">
        <v>85</v>
      </c>
      <c r="AR349">
        <v>35</v>
      </c>
      <c r="AS349">
        <v>2</v>
      </c>
      <c r="AT349">
        <v>23</v>
      </c>
      <c r="AU349">
        <v>1</v>
      </c>
      <c r="AV349">
        <v>0</v>
      </c>
      <c r="AW349">
        <v>10</v>
      </c>
      <c r="AX349">
        <v>1</v>
      </c>
      <c r="AY349">
        <v>5</v>
      </c>
      <c r="AZ349">
        <v>2</v>
      </c>
      <c r="BA349">
        <v>1</v>
      </c>
      <c r="BB349">
        <v>1440</v>
      </c>
      <c r="BC349">
        <v>0</v>
      </c>
      <c r="BD349">
        <v>0</v>
      </c>
      <c r="BE349">
        <v>14</v>
      </c>
      <c r="BF349">
        <v>25</v>
      </c>
      <c r="BG349">
        <v>3</v>
      </c>
      <c r="BH349">
        <v>8</v>
      </c>
      <c r="BI349">
        <v>3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0</v>
      </c>
      <c r="BQ349">
        <v>60</v>
      </c>
      <c r="BR349">
        <v>0</v>
      </c>
      <c r="BS349">
        <v>3</v>
      </c>
      <c r="BT349" t="s">
        <v>246</v>
      </c>
      <c r="BU349" t="s">
        <v>267</v>
      </c>
      <c r="BV349" t="b">
        <v>0</v>
      </c>
      <c r="BW349" t="s">
        <v>268</v>
      </c>
    </row>
    <row r="350" spans="1:75">
      <c r="A350" t="s">
        <v>246</v>
      </c>
      <c r="B350" t="s">
        <v>252</v>
      </c>
      <c r="C350">
        <v>704</v>
      </c>
      <c r="D350" t="s">
        <v>253</v>
      </c>
      <c r="E350" t="s">
        <v>254</v>
      </c>
      <c r="F350">
        <v>5</v>
      </c>
      <c r="G350" s="13">
        <v>46265.184178240743</v>
      </c>
      <c r="H350" s="13">
        <v>46265.18546296296</v>
      </c>
      <c r="I350">
        <v>111</v>
      </c>
      <c r="J350" t="s">
        <v>264</v>
      </c>
      <c r="K350">
        <v>1</v>
      </c>
      <c r="L350">
        <v>0.01</v>
      </c>
      <c r="M350">
        <v>0.01</v>
      </c>
      <c r="N350">
        <v>1</v>
      </c>
      <c r="O350">
        <v>0.01</v>
      </c>
      <c r="P350">
        <v>4.1500000000000004</v>
      </c>
      <c r="Q350">
        <v>2.2200000000000002</v>
      </c>
      <c r="R350">
        <v>1.97</v>
      </c>
      <c r="S350" t="s">
        <v>256</v>
      </c>
      <c r="T350" t="s">
        <v>257</v>
      </c>
      <c r="U350">
        <v>11</v>
      </c>
      <c r="V350">
        <v>6803.1</v>
      </c>
      <c r="W350">
        <v>4999.8</v>
      </c>
      <c r="X350">
        <v>4995.8500000000004</v>
      </c>
      <c r="Y350">
        <v>0</v>
      </c>
      <c r="Z350">
        <v>0</v>
      </c>
      <c r="AA350">
        <v>35</v>
      </c>
      <c r="AB350">
        <v>50</v>
      </c>
      <c r="AC350">
        <v>5000</v>
      </c>
      <c r="AD350">
        <v>0</v>
      </c>
      <c r="AE350">
        <v>0</v>
      </c>
      <c r="AF350">
        <v>6805.17</v>
      </c>
      <c r="AG350">
        <v>6805.17</v>
      </c>
      <c r="AH350" s="14">
        <v>46265</v>
      </c>
      <c r="AI350" t="s">
        <v>266</v>
      </c>
      <c r="AJ350" s="13">
        <v>46265.054768518516</v>
      </c>
      <c r="AK350">
        <v>6763.31</v>
      </c>
      <c r="AL350" t="s">
        <v>259</v>
      </c>
      <c r="AM350" t="s">
        <v>260</v>
      </c>
      <c r="AN350">
        <v>1400</v>
      </c>
      <c r="AO350">
        <v>0</v>
      </c>
      <c r="AP350">
        <v>35</v>
      </c>
      <c r="AQ350">
        <v>85</v>
      </c>
      <c r="AR350">
        <v>35</v>
      </c>
      <c r="AS350">
        <v>2</v>
      </c>
      <c r="AT350">
        <v>23</v>
      </c>
      <c r="AU350">
        <v>1</v>
      </c>
      <c r="AV350">
        <v>0</v>
      </c>
      <c r="AW350">
        <v>10</v>
      </c>
      <c r="AX350">
        <v>1</v>
      </c>
      <c r="AY350">
        <v>5</v>
      </c>
      <c r="AZ350">
        <v>2</v>
      </c>
      <c r="BA350">
        <v>1</v>
      </c>
      <c r="BB350">
        <v>1440</v>
      </c>
      <c r="BC350">
        <v>0</v>
      </c>
      <c r="BD350">
        <v>0</v>
      </c>
      <c r="BE350">
        <v>14</v>
      </c>
      <c r="BF350">
        <v>25</v>
      </c>
      <c r="BG350">
        <v>3</v>
      </c>
      <c r="BH350">
        <v>8</v>
      </c>
      <c r="BI350">
        <v>3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0</v>
      </c>
      <c r="BQ350">
        <v>60</v>
      </c>
      <c r="BR350">
        <v>0</v>
      </c>
      <c r="BS350">
        <v>3</v>
      </c>
      <c r="BT350" t="s">
        <v>246</v>
      </c>
      <c r="BU350" t="s">
        <v>267</v>
      </c>
      <c r="BV350" t="b">
        <v>0</v>
      </c>
      <c r="BW350" t="s">
        <v>268</v>
      </c>
    </row>
    <row r="351" spans="1:75">
      <c r="A351" t="s">
        <v>246</v>
      </c>
      <c r="B351" t="s">
        <v>252</v>
      </c>
      <c r="C351">
        <v>705</v>
      </c>
      <c r="D351" t="s">
        <v>253</v>
      </c>
      <c r="E351" t="s">
        <v>254</v>
      </c>
      <c r="F351">
        <v>5</v>
      </c>
      <c r="G351" s="13">
        <v>46265.188020833331</v>
      </c>
      <c r="H351" s="13">
        <v>46265.188506944447</v>
      </c>
      <c r="I351">
        <v>42</v>
      </c>
      <c r="J351" t="s">
        <v>255</v>
      </c>
      <c r="K351">
        <v>1</v>
      </c>
      <c r="L351">
        <v>0.01</v>
      </c>
      <c r="M351">
        <v>0.01</v>
      </c>
      <c r="N351">
        <v>1</v>
      </c>
      <c r="O351">
        <v>0.01</v>
      </c>
      <c r="P351">
        <v>1.97</v>
      </c>
      <c r="Q351">
        <v>1.37</v>
      </c>
      <c r="R351">
        <v>1.17</v>
      </c>
      <c r="S351" t="s">
        <v>256</v>
      </c>
      <c r="T351" t="s">
        <v>257</v>
      </c>
      <c r="U351">
        <v>10</v>
      </c>
      <c r="V351">
        <v>6805.01</v>
      </c>
      <c r="W351">
        <v>4999.84</v>
      </c>
      <c r="X351">
        <v>4998.03</v>
      </c>
      <c r="Y351">
        <v>0</v>
      </c>
      <c r="Z351">
        <v>0</v>
      </c>
      <c r="AA351">
        <v>35</v>
      </c>
      <c r="AB351">
        <v>50</v>
      </c>
      <c r="AC351">
        <v>5000</v>
      </c>
      <c r="AD351">
        <v>0</v>
      </c>
      <c r="AE351">
        <v>0</v>
      </c>
      <c r="AF351">
        <v>6806.19</v>
      </c>
      <c r="AG351">
        <v>6806.19</v>
      </c>
      <c r="AH351" s="14">
        <v>46265</v>
      </c>
      <c r="AI351" t="s">
        <v>266</v>
      </c>
      <c r="AJ351" s="13">
        <v>46265.054768518516</v>
      </c>
      <c r="AK351">
        <v>6763.31</v>
      </c>
      <c r="AL351" t="s">
        <v>259</v>
      </c>
      <c r="AM351" t="s">
        <v>260</v>
      </c>
      <c r="AN351">
        <v>1400</v>
      </c>
      <c r="AO351">
        <v>0</v>
      </c>
      <c r="AP351">
        <v>35</v>
      </c>
      <c r="AQ351">
        <v>85</v>
      </c>
      <c r="AR351">
        <v>35</v>
      </c>
      <c r="AS351">
        <v>2</v>
      </c>
      <c r="AT351">
        <v>23</v>
      </c>
      <c r="AU351">
        <v>1</v>
      </c>
      <c r="AV351">
        <v>0</v>
      </c>
      <c r="AW351">
        <v>10</v>
      </c>
      <c r="AX351">
        <v>1</v>
      </c>
      <c r="AY351">
        <v>5</v>
      </c>
      <c r="AZ351">
        <v>2</v>
      </c>
      <c r="BA351">
        <v>1</v>
      </c>
      <c r="BB351">
        <v>1440</v>
      </c>
      <c r="BC351">
        <v>0</v>
      </c>
      <c r="BD351">
        <v>0</v>
      </c>
      <c r="BE351">
        <v>14</v>
      </c>
      <c r="BF351">
        <v>25</v>
      </c>
      <c r="BG351">
        <v>3</v>
      </c>
      <c r="BH351">
        <v>8</v>
      </c>
      <c r="BI351">
        <v>3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0</v>
      </c>
      <c r="BQ351">
        <v>60</v>
      </c>
      <c r="BR351">
        <v>0</v>
      </c>
      <c r="BS351">
        <v>3</v>
      </c>
      <c r="BT351" t="s">
        <v>246</v>
      </c>
      <c r="BU351" t="s">
        <v>267</v>
      </c>
      <c r="BV351" t="b">
        <v>0</v>
      </c>
      <c r="BW351" t="s">
        <v>268</v>
      </c>
    </row>
    <row r="352" spans="1:75">
      <c r="A352" t="s">
        <v>246</v>
      </c>
      <c r="B352" t="s">
        <v>252</v>
      </c>
      <c r="C352">
        <v>706</v>
      </c>
      <c r="D352" t="s">
        <v>253</v>
      </c>
      <c r="E352" t="s">
        <v>254</v>
      </c>
      <c r="F352">
        <v>5</v>
      </c>
      <c r="G352" s="13">
        <v>46265.191145833334</v>
      </c>
      <c r="H352" s="13">
        <v>46265.192743055559</v>
      </c>
      <c r="I352">
        <v>138</v>
      </c>
      <c r="J352" t="s">
        <v>255</v>
      </c>
      <c r="K352">
        <v>1</v>
      </c>
      <c r="L352">
        <v>0.01</v>
      </c>
      <c r="M352">
        <v>0.01</v>
      </c>
      <c r="N352">
        <v>1</v>
      </c>
      <c r="O352">
        <v>0.01</v>
      </c>
      <c r="P352">
        <v>4.3099999999999996</v>
      </c>
      <c r="Q352">
        <v>1.24</v>
      </c>
      <c r="R352">
        <v>1.21</v>
      </c>
      <c r="S352" t="s">
        <v>256</v>
      </c>
      <c r="T352" t="s">
        <v>257</v>
      </c>
      <c r="U352">
        <v>10</v>
      </c>
      <c r="V352">
        <v>6806.06</v>
      </c>
      <c r="W352">
        <v>4999.87</v>
      </c>
      <c r="X352">
        <v>4995.6899999999996</v>
      </c>
      <c r="Y352">
        <v>0</v>
      </c>
      <c r="Z352">
        <v>0</v>
      </c>
      <c r="AA352">
        <v>35</v>
      </c>
      <c r="AB352">
        <v>50</v>
      </c>
      <c r="AC352">
        <v>5000</v>
      </c>
      <c r="AD352">
        <v>0</v>
      </c>
      <c r="AE352">
        <v>0</v>
      </c>
      <c r="AF352">
        <v>6807.08</v>
      </c>
      <c r="AG352">
        <v>6807.08</v>
      </c>
      <c r="AH352" s="14">
        <v>46265</v>
      </c>
      <c r="AI352" t="s">
        <v>266</v>
      </c>
      <c r="AJ352" s="13">
        <v>46265.054768518516</v>
      </c>
      <c r="AK352">
        <v>6763.31</v>
      </c>
      <c r="AL352" t="s">
        <v>259</v>
      </c>
      <c r="AM352" t="s">
        <v>260</v>
      </c>
      <c r="AN352">
        <v>1400</v>
      </c>
      <c r="AO352">
        <v>0</v>
      </c>
      <c r="AP352">
        <v>35</v>
      </c>
      <c r="AQ352">
        <v>85</v>
      </c>
      <c r="AR352">
        <v>35</v>
      </c>
      <c r="AS352">
        <v>2</v>
      </c>
      <c r="AT352">
        <v>23</v>
      </c>
      <c r="AU352">
        <v>1</v>
      </c>
      <c r="AV352">
        <v>0</v>
      </c>
      <c r="AW352">
        <v>10</v>
      </c>
      <c r="AX352">
        <v>1</v>
      </c>
      <c r="AY352">
        <v>5</v>
      </c>
      <c r="AZ352">
        <v>2</v>
      </c>
      <c r="BA352">
        <v>1</v>
      </c>
      <c r="BB352">
        <v>1440</v>
      </c>
      <c r="BC352">
        <v>0</v>
      </c>
      <c r="BD352">
        <v>0</v>
      </c>
      <c r="BE352">
        <v>14</v>
      </c>
      <c r="BF352">
        <v>25</v>
      </c>
      <c r="BG352">
        <v>3</v>
      </c>
      <c r="BH352">
        <v>8</v>
      </c>
      <c r="BI352">
        <v>3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0</v>
      </c>
      <c r="BQ352">
        <v>60</v>
      </c>
      <c r="BR352">
        <v>0</v>
      </c>
      <c r="BS352">
        <v>3</v>
      </c>
      <c r="BT352" t="s">
        <v>246</v>
      </c>
      <c r="BU352" t="s">
        <v>267</v>
      </c>
      <c r="BV352" t="b">
        <v>0</v>
      </c>
      <c r="BW352" t="s">
        <v>268</v>
      </c>
    </row>
    <row r="353" spans="1:75">
      <c r="A353" t="s">
        <v>246</v>
      </c>
      <c r="B353" t="s">
        <v>252</v>
      </c>
      <c r="C353">
        <v>707</v>
      </c>
      <c r="D353" t="s">
        <v>253</v>
      </c>
      <c r="E353" t="s">
        <v>254</v>
      </c>
      <c r="F353">
        <v>5</v>
      </c>
      <c r="G353" s="13">
        <v>46265.194837962961</v>
      </c>
      <c r="H353" s="13">
        <v>46265.195023148146</v>
      </c>
      <c r="I353">
        <v>16</v>
      </c>
      <c r="J353" t="s">
        <v>264</v>
      </c>
      <c r="K353">
        <v>1</v>
      </c>
      <c r="L353">
        <v>0.01</v>
      </c>
      <c r="M353">
        <v>0.01</v>
      </c>
      <c r="N353">
        <v>1</v>
      </c>
      <c r="O353">
        <v>0.01</v>
      </c>
      <c r="P353">
        <v>0.39</v>
      </c>
      <c r="Q353">
        <v>1.83</v>
      </c>
      <c r="R353">
        <v>1.56</v>
      </c>
      <c r="S353" t="s">
        <v>256</v>
      </c>
      <c r="T353" t="s">
        <v>257</v>
      </c>
      <c r="U353">
        <v>14</v>
      </c>
      <c r="V353">
        <v>6806.91</v>
      </c>
      <c r="W353">
        <v>4999.83</v>
      </c>
      <c r="X353">
        <v>4999.6099999999997</v>
      </c>
      <c r="Y353">
        <v>0</v>
      </c>
      <c r="Z353">
        <v>0</v>
      </c>
      <c r="AA353">
        <v>35</v>
      </c>
      <c r="AB353">
        <v>50</v>
      </c>
      <c r="AC353">
        <v>5000</v>
      </c>
      <c r="AD353">
        <v>0</v>
      </c>
      <c r="AE353">
        <v>0</v>
      </c>
      <c r="AF353">
        <v>6808.56</v>
      </c>
      <c r="AG353">
        <v>6808.56</v>
      </c>
      <c r="AH353" s="14">
        <v>46265</v>
      </c>
      <c r="AI353" t="s">
        <v>266</v>
      </c>
      <c r="AJ353" s="13">
        <v>46265.054768518516</v>
      </c>
      <c r="AK353">
        <v>6763.31</v>
      </c>
      <c r="AL353" t="s">
        <v>259</v>
      </c>
      <c r="AM353" t="s">
        <v>260</v>
      </c>
      <c r="AN353">
        <v>1400</v>
      </c>
      <c r="AO353">
        <v>0</v>
      </c>
      <c r="AP353">
        <v>35</v>
      </c>
      <c r="AQ353">
        <v>85</v>
      </c>
      <c r="AR353">
        <v>35</v>
      </c>
      <c r="AS353">
        <v>2</v>
      </c>
      <c r="AT353">
        <v>23</v>
      </c>
      <c r="AU353">
        <v>1</v>
      </c>
      <c r="AV353">
        <v>0</v>
      </c>
      <c r="AW353">
        <v>10</v>
      </c>
      <c r="AX353">
        <v>1</v>
      </c>
      <c r="AY353">
        <v>5</v>
      </c>
      <c r="AZ353">
        <v>2</v>
      </c>
      <c r="BA353">
        <v>1</v>
      </c>
      <c r="BB353">
        <v>1440</v>
      </c>
      <c r="BC353">
        <v>0</v>
      </c>
      <c r="BD353">
        <v>0</v>
      </c>
      <c r="BE353">
        <v>14</v>
      </c>
      <c r="BF353">
        <v>25</v>
      </c>
      <c r="BG353">
        <v>3</v>
      </c>
      <c r="BH353">
        <v>8</v>
      </c>
      <c r="BI353">
        <v>3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0</v>
      </c>
      <c r="BQ353">
        <v>60</v>
      </c>
      <c r="BR353">
        <v>0</v>
      </c>
      <c r="BS353">
        <v>3</v>
      </c>
      <c r="BT353" t="s">
        <v>246</v>
      </c>
      <c r="BU353" t="s">
        <v>267</v>
      </c>
      <c r="BV353" t="b">
        <v>0</v>
      </c>
      <c r="BW353" t="s">
        <v>268</v>
      </c>
    </row>
    <row r="354" spans="1:75">
      <c r="A354" t="s">
        <v>246</v>
      </c>
      <c r="B354" t="s">
        <v>252</v>
      </c>
      <c r="C354">
        <v>708</v>
      </c>
      <c r="D354" t="s">
        <v>253</v>
      </c>
      <c r="E354" t="s">
        <v>254</v>
      </c>
      <c r="F354">
        <v>5</v>
      </c>
      <c r="G354" s="13">
        <v>46265.19940972222</v>
      </c>
      <c r="H354" s="13">
        <v>46265.199699074074</v>
      </c>
      <c r="I354">
        <v>25</v>
      </c>
      <c r="J354" t="s">
        <v>264</v>
      </c>
      <c r="K354">
        <v>1</v>
      </c>
      <c r="L354">
        <v>0.01</v>
      </c>
      <c r="M354">
        <v>0.01</v>
      </c>
      <c r="N354">
        <v>1</v>
      </c>
      <c r="O354">
        <v>0.01</v>
      </c>
      <c r="P354">
        <v>0.3</v>
      </c>
      <c r="Q354">
        <v>1.69</v>
      </c>
      <c r="R354">
        <v>1.5</v>
      </c>
      <c r="S354" t="s">
        <v>256</v>
      </c>
      <c r="T354" t="s">
        <v>257</v>
      </c>
      <c r="U354">
        <v>10</v>
      </c>
      <c r="V354">
        <v>6808.4</v>
      </c>
      <c r="W354">
        <v>4999.84</v>
      </c>
      <c r="X354">
        <v>4999.7</v>
      </c>
      <c r="Y354">
        <v>0</v>
      </c>
      <c r="Z354">
        <v>0</v>
      </c>
      <c r="AA354">
        <v>35</v>
      </c>
      <c r="AB354">
        <v>50</v>
      </c>
      <c r="AC354">
        <v>5000</v>
      </c>
      <c r="AD354">
        <v>0</v>
      </c>
      <c r="AE354">
        <v>0</v>
      </c>
      <c r="AF354">
        <v>6809.9</v>
      </c>
      <c r="AG354">
        <v>6809.9</v>
      </c>
      <c r="AH354" s="14">
        <v>46265</v>
      </c>
      <c r="AI354" t="s">
        <v>266</v>
      </c>
      <c r="AJ354" s="13">
        <v>46265.054768518516</v>
      </c>
      <c r="AK354">
        <v>6763.31</v>
      </c>
      <c r="AL354" t="s">
        <v>259</v>
      </c>
      <c r="AM354" t="s">
        <v>260</v>
      </c>
      <c r="AN354">
        <v>1400</v>
      </c>
      <c r="AO354">
        <v>0</v>
      </c>
      <c r="AP354">
        <v>35</v>
      </c>
      <c r="AQ354">
        <v>85</v>
      </c>
      <c r="AR354">
        <v>35</v>
      </c>
      <c r="AS354">
        <v>2</v>
      </c>
      <c r="AT354">
        <v>23</v>
      </c>
      <c r="AU354">
        <v>1</v>
      </c>
      <c r="AV354">
        <v>0</v>
      </c>
      <c r="AW354">
        <v>10</v>
      </c>
      <c r="AX354">
        <v>1</v>
      </c>
      <c r="AY354">
        <v>5</v>
      </c>
      <c r="AZ354">
        <v>2</v>
      </c>
      <c r="BA354">
        <v>1</v>
      </c>
      <c r="BB354">
        <v>1440</v>
      </c>
      <c r="BC354">
        <v>0</v>
      </c>
      <c r="BD354">
        <v>0</v>
      </c>
      <c r="BE354">
        <v>14</v>
      </c>
      <c r="BF354">
        <v>25</v>
      </c>
      <c r="BG354">
        <v>3</v>
      </c>
      <c r="BH354">
        <v>8</v>
      </c>
      <c r="BI354">
        <v>3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0</v>
      </c>
      <c r="BQ354">
        <v>60</v>
      </c>
      <c r="BR354">
        <v>0</v>
      </c>
      <c r="BS354">
        <v>3</v>
      </c>
      <c r="BT354" t="s">
        <v>246</v>
      </c>
      <c r="BU354" t="s">
        <v>267</v>
      </c>
      <c r="BV354" t="b">
        <v>0</v>
      </c>
      <c r="BW354" t="s">
        <v>268</v>
      </c>
    </row>
    <row r="355" spans="1:75">
      <c r="A355" t="s">
        <v>246</v>
      </c>
      <c r="B355" t="s">
        <v>252</v>
      </c>
      <c r="C355">
        <v>709</v>
      </c>
      <c r="D355" t="s">
        <v>253</v>
      </c>
      <c r="E355" t="s">
        <v>254</v>
      </c>
      <c r="F355">
        <v>5</v>
      </c>
      <c r="G355" s="13">
        <v>46265.20207175926</v>
      </c>
      <c r="H355" s="13">
        <v>46265.203252314815</v>
      </c>
      <c r="I355">
        <v>102</v>
      </c>
      <c r="J355" t="s">
        <v>255</v>
      </c>
      <c r="K355">
        <v>1</v>
      </c>
      <c r="L355">
        <v>0.01</v>
      </c>
      <c r="M355">
        <v>0.01</v>
      </c>
      <c r="N355">
        <v>1</v>
      </c>
      <c r="O355">
        <v>0.01</v>
      </c>
      <c r="P355">
        <v>1.69</v>
      </c>
      <c r="Q355">
        <v>1.82</v>
      </c>
      <c r="R355">
        <v>1.6</v>
      </c>
      <c r="S355" t="s">
        <v>256</v>
      </c>
      <c r="T355" t="s">
        <v>257</v>
      </c>
      <c r="U355">
        <v>10</v>
      </c>
      <c r="V355">
        <v>6809.74</v>
      </c>
      <c r="W355">
        <v>4999.84</v>
      </c>
      <c r="X355">
        <v>4998.3100000000004</v>
      </c>
      <c r="Y355">
        <v>0</v>
      </c>
      <c r="Z355">
        <v>0</v>
      </c>
      <c r="AA355">
        <v>35</v>
      </c>
      <c r="AB355">
        <v>50</v>
      </c>
      <c r="AC355">
        <v>5000</v>
      </c>
      <c r="AD355">
        <v>0</v>
      </c>
      <c r="AE355">
        <v>0</v>
      </c>
      <c r="AF355">
        <v>6811.37</v>
      </c>
      <c r="AG355">
        <v>6811.37</v>
      </c>
      <c r="AH355" s="14">
        <v>46265</v>
      </c>
      <c r="AI355" t="s">
        <v>266</v>
      </c>
      <c r="AJ355" s="13">
        <v>46265.054768518516</v>
      </c>
      <c r="AK355">
        <v>6763.31</v>
      </c>
      <c r="AL355" t="s">
        <v>259</v>
      </c>
      <c r="AM355" t="s">
        <v>260</v>
      </c>
      <c r="AN355">
        <v>1400</v>
      </c>
      <c r="AO355">
        <v>0</v>
      </c>
      <c r="AP355">
        <v>35</v>
      </c>
      <c r="AQ355">
        <v>85</v>
      </c>
      <c r="AR355">
        <v>35</v>
      </c>
      <c r="AS355">
        <v>2</v>
      </c>
      <c r="AT355">
        <v>23</v>
      </c>
      <c r="AU355">
        <v>1</v>
      </c>
      <c r="AV355">
        <v>0</v>
      </c>
      <c r="AW355">
        <v>10</v>
      </c>
      <c r="AX355">
        <v>1</v>
      </c>
      <c r="AY355">
        <v>5</v>
      </c>
      <c r="AZ355">
        <v>2</v>
      </c>
      <c r="BA355">
        <v>1</v>
      </c>
      <c r="BB355">
        <v>1440</v>
      </c>
      <c r="BC355">
        <v>0</v>
      </c>
      <c r="BD355">
        <v>0</v>
      </c>
      <c r="BE355">
        <v>14</v>
      </c>
      <c r="BF355">
        <v>25</v>
      </c>
      <c r="BG355">
        <v>3</v>
      </c>
      <c r="BH355">
        <v>8</v>
      </c>
      <c r="BI355">
        <v>3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0</v>
      </c>
      <c r="BQ355">
        <v>60</v>
      </c>
      <c r="BR355">
        <v>0</v>
      </c>
      <c r="BS355">
        <v>3</v>
      </c>
      <c r="BT355" t="s">
        <v>246</v>
      </c>
      <c r="BU355" t="s">
        <v>267</v>
      </c>
      <c r="BV355" t="b">
        <v>0</v>
      </c>
      <c r="BW355" t="s">
        <v>268</v>
      </c>
    </row>
    <row r="356" spans="1:75">
      <c r="A356" t="s">
        <v>246</v>
      </c>
      <c r="B356" t="s">
        <v>252</v>
      </c>
      <c r="C356">
        <v>710</v>
      </c>
      <c r="D356" t="s">
        <v>253</v>
      </c>
      <c r="E356" t="s">
        <v>254</v>
      </c>
      <c r="F356">
        <v>5</v>
      </c>
      <c r="G356" s="13">
        <v>46265.205312500002</v>
      </c>
      <c r="H356" s="13">
        <v>46265.249398148146</v>
      </c>
      <c r="I356">
        <v>3809</v>
      </c>
      <c r="J356" t="s">
        <v>255</v>
      </c>
      <c r="K356">
        <v>13</v>
      </c>
      <c r="L356">
        <v>0.13</v>
      </c>
      <c r="M356">
        <v>0.01</v>
      </c>
      <c r="N356">
        <v>13</v>
      </c>
      <c r="O356">
        <v>0.13</v>
      </c>
      <c r="P356">
        <v>290.95</v>
      </c>
      <c r="Q356">
        <v>13.84</v>
      </c>
      <c r="R356">
        <v>9.94</v>
      </c>
      <c r="S356" t="s">
        <v>263</v>
      </c>
      <c r="T356" t="s">
        <v>257</v>
      </c>
      <c r="U356">
        <v>11</v>
      </c>
      <c r="V356">
        <v>6811.26</v>
      </c>
      <c r="W356">
        <v>4999.8900000000003</v>
      </c>
      <c r="X356">
        <v>4709.05</v>
      </c>
      <c r="Y356">
        <v>0</v>
      </c>
      <c r="Z356">
        <v>0</v>
      </c>
      <c r="AA356">
        <v>35</v>
      </c>
      <c r="AB356">
        <v>50</v>
      </c>
      <c r="AC356">
        <v>5000</v>
      </c>
      <c r="AD356">
        <v>0</v>
      </c>
      <c r="AE356">
        <v>0</v>
      </c>
      <c r="AF356">
        <v>6820.74</v>
      </c>
      <c r="AG356">
        <v>6820.74</v>
      </c>
      <c r="AH356" s="14">
        <v>46265</v>
      </c>
      <c r="AI356" t="s">
        <v>266</v>
      </c>
      <c r="AJ356" s="13">
        <v>46265.054768518516</v>
      </c>
      <c r="AK356">
        <v>6763.31</v>
      </c>
      <c r="AL356" t="s">
        <v>259</v>
      </c>
      <c r="AM356" t="s">
        <v>260</v>
      </c>
      <c r="AN356">
        <v>1400</v>
      </c>
      <c r="AO356">
        <v>0</v>
      </c>
      <c r="AP356">
        <v>35</v>
      </c>
      <c r="AQ356">
        <v>85</v>
      </c>
      <c r="AR356">
        <v>35</v>
      </c>
      <c r="AS356">
        <v>2</v>
      </c>
      <c r="AT356">
        <v>23</v>
      </c>
      <c r="AU356">
        <v>1</v>
      </c>
      <c r="AV356">
        <v>0</v>
      </c>
      <c r="AW356">
        <v>10</v>
      </c>
      <c r="AX356">
        <v>1</v>
      </c>
      <c r="AY356">
        <v>5</v>
      </c>
      <c r="AZ356">
        <v>2</v>
      </c>
      <c r="BA356">
        <v>1</v>
      </c>
      <c r="BB356">
        <v>1440</v>
      </c>
      <c r="BC356">
        <v>0</v>
      </c>
      <c r="BD356">
        <v>0</v>
      </c>
      <c r="BE356">
        <v>14</v>
      </c>
      <c r="BF356">
        <v>25</v>
      </c>
      <c r="BG356">
        <v>3</v>
      </c>
      <c r="BH356">
        <v>8</v>
      </c>
      <c r="BI356">
        <v>3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0</v>
      </c>
      <c r="BQ356">
        <v>60</v>
      </c>
      <c r="BR356">
        <v>0</v>
      </c>
      <c r="BS356">
        <v>3</v>
      </c>
      <c r="BT356" t="s">
        <v>246</v>
      </c>
      <c r="BU356" t="s">
        <v>267</v>
      </c>
      <c r="BV356" t="b">
        <v>0</v>
      </c>
      <c r="BW356" t="s">
        <v>268</v>
      </c>
    </row>
    <row r="357" spans="1:75">
      <c r="A357" t="s">
        <v>246</v>
      </c>
      <c r="B357" t="s">
        <v>252</v>
      </c>
      <c r="C357">
        <v>711</v>
      </c>
      <c r="D357" t="s">
        <v>253</v>
      </c>
      <c r="E357" t="s">
        <v>254</v>
      </c>
      <c r="F357">
        <v>5</v>
      </c>
      <c r="G357" s="13">
        <v>46265.251550925925</v>
      </c>
      <c r="H357" s="13">
        <v>46265.252268518518</v>
      </c>
      <c r="I357">
        <v>62</v>
      </c>
      <c r="J357" t="s">
        <v>255</v>
      </c>
      <c r="K357">
        <v>1</v>
      </c>
      <c r="L357">
        <v>0.01</v>
      </c>
      <c r="M357">
        <v>0.01</v>
      </c>
      <c r="N357">
        <v>1</v>
      </c>
      <c r="O357">
        <v>0.01</v>
      </c>
      <c r="P357">
        <v>1.92</v>
      </c>
      <c r="Q357">
        <v>0.98</v>
      </c>
      <c r="R357">
        <v>0.96</v>
      </c>
      <c r="S357" t="s">
        <v>256</v>
      </c>
      <c r="T357" t="s">
        <v>257</v>
      </c>
      <c r="U357">
        <v>11</v>
      </c>
      <c r="V357">
        <v>6820.58</v>
      </c>
      <c r="W357">
        <v>4999.84</v>
      </c>
      <c r="X357">
        <v>4998.08</v>
      </c>
      <c r="Y357">
        <v>0</v>
      </c>
      <c r="Z357">
        <v>0</v>
      </c>
      <c r="AA357">
        <v>35</v>
      </c>
      <c r="AB357">
        <v>50</v>
      </c>
      <c r="AC357">
        <v>5000</v>
      </c>
      <c r="AD357">
        <v>0</v>
      </c>
      <c r="AE357">
        <v>0</v>
      </c>
      <c r="AF357">
        <v>6821.37</v>
      </c>
      <c r="AG357">
        <v>6821.37</v>
      </c>
      <c r="AH357" s="14">
        <v>46265</v>
      </c>
      <c r="AI357" t="s">
        <v>266</v>
      </c>
      <c r="AJ357" s="13">
        <v>46265.054768518516</v>
      </c>
      <c r="AK357">
        <v>6763.31</v>
      </c>
      <c r="AL357" t="s">
        <v>259</v>
      </c>
      <c r="AM357" t="s">
        <v>260</v>
      </c>
      <c r="AN357">
        <v>1400</v>
      </c>
      <c r="AO357">
        <v>0</v>
      </c>
      <c r="AP357">
        <v>35</v>
      </c>
      <c r="AQ357">
        <v>85</v>
      </c>
      <c r="AR357">
        <v>35</v>
      </c>
      <c r="AS357">
        <v>2</v>
      </c>
      <c r="AT357">
        <v>23</v>
      </c>
      <c r="AU357">
        <v>1</v>
      </c>
      <c r="AV357">
        <v>0</v>
      </c>
      <c r="AW357">
        <v>10</v>
      </c>
      <c r="AX357">
        <v>1</v>
      </c>
      <c r="AY357">
        <v>5</v>
      </c>
      <c r="AZ357">
        <v>2</v>
      </c>
      <c r="BA357">
        <v>1</v>
      </c>
      <c r="BB357">
        <v>1440</v>
      </c>
      <c r="BC357">
        <v>0</v>
      </c>
      <c r="BD357">
        <v>0</v>
      </c>
      <c r="BE357">
        <v>14</v>
      </c>
      <c r="BF357">
        <v>25</v>
      </c>
      <c r="BG357">
        <v>3</v>
      </c>
      <c r="BH357">
        <v>8</v>
      </c>
      <c r="BI357">
        <v>3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0</v>
      </c>
      <c r="BQ357">
        <v>60</v>
      </c>
      <c r="BR357">
        <v>0</v>
      </c>
      <c r="BS357">
        <v>3</v>
      </c>
      <c r="BT357" t="s">
        <v>246</v>
      </c>
      <c r="BU357" t="s">
        <v>267</v>
      </c>
      <c r="BV357" t="b">
        <v>0</v>
      </c>
      <c r="BW357" t="s">
        <v>268</v>
      </c>
    </row>
    <row r="358" spans="1:75">
      <c r="A358" t="s">
        <v>246</v>
      </c>
      <c r="B358" t="s">
        <v>252</v>
      </c>
      <c r="C358">
        <v>712</v>
      </c>
      <c r="D358" t="s">
        <v>253</v>
      </c>
      <c r="E358" t="s">
        <v>254</v>
      </c>
      <c r="F358">
        <v>5</v>
      </c>
      <c r="G358" s="13">
        <v>46265.254641203705</v>
      </c>
      <c r="H358" s="13">
        <v>46265.254710648151</v>
      </c>
      <c r="I358">
        <v>6</v>
      </c>
      <c r="J358" t="s">
        <v>255</v>
      </c>
      <c r="K358">
        <v>1</v>
      </c>
      <c r="L358">
        <v>0.01</v>
      </c>
      <c r="M358">
        <v>0.01</v>
      </c>
      <c r="N358">
        <v>1</v>
      </c>
      <c r="O358">
        <v>0.01</v>
      </c>
      <c r="P358">
        <v>0.17</v>
      </c>
      <c r="Q358">
        <v>1.04</v>
      </c>
      <c r="R358">
        <v>1.04</v>
      </c>
      <c r="S358" t="s">
        <v>256</v>
      </c>
      <c r="T358" t="s">
        <v>257</v>
      </c>
      <c r="U358">
        <v>10</v>
      </c>
      <c r="V358">
        <v>6821.21</v>
      </c>
      <c r="W358">
        <v>4999.84</v>
      </c>
      <c r="X358">
        <v>4999.83</v>
      </c>
      <c r="Y358">
        <v>0</v>
      </c>
      <c r="Z358">
        <v>0</v>
      </c>
      <c r="AA358">
        <v>35</v>
      </c>
      <c r="AB358">
        <v>50</v>
      </c>
      <c r="AC358">
        <v>5000</v>
      </c>
      <c r="AD358">
        <v>0</v>
      </c>
      <c r="AE358">
        <v>0</v>
      </c>
      <c r="AF358">
        <v>6822.06</v>
      </c>
      <c r="AG358">
        <v>6822.06</v>
      </c>
      <c r="AH358" s="14">
        <v>46265</v>
      </c>
      <c r="AI358" t="s">
        <v>266</v>
      </c>
      <c r="AJ358" s="13">
        <v>46265.054768518516</v>
      </c>
      <c r="AK358">
        <v>6763.31</v>
      </c>
      <c r="AL358" t="s">
        <v>259</v>
      </c>
      <c r="AM358" t="s">
        <v>260</v>
      </c>
      <c r="AN358">
        <v>1400</v>
      </c>
      <c r="AO358">
        <v>0</v>
      </c>
      <c r="AP358">
        <v>35</v>
      </c>
      <c r="AQ358">
        <v>85</v>
      </c>
      <c r="AR358">
        <v>35</v>
      </c>
      <c r="AS358">
        <v>2</v>
      </c>
      <c r="AT358">
        <v>23</v>
      </c>
      <c r="AU358">
        <v>1</v>
      </c>
      <c r="AV358">
        <v>0</v>
      </c>
      <c r="AW358">
        <v>10</v>
      </c>
      <c r="AX358">
        <v>1</v>
      </c>
      <c r="AY358">
        <v>5</v>
      </c>
      <c r="AZ358">
        <v>2</v>
      </c>
      <c r="BA358">
        <v>1</v>
      </c>
      <c r="BB358">
        <v>1440</v>
      </c>
      <c r="BC358">
        <v>0</v>
      </c>
      <c r="BD358">
        <v>0</v>
      </c>
      <c r="BE358">
        <v>14</v>
      </c>
      <c r="BF358">
        <v>25</v>
      </c>
      <c r="BG358">
        <v>3</v>
      </c>
      <c r="BH358">
        <v>8</v>
      </c>
      <c r="BI358">
        <v>3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0</v>
      </c>
      <c r="BQ358">
        <v>60</v>
      </c>
      <c r="BR358">
        <v>0</v>
      </c>
      <c r="BS358">
        <v>3</v>
      </c>
      <c r="BT358" t="s">
        <v>246</v>
      </c>
      <c r="BU358" t="s">
        <v>267</v>
      </c>
      <c r="BV358" t="b">
        <v>0</v>
      </c>
      <c r="BW358" t="s">
        <v>268</v>
      </c>
    </row>
    <row r="359" spans="1:75">
      <c r="A359" t="s">
        <v>246</v>
      </c>
      <c r="B359" t="s">
        <v>252</v>
      </c>
      <c r="C359">
        <v>713</v>
      </c>
      <c r="D359" t="s">
        <v>253</v>
      </c>
      <c r="E359" t="s">
        <v>254</v>
      </c>
      <c r="F359">
        <v>5</v>
      </c>
      <c r="G359" s="13">
        <v>46265.25984953704</v>
      </c>
      <c r="H359" s="13">
        <v>46265.260659722226</v>
      </c>
      <c r="I359">
        <v>70</v>
      </c>
      <c r="J359" t="s">
        <v>255</v>
      </c>
      <c r="K359">
        <v>1</v>
      </c>
      <c r="L359">
        <v>0.01</v>
      </c>
      <c r="M359">
        <v>0.01</v>
      </c>
      <c r="N359">
        <v>1</v>
      </c>
      <c r="O359">
        <v>0.01</v>
      </c>
      <c r="P359">
        <v>0.81</v>
      </c>
      <c r="Q359">
        <v>1.6</v>
      </c>
      <c r="R359">
        <v>1.2</v>
      </c>
      <c r="S359" t="s">
        <v>256</v>
      </c>
      <c r="T359" t="s">
        <v>257</v>
      </c>
      <c r="U359">
        <v>11</v>
      </c>
      <c r="V359">
        <v>6821.83</v>
      </c>
      <c r="W359">
        <v>4999.7700000000004</v>
      </c>
      <c r="X359">
        <v>4999.1899999999996</v>
      </c>
      <c r="Y359">
        <v>0</v>
      </c>
      <c r="Z359">
        <v>0</v>
      </c>
      <c r="AA359">
        <v>35</v>
      </c>
      <c r="AB359">
        <v>50</v>
      </c>
      <c r="AC359">
        <v>5000</v>
      </c>
      <c r="AD359">
        <v>0</v>
      </c>
      <c r="AE359">
        <v>0</v>
      </c>
      <c r="AF359">
        <v>6823.31</v>
      </c>
      <c r="AG359">
        <v>6823.31</v>
      </c>
      <c r="AH359" s="14">
        <v>46265</v>
      </c>
      <c r="AI359" t="s">
        <v>266</v>
      </c>
      <c r="AJ359" s="13">
        <v>46265.054768518516</v>
      </c>
      <c r="AK359">
        <v>6763.31</v>
      </c>
      <c r="AL359" t="s">
        <v>259</v>
      </c>
      <c r="AM359" t="s">
        <v>260</v>
      </c>
      <c r="AN359">
        <v>1400</v>
      </c>
      <c r="AO359">
        <v>0</v>
      </c>
      <c r="AP359">
        <v>35</v>
      </c>
      <c r="AQ359">
        <v>85</v>
      </c>
      <c r="AR359">
        <v>35</v>
      </c>
      <c r="AS359">
        <v>2</v>
      </c>
      <c r="AT359">
        <v>23</v>
      </c>
      <c r="AU359">
        <v>1</v>
      </c>
      <c r="AV359">
        <v>0</v>
      </c>
      <c r="AW359">
        <v>10</v>
      </c>
      <c r="AX359">
        <v>1</v>
      </c>
      <c r="AY359">
        <v>5</v>
      </c>
      <c r="AZ359">
        <v>2</v>
      </c>
      <c r="BA359">
        <v>1</v>
      </c>
      <c r="BB359">
        <v>1440</v>
      </c>
      <c r="BC359">
        <v>0</v>
      </c>
      <c r="BD359">
        <v>0</v>
      </c>
      <c r="BE359">
        <v>14</v>
      </c>
      <c r="BF359">
        <v>25</v>
      </c>
      <c r="BG359">
        <v>3</v>
      </c>
      <c r="BH359">
        <v>8</v>
      </c>
      <c r="BI359">
        <v>3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0</v>
      </c>
      <c r="BQ359">
        <v>60</v>
      </c>
      <c r="BR359">
        <v>0</v>
      </c>
      <c r="BS359">
        <v>3</v>
      </c>
      <c r="BT359" t="s">
        <v>246</v>
      </c>
      <c r="BU359" t="s">
        <v>267</v>
      </c>
      <c r="BV359" t="b">
        <v>0</v>
      </c>
      <c r="BW359" t="s">
        <v>268</v>
      </c>
    </row>
    <row r="360" spans="1:75">
      <c r="A360" t="s">
        <v>246</v>
      </c>
      <c r="B360" t="s">
        <v>252</v>
      </c>
      <c r="C360">
        <v>714</v>
      </c>
      <c r="D360" t="s">
        <v>253</v>
      </c>
      <c r="E360" t="s">
        <v>254</v>
      </c>
      <c r="F360">
        <v>5</v>
      </c>
      <c r="G360" s="13">
        <v>46265.262499999997</v>
      </c>
      <c r="H360" s="13">
        <v>46265.262870370374</v>
      </c>
      <c r="I360">
        <v>32</v>
      </c>
      <c r="J360" t="s">
        <v>255</v>
      </c>
      <c r="K360">
        <v>1</v>
      </c>
      <c r="L360">
        <v>0.01</v>
      </c>
      <c r="M360">
        <v>0.01</v>
      </c>
      <c r="N360">
        <v>1</v>
      </c>
      <c r="O360">
        <v>0.01</v>
      </c>
      <c r="P360">
        <v>0.26</v>
      </c>
      <c r="Q360">
        <v>1.1000000000000001</v>
      </c>
      <c r="R360">
        <v>1.08</v>
      </c>
      <c r="S360" t="s">
        <v>256</v>
      </c>
      <c r="T360" t="s">
        <v>257</v>
      </c>
      <c r="U360">
        <v>11</v>
      </c>
      <c r="V360">
        <v>6823.15</v>
      </c>
      <c r="W360">
        <v>4999.84</v>
      </c>
      <c r="X360">
        <v>4999.74</v>
      </c>
      <c r="Y360">
        <v>0</v>
      </c>
      <c r="Z360">
        <v>0</v>
      </c>
      <c r="AA360">
        <v>35</v>
      </c>
      <c r="AB360">
        <v>50</v>
      </c>
      <c r="AC360">
        <v>5000</v>
      </c>
      <c r="AD360">
        <v>0</v>
      </c>
      <c r="AE360">
        <v>0</v>
      </c>
      <c r="AF360">
        <v>6824.06</v>
      </c>
      <c r="AG360">
        <v>6824.06</v>
      </c>
      <c r="AH360" s="14">
        <v>46265</v>
      </c>
      <c r="AI360" t="s">
        <v>266</v>
      </c>
      <c r="AJ360" s="13">
        <v>46265.054768518516</v>
      </c>
      <c r="AK360">
        <v>6763.31</v>
      </c>
      <c r="AL360" t="s">
        <v>259</v>
      </c>
      <c r="AM360" t="s">
        <v>260</v>
      </c>
      <c r="AN360">
        <v>1400</v>
      </c>
      <c r="AO360">
        <v>0</v>
      </c>
      <c r="AP360">
        <v>35</v>
      </c>
      <c r="AQ360">
        <v>85</v>
      </c>
      <c r="AR360">
        <v>35</v>
      </c>
      <c r="AS360">
        <v>2</v>
      </c>
      <c r="AT360">
        <v>23</v>
      </c>
      <c r="AU360">
        <v>1</v>
      </c>
      <c r="AV360">
        <v>0</v>
      </c>
      <c r="AW360">
        <v>10</v>
      </c>
      <c r="AX360">
        <v>1</v>
      </c>
      <c r="AY360">
        <v>5</v>
      </c>
      <c r="AZ360">
        <v>2</v>
      </c>
      <c r="BA360">
        <v>1</v>
      </c>
      <c r="BB360">
        <v>1440</v>
      </c>
      <c r="BC360">
        <v>0</v>
      </c>
      <c r="BD360">
        <v>0</v>
      </c>
      <c r="BE360">
        <v>14</v>
      </c>
      <c r="BF360">
        <v>25</v>
      </c>
      <c r="BG360">
        <v>3</v>
      </c>
      <c r="BH360">
        <v>8</v>
      </c>
      <c r="BI360">
        <v>3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0</v>
      </c>
      <c r="BQ360">
        <v>60</v>
      </c>
      <c r="BR360">
        <v>0</v>
      </c>
      <c r="BS360">
        <v>3</v>
      </c>
      <c r="BT360" t="s">
        <v>246</v>
      </c>
      <c r="BU360" t="s">
        <v>267</v>
      </c>
      <c r="BV360" t="b">
        <v>0</v>
      </c>
      <c r="BW360" t="s">
        <v>268</v>
      </c>
    </row>
    <row r="361" spans="1:75">
      <c r="A361" t="s">
        <v>246</v>
      </c>
      <c r="B361" t="s">
        <v>252</v>
      </c>
      <c r="C361">
        <v>715</v>
      </c>
      <c r="D361" t="s">
        <v>253</v>
      </c>
      <c r="E361" t="s">
        <v>254</v>
      </c>
      <c r="F361">
        <v>5</v>
      </c>
      <c r="G361" s="13">
        <v>46265.265787037039</v>
      </c>
      <c r="H361" s="13">
        <v>46265.2658912037</v>
      </c>
      <c r="I361">
        <v>9</v>
      </c>
      <c r="J361" t="s">
        <v>255</v>
      </c>
      <c r="K361">
        <v>1</v>
      </c>
      <c r="L361">
        <v>0.01</v>
      </c>
      <c r="M361">
        <v>0.01</v>
      </c>
      <c r="N361">
        <v>1</v>
      </c>
      <c r="O361">
        <v>0.01</v>
      </c>
      <c r="P361">
        <v>0.17</v>
      </c>
      <c r="Q361">
        <v>1.32</v>
      </c>
      <c r="R361">
        <v>1.22</v>
      </c>
      <c r="S361" t="s">
        <v>256</v>
      </c>
      <c r="T361" t="s">
        <v>257</v>
      </c>
      <c r="U361">
        <v>11</v>
      </c>
      <c r="V361">
        <v>6823.89</v>
      </c>
      <c r="W361">
        <v>4999.83</v>
      </c>
      <c r="X361">
        <v>4999.83</v>
      </c>
      <c r="Y361">
        <v>0</v>
      </c>
      <c r="Z361">
        <v>0</v>
      </c>
      <c r="AA361">
        <v>35</v>
      </c>
      <c r="AB361">
        <v>50</v>
      </c>
      <c r="AC361">
        <v>5000</v>
      </c>
      <c r="AD361">
        <v>0</v>
      </c>
      <c r="AE361">
        <v>0</v>
      </c>
      <c r="AF361">
        <v>6825.02</v>
      </c>
      <c r="AG361">
        <v>6825.02</v>
      </c>
      <c r="AH361" s="14">
        <v>46265</v>
      </c>
      <c r="AI361" t="s">
        <v>266</v>
      </c>
      <c r="AJ361" s="13">
        <v>46265.054768518516</v>
      </c>
      <c r="AK361">
        <v>6763.31</v>
      </c>
      <c r="AL361" t="s">
        <v>259</v>
      </c>
      <c r="AM361" t="s">
        <v>260</v>
      </c>
      <c r="AN361">
        <v>1400</v>
      </c>
      <c r="AO361">
        <v>0</v>
      </c>
      <c r="AP361">
        <v>35</v>
      </c>
      <c r="AQ361">
        <v>85</v>
      </c>
      <c r="AR361">
        <v>35</v>
      </c>
      <c r="AS361">
        <v>2</v>
      </c>
      <c r="AT361">
        <v>23</v>
      </c>
      <c r="AU361">
        <v>1</v>
      </c>
      <c r="AV361">
        <v>0</v>
      </c>
      <c r="AW361">
        <v>10</v>
      </c>
      <c r="AX361">
        <v>1</v>
      </c>
      <c r="AY361">
        <v>5</v>
      </c>
      <c r="AZ361">
        <v>2</v>
      </c>
      <c r="BA361">
        <v>1</v>
      </c>
      <c r="BB361">
        <v>1440</v>
      </c>
      <c r="BC361">
        <v>0</v>
      </c>
      <c r="BD361">
        <v>0</v>
      </c>
      <c r="BE361">
        <v>14</v>
      </c>
      <c r="BF361">
        <v>25</v>
      </c>
      <c r="BG361">
        <v>3</v>
      </c>
      <c r="BH361">
        <v>8</v>
      </c>
      <c r="BI361">
        <v>3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0</v>
      </c>
      <c r="BQ361">
        <v>60</v>
      </c>
      <c r="BR361">
        <v>0</v>
      </c>
      <c r="BS361">
        <v>3</v>
      </c>
      <c r="BT361" t="s">
        <v>246</v>
      </c>
      <c r="BU361" t="s">
        <v>267</v>
      </c>
      <c r="BV361" t="b">
        <v>0</v>
      </c>
      <c r="BW361" t="s">
        <v>268</v>
      </c>
    </row>
    <row r="362" spans="1:75">
      <c r="A362" t="s">
        <v>246</v>
      </c>
      <c r="B362" t="s">
        <v>252</v>
      </c>
      <c r="C362">
        <v>716</v>
      </c>
      <c r="D362" t="s">
        <v>253</v>
      </c>
      <c r="E362" t="s">
        <v>254</v>
      </c>
      <c r="F362">
        <v>5</v>
      </c>
      <c r="G362" s="13">
        <v>46265.268796296295</v>
      </c>
      <c r="H362" s="13">
        <v>46265.269409722219</v>
      </c>
      <c r="I362">
        <v>53</v>
      </c>
      <c r="J362" t="s">
        <v>264</v>
      </c>
      <c r="K362">
        <v>1</v>
      </c>
      <c r="L362">
        <v>0.01</v>
      </c>
      <c r="M362">
        <v>0.01</v>
      </c>
      <c r="N362">
        <v>1</v>
      </c>
      <c r="O362">
        <v>0.01</v>
      </c>
      <c r="P362">
        <v>0.76</v>
      </c>
      <c r="Q362">
        <v>1.73</v>
      </c>
      <c r="R362">
        <v>1.55</v>
      </c>
      <c r="S362" t="s">
        <v>256</v>
      </c>
      <c r="T362" t="s">
        <v>257</v>
      </c>
      <c r="U362">
        <v>11</v>
      </c>
      <c r="V362">
        <v>6824.87</v>
      </c>
      <c r="W362">
        <v>4999.8500000000004</v>
      </c>
      <c r="X362">
        <v>4999.24</v>
      </c>
      <c r="Y362">
        <v>0</v>
      </c>
      <c r="Z362">
        <v>0</v>
      </c>
      <c r="AA362">
        <v>35</v>
      </c>
      <c r="AB362">
        <v>50</v>
      </c>
      <c r="AC362">
        <v>5000</v>
      </c>
      <c r="AD362">
        <v>0</v>
      </c>
      <c r="AE362">
        <v>0</v>
      </c>
      <c r="AF362">
        <v>6826.4</v>
      </c>
      <c r="AG362">
        <v>6826.4</v>
      </c>
      <c r="AH362" s="14">
        <v>46265</v>
      </c>
      <c r="AI362" t="s">
        <v>266</v>
      </c>
      <c r="AJ362" s="13">
        <v>46265.054768518516</v>
      </c>
      <c r="AK362">
        <v>6763.31</v>
      </c>
      <c r="AL362" t="s">
        <v>259</v>
      </c>
      <c r="AM362" t="s">
        <v>260</v>
      </c>
      <c r="AN362">
        <v>1400</v>
      </c>
      <c r="AO362">
        <v>0</v>
      </c>
      <c r="AP362">
        <v>35</v>
      </c>
      <c r="AQ362">
        <v>85</v>
      </c>
      <c r="AR362">
        <v>35</v>
      </c>
      <c r="AS362">
        <v>2</v>
      </c>
      <c r="AT362">
        <v>23</v>
      </c>
      <c r="AU362">
        <v>1</v>
      </c>
      <c r="AV362">
        <v>0</v>
      </c>
      <c r="AW362">
        <v>10</v>
      </c>
      <c r="AX362">
        <v>1</v>
      </c>
      <c r="AY362">
        <v>5</v>
      </c>
      <c r="AZ362">
        <v>2</v>
      </c>
      <c r="BA362">
        <v>1</v>
      </c>
      <c r="BB362">
        <v>1440</v>
      </c>
      <c r="BC362">
        <v>0</v>
      </c>
      <c r="BD362">
        <v>0</v>
      </c>
      <c r="BE362">
        <v>14</v>
      </c>
      <c r="BF362">
        <v>25</v>
      </c>
      <c r="BG362">
        <v>3</v>
      </c>
      <c r="BH362">
        <v>8</v>
      </c>
      <c r="BI362">
        <v>3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0</v>
      </c>
      <c r="BQ362">
        <v>60</v>
      </c>
      <c r="BR362">
        <v>0</v>
      </c>
      <c r="BS362">
        <v>3</v>
      </c>
      <c r="BT362" t="s">
        <v>246</v>
      </c>
      <c r="BU362" t="s">
        <v>267</v>
      </c>
      <c r="BV362" t="b">
        <v>0</v>
      </c>
      <c r="BW362" t="s">
        <v>268</v>
      </c>
    </row>
    <row r="363" spans="1:75">
      <c r="A363" t="s">
        <v>246</v>
      </c>
      <c r="B363" t="s">
        <v>252</v>
      </c>
      <c r="C363">
        <v>717</v>
      </c>
      <c r="D363" t="s">
        <v>253</v>
      </c>
      <c r="E363" t="s">
        <v>254</v>
      </c>
      <c r="F363">
        <v>5</v>
      </c>
      <c r="G363" s="13">
        <v>46265.272824074076</v>
      </c>
      <c r="H363" s="13">
        <v>46265.275277777779</v>
      </c>
      <c r="I363">
        <v>212</v>
      </c>
      <c r="J363" t="s">
        <v>264</v>
      </c>
      <c r="K363">
        <v>1</v>
      </c>
      <c r="L363">
        <v>0.01</v>
      </c>
      <c r="M363">
        <v>0.01</v>
      </c>
      <c r="N363">
        <v>1</v>
      </c>
      <c r="O363">
        <v>0.01</v>
      </c>
      <c r="P363">
        <v>1.1000000000000001</v>
      </c>
      <c r="Q363">
        <v>1.86</v>
      </c>
      <c r="R363">
        <v>1.74</v>
      </c>
      <c r="S363" t="s">
        <v>256</v>
      </c>
      <c r="T363" t="s">
        <v>257</v>
      </c>
      <c r="U363">
        <v>11</v>
      </c>
      <c r="V363">
        <v>6826.24</v>
      </c>
      <c r="W363">
        <v>4999.84</v>
      </c>
      <c r="X363">
        <v>4998.8999999999996</v>
      </c>
      <c r="Y363">
        <v>0</v>
      </c>
      <c r="Z363">
        <v>0</v>
      </c>
      <c r="AA363">
        <v>35</v>
      </c>
      <c r="AB363">
        <v>50</v>
      </c>
      <c r="AC363">
        <v>5000</v>
      </c>
      <c r="AD363">
        <v>0</v>
      </c>
      <c r="AE363">
        <v>0</v>
      </c>
      <c r="AF363">
        <v>6827.91</v>
      </c>
      <c r="AG363">
        <v>6827.91</v>
      </c>
      <c r="AH363" s="14">
        <v>46265</v>
      </c>
      <c r="AI363" t="s">
        <v>266</v>
      </c>
      <c r="AJ363" s="13">
        <v>46265.054768518516</v>
      </c>
      <c r="AK363">
        <v>6763.31</v>
      </c>
      <c r="AL363" t="s">
        <v>259</v>
      </c>
      <c r="AM363" t="s">
        <v>260</v>
      </c>
      <c r="AN363">
        <v>1400</v>
      </c>
      <c r="AO363">
        <v>0</v>
      </c>
      <c r="AP363">
        <v>35</v>
      </c>
      <c r="AQ363">
        <v>85</v>
      </c>
      <c r="AR363">
        <v>35</v>
      </c>
      <c r="AS363">
        <v>2</v>
      </c>
      <c r="AT363">
        <v>23</v>
      </c>
      <c r="AU363">
        <v>1</v>
      </c>
      <c r="AV363">
        <v>0</v>
      </c>
      <c r="AW363">
        <v>10</v>
      </c>
      <c r="AX363">
        <v>1</v>
      </c>
      <c r="AY363">
        <v>5</v>
      </c>
      <c r="AZ363">
        <v>2</v>
      </c>
      <c r="BA363">
        <v>1</v>
      </c>
      <c r="BB363">
        <v>1440</v>
      </c>
      <c r="BC363">
        <v>0</v>
      </c>
      <c r="BD363">
        <v>0</v>
      </c>
      <c r="BE363">
        <v>14</v>
      </c>
      <c r="BF363">
        <v>25</v>
      </c>
      <c r="BG363">
        <v>3</v>
      </c>
      <c r="BH363">
        <v>8</v>
      </c>
      <c r="BI363">
        <v>3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0</v>
      </c>
      <c r="BQ363">
        <v>60</v>
      </c>
      <c r="BR363">
        <v>0</v>
      </c>
      <c r="BS363">
        <v>3</v>
      </c>
      <c r="BT363" t="s">
        <v>246</v>
      </c>
      <c r="BU363" t="s">
        <v>267</v>
      </c>
      <c r="BV363" t="b">
        <v>0</v>
      </c>
      <c r="BW363" t="s">
        <v>268</v>
      </c>
    </row>
    <row r="364" spans="1:75">
      <c r="A364" t="s">
        <v>246</v>
      </c>
      <c r="B364" t="s">
        <v>252</v>
      </c>
      <c r="C364">
        <v>718</v>
      </c>
      <c r="D364" t="s">
        <v>253</v>
      </c>
      <c r="E364" t="s">
        <v>254</v>
      </c>
      <c r="F364">
        <v>5</v>
      </c>
      <c r="G364" s="13">
        <v>46265.276666666665</v>
      </c>
      <c r="H364" s="13">
        <v>46265.277222222219</v>
      </c>
      <c r="I364">
        <v>48</v>
      </c>
      <c r="J364" t="s">
        <v>264</v>
      </c>
      <c r="K364">
        <v>1</v>
      </c>
      <c r="L364">
        <v>0.01</v>
      </c>
      <c r="M364">
        <v>0.01</v>
      </c>
      <c r="N364">
        <v>1</v>
      </c>
      <c r="O364">
        <v>0.01</v>
      </c>
      <c r="P364">
        <v>0.79</v>
      </c>
      <c r="Q364">
        <v>1.23</v>
      </c>
      <c r="R364">
        <v>0.94</v>
      </c>
      <c r="S364" t="s">
        <v>256</v>
      </c>
      <c r="T364" t="s">
        <v>257</v>
      </c>
      <c r="U364">
        <v>11</v>
      </c>
      <c r="V364">
        <v>6827.69</v>
      </c>
      <c r="W364">
        <v>4999.78</v>
      </c>
      <c r="X364">
        <v>4999.21</v>
      </c>
      <c r="Y364">
        <v>0</v>
      </c>
      <c r="Z364">
        <v>0</v>
      </c>
      <c r="AA364">
        <v>35</v>
      </c>
      <c r="AB364">
        <v>50</v>
      </c>
      <c r="AC364">
        <v>5000</v>
      </c>
      <c r="AD364">
        <v>0</v>
      </c>
      <c r="AE364">
        <v>0</v>
      </c>
      <c r="AF364">
        <v>6828.79</v>
      </c>
      <c r="AG364">
        <v>6828.79</v>
      </c>
      <c r="AH364" s="14">
        <v>46265</v>
      </c>
      <c r="AI364" t="s">
        <v>266</v>
      </c>
      <c r="AJ364" s="13">
        <v>46265.054768518516</v>
      </c>
      <c r="AK364">
        <v>6763.31</v>
      </c>
      <c r="AL364" t="s">
        <v>259</v>
      </c>
      <c r="AM364" t="s">
        <v>260</v>
      </c>
      <c r="AN364">
        <v>1400</v>
      </c>
      <c r="AO364">
        <v>0</v>
      </c>
      <c r="AP364">
        <v>35</v>
      </c>
      <c r="AQ364">
        <v>85</v>
      </c>
      <c r="AR364">
        <v>35</v>
      </c>
      <c r="AS364">
        <v>2</v>
      </c>
      <c r="AT364">
        <v>23</v>
      </c>
      <c r="AU364">
        <v>1</v>
      </c>
      <c r="AV364">
        <v>0</v>
      </c>
      <c r="AW364">
        <v>10</v>
      </c>
      <c r="AX364">
        <v>1</v>
      </c>
      <c r="AY364">
        <v>5</v>
      </c>
      <c r="AZ364">
        <v>2</v>
      </c>
      <c r="BA364">
        <v>1</v>
      </c>
      <c r="BB364">
        <v>1440</v>
      </c>
      <c r="BC364">
        <v>0</v>
      </c>
      <c r="BD364">
        <v>0</v>
      </c>
      <c r="BE364">
        <v>14</v>
      </c>
      <c r="BF364">
        <v>25</v>
      </c>
      <c r="BG364">
        <v>3</v>
      </c>
      <c r="BH364">
        <v>8</v>
      </c>
      <c r="BI364">
        <v>3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0</v>
      </c>
      <c r="BQ364">
        <v>60</v>
      </c>
      <c r="BR364">
        <v>0</v>
      </c>
      <c r="BS364">
        <v>3</v>
      </c>
      <c r="BT364" t="s">
        <v>246</v>
      </c>
      <c r="BU364" t="s">
        <v>267</v>
      </c>
      <c r="BV364" t="b">
        <v>0</v>
      </c>
      <c r="BW364" t="s">
        <v>268</v>
      </c>
    </row>
    <row r="365" spans="1:75">
      <c r="A365" t="s">
        <v>246</v>
      </c>
      <c r="B365" t="s">
        <v>252</v>
      </c>
      <c r="C365">
        <v>719</v>
      </c>
      <c r="D365" t="s">
        <v>253</v>
      </c>
      <c r="E365" t="s">
        <v>254</v>
      </c>
      <c r="F365">
        <v>5</v>
      </c>
      <c r="G365" s="13">
        <v>46265.280844907407</v>
      </c>
      <c r="H365" s="13">
        <v>46265.283564814818</v>
      </c>
      <c r="I365">
        <v>235</v>
      </c>
      <c r="J365" t="s">
        <v>255</v>
      </c>
      <c r="K365">
        <v>1</v>
      </c>
      <c r="L365">
        <v>0.01</v>
      </c>
      <c r="M365">
        <v>0.01</v>
      </c>
      <c r="N365">
        <v>1</v>
      </c>
      <c r="O365">
        <v>0.01</v>
      </c>
      <c r="P365">
        <v>1.18</v>
      </c>
      <c r="Q365">
        <v>1.25</v>
      </c>
      <c r="R365">
        <v>1.25</v>
      </c>
      <c r="S365" t="s">
        <v>256</v>
      </c>
      <c r="T365" t="s">
        <v>257</v>
      </c>
      <c r="U365">
        <v>15</v>
      </c>
      <c r="V365">
        <v>6828.58</v>
      </c>
      <c r="W365">
        <v>4999.79</v>
      </c>
      <c r="X365">
        <v>4998.82</v>
      </c>
      <c r="Y365">
        <v>0</v>
      </c>
      <c r="Z365">
        <v>0</v>
      </c>
      <c r="AA365">
        <v>35</v>
      </c>
      <c r="AB365">
        <v>50</v>
      </c>
      <c r="AC365">
        <v>5000</v>
      </c>
      <c r="AD365">
        <v>0</v>
      </c>
      <c r="AE365">
        <v>0</v>
      </c>
      <c r="AF365">
        <v>6829.68</v>
      </c>
      <c r="AG365">
        <v>6829.68</v>
      </c>
      <c r="AH365" s="14">
        <v>46265</v>
      </c>
      <c r="AI365" t="s">
        <v>266</v>
      </c>
      <c r="AJ365" s="13">
        <v>46265.054768518516</v>
      </c>
      <c r="AK365">
        <v>6763.31</v>
      </c>
      <c r="AL365" t="s">
        <v>259</v>
      </c>
      <c r="AM365" t="s">
        <v>260</v>
      </c>
      <c r="AN365">
        <v>1400</v>
      </c>
      <c r="AO365">
        <v>0</v>
      </c>
      <c r="AP365">
        <v>35</v>
      </c>
      <c r="AQ365">
        <v>85</v>
      </c>
      <c r="AR365">
        <v>35</v>
      </c>
      <c r="AS365">
        <v>2</v>
      </c>
      <c r="AT365">
        <v>23</v>
      </c>
      <c r="AU365">
        <v>1</v>
      </c>
      <c r="AV365">
        <v>0</v>
      </c>
      <c r="AW365">
        <v>10</v>
      </c>
      <c r="AX365">
        <v>1</v>
      </c>
      <c r="AY365">
        <v>5</v>
      </c>
      <c r="AZ365">
        <v>2</v>
      </c>
      <c r="BA365">
        <v>1</v>
      </c>
      <c r="BB365">
        <v>1440</v>
      </c>
      <c r="BC365">
        <v>0</v>
      </c>
      <c r="BD365">
        <v>0</v>
      </c>
      <c r="BE365">
        <v>14</v>
      </c>
      <c r="BF365">
        <v>25</v>
      </c>
      <c r="BG365">
        <v>3</v>
      </c>
      <c r="BH365">
        <v>8</v>
      </c>
      <c r="BI365">
        <v>3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0</v>
      </c>
      <c r="BQ365">
        <v>60</v>
      </c>
      <c r="BR365">
        <v>0</v>
      </c>
      <c r="BS365">
        <v>3</v>
      </c>
      <c r="BT365" t="s">
        <v>246</v>
      </c>
      <c r="BU365" t="s">
        <v>267</v>
      </c>
      <c r="BV365" t="b">
        <v>0</v>
      </c>
      <c r="BW365" t="s">
        <v>268</v>
      </c>
    </row>
    <row r="366" spans="1:75">
      <c r="A366" t="s">
        <v>246</v>
      </c>
      <c r="B366" t="s">
        <v>252</v>
      </c>
      <c r="C366">
        <v>720</v>
      </c>
      <c r="D366" t="s">
        <v>253</v>
      </c>
      <c r="E366" t="s">
        <v>254</v>
      </c>
      <c r="F366">
        <v>5</v>
      </c>
      <c r="G366" s="13">
        <v>46265.294745370367</v>
      </c>
      <c r="H366" s="13">
        <v>46265.295405092591</v>
      </c>
      <c r="I366">
        <v>57</v>
      </c>
      <c r="J366" t="s">
        <v>264</v>
      </c>
      <c r="K366">
        <v>1</v>
      </c>
      <c r="L366">
        <v>0.01</v>
      </c>
      <c r="M366">
        <v>0.01</v>
      </c>
      <c r="N366">
        <v>1</v>
      </c>
      <c r="O366">
        <v>0.01</v>
      </c>
      <c r="P366">
        <v>0.41</v>
      </c>
      <c r="Q366">
        <v>1.29</v>
      </c>
      <c r="R366">
        <v>0.97</v>
      </c>
      <c r="S366" t="s">
        <v>256</v>
      </c>
      <c r="T366" t="s">
        <v>257</v>
      </c>
      <c r="U366">
        <v>11</v>
      </c>
      <c r="V366">
        <v>6829.31</v>
      </c>
      <c r="W366">
        <v>4999.63</v>
      </c>
      <c r="X366">
        <v>4999.59</v>
      </c>
      <c r="Y366">
        <v>0</v>
      </c>
      <c r="Z366">
        <v>0</v>
      </c>
      <c r="AA366">
        <v>35</v>
      </c>
      <c r="AB366">
        <v>50</v>
      </c>
      <c r="AC366">
        <v>5000</v>
      </c>
      <c r="AD366">
        <v>0</v>
      </c>
      <c r="AE366">
        <v>0</v>
      </c>
      <c r="AF366">
        <v>6830.62</v>
      </c>
      <c r="AG366">
        <v>6830.62</v>
      </c>
      <c r="AH366" s="14">
        <v>46265</v>
      </c>
      <c r="AI366" t="s">
        <v>266</v>
      </c>
      <c r="AJ366" s="13">
        <v>46265.054768518516</v>
      </c>
      <c r="AK366">
        <v>6763.31</v>
      </c>
      <c r="AL366" t="s">
        <v>259</v>
      </c>
      <c r="AM366" t="s">
        <v>260</v>
      </c>
      <c r="AN366">
        <v>1400</v>
      </c>
      <c r="AO366">
        <v>0</v>
      </c>
      <c r="AP366">
        <v>35</v>
      </c>
      <c r="AQ366">
        <v>85</v>
      </c>
      <c r="AR366">
        <v>35</v>
      </c>
      <c r="AS366">
        <v>2</v>
      </c>
      <c r="AT366">
        <v>23</v>
      </c>
      <c r="AU366">
        <v>1</v>
      </c>
      <c r="AV366">
        <v>0</v>
      </c>
      <c r="AW366">
        <v>10</v>
      </c>
      <c r="AX366">
        <v>1</v>
      </c>
      <c r="AY366">
        <v>5</v>
      </c>
      <c r="AZ366">
        <v>2</v>
      </c>
      <c r="BA366">
        <v>1</v>
      </c>
      <c r="BB366">
        <v>1440</v>
      </c>
      <c r="BC366">
        <v>0</v>
      </c>
      <c r="BD366">
        <v>0</v>
      </c>
      <c r="BE366">
        <v>14</v>
      </c>
      <c r="BF366">
        <v>25</v>
      </c>
      <c r="BG366">
        <v>3</v>
      </c>
      <c r="BH366">
        <v>8</v>
      </c>
      <c r="BI366">
        <v>3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0</v>
      </c>
      <c r="BQ366">
        <v>60</v>
      </c>
      <c r="BR366">
        <v>0</v>
      </c>
      <c r="BS366">
        <v>3</v>
      </c>
      <c r="BT366" t="s">
        <v>246</v>
      </c>
      <c r="BU366" t="s">
        <v>267</v>
      </c>
      <c r="BV366" t="b">
        <v>0</v>
      </c>
      <c r="BW366" t="s">
        <v>268</v>
      </c>
    </row>
    <row r="367" spans="1:75">
      <c r="A367" t="s">
        <v>246</v>
      </c>
      <c r="B367" t="s">
        <v>252</v>
      </c>
      <c r="C367">
        <v>721</v>
      </c>
      <c r="D367" t="s">
        <v>253</v>
      </c>
      <c r="E367" t="s">
        <v>254</v>
      </c>
      <c r="F367">
        <v>5</v>
      </c>
      <c r="G367" s="13">
        <v>46265.300520833334</v>
      </c>
      <c r="H367" s="13">
        <v>46265.300682870373</v>
      </c>
      <c r="I367">
        <v>14</v>
      </c>
      <c r="J367" t="s">
        <v>255</v>
      </c>
      <c r="K367">
        <v>1</v>
      </c>
      <c r="L367">
        <v>0.01</v>
      </c>
      <c r="M367">
        <v>0.01</v>
      </c>
      <c r="N367">
        <v>1</v>
      </c>
      <c r="O367">
        <v>0.01</v>
      </c>
      <c r="P367">
        <v>0.16</v>
      </c>
      <c r="Q367">
        <v>1.03</v>
      </c>
      <c r="R367">
        <v>0.85</v>
      </c>
      <c r="S367" t="s">
        <v>256</v>
      </c>
      <c r="T367" t="s">
        <v>257</v>
      </c>
      <c r="U367">
        <v>15</v>
      </c>
      <c r="V367">
        <v>6830.46</v>
      </c>
      <c r="W367">
        <v>4999.84</v>
      </c>
      <c r="X367">
        <v>4999.84</v>
      </c>
      <c r="Y367">
        <v>0</v>
      </c>
      <c r="Z367">
        <v>0</v>
      </c>
      <c r="AA367">
        <v>35</v>
      </c>
      <c r="AB367">
        <v>50</v>
      </c>
      <c r="AC367">
        <v>5000</v>
      </c>
      <c r="AD367">
        <v>0</v>
      </c>
      <c r="AE367">
        <v>0</v>
      </c>
      <c r="AF367">
        <v>6831.3</v>
      </c>
      <c r="AG367">
        <v>6831.3</v>
      </c>
      <c r="AH367" s="14">
        <v>46265</v>
      </c>
      <c r="AI367" t="s">
        <v>266</v>
      </c>
      <c r="AJ367" s="13">
        <v>46265.054768518516</v>
      </c>
      <c r="AK367">
        <v>6763.31</v>
      </c>
      <c r="AL367" t="s">
        <v>259</v>
      </c>
      <c r="AM367" t="s">
        <v>260</v>
      </c>
      <c r="AN367">
        <v>1400</v>
      </c>
      <c r="AO367">
        <v>0</v>
      </c>
      <c r="AP367">
        <v>35</v>
      </c>
      <c r="AQ367">
        <v>85</v>
      </c>
      <c r="AR367">
        <v>35</v>
      </c>
      <c r="AS367">
        <v>2</v>
      </c>
      <c r="AT367">
        <v>23</v>
      </c>
      <c r="AU367">
        <v>1</v>
      </c>
      <c r="AV367">
        <v>0</v>
      </c>
      <c r="AW367">
        <v>10</v>
      </c>
      <c r="AX367">
        <v>1</v>
      </c>
      <c r="AY367">
        <v>5</v>
      </c>
      <c r="AZ367">
        <v>2</v>
      </c>
      <c r="BA367">
        <v>1</v>
      </c>
      <c r="BB367">
        <v>1440</v>
      </c>
      <c r="BC367">
        <v>0</v>
      </c>
      <c r="BD367">
        <v>0</v>
      </c>
      <c r="BE367">
        <v>14</v>
      </c>
      <c r="BF367">
        <v>25</v>
      </c>
      <c r="BG367">
        <v>3</v>
      </c>
      <c r="BH367">
        <v>8</v>
      </c>
      <c r="BI367">
        <v>3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0</v>
      </c>
      <c r="BQ367">
        <v>60</v>
      </c>
      <c r="BR367">
        <v>0</v>
      </c>
      <c r="BS367">
        <v>3</v>
      </c>
      <c r="BT367" t="s">
        <v>246</v>
      </c>
      <c r="BU367" t="s">
        <v>267</v>
      </c>
      <c r="BV367" t="b">
        <v>0</v>
      </c>
      <c r="BW367" t="s">
        <v>268</v>
      </c>
    </row>
    <row r="368" spans="1:75">
      <c r="A368" t="s">
        <v>246</v>
      </c>
      <c r="B368" t="s">
        <v>252</v>
      </c>
      <c r="C368">
        <v>722</v>
      </c>
      <c r="D368" t="s">
        <v>253</v>
      </c>
      <c r="E368" t="s">
        <v>254</v>
      </c>
      <c r="F368">
        <v>5</v>
      </c>
      <c r="G368" s="13">
        <v>46265.31082175926</v>
      </c>
      <c r="H368" s="13">
        <v>46265.311956018515</v>
      </c>
      <c r="I368">
        <v>98</v>
      </c>
      <c r="J368" t="s">
        <v>264</v>
      </c>
      <c r="K368">
        <v>1</v>
      </c>
      <c r="L368">
        <v>0.01</v>
      </c>
      <c r="M368">
        <v>0.01</v>
      </c>
      <c r="N368">
        <v>1</v>
      </c>
      <c r="O368">
        <v>0.01</v>
      </c>
      <c r="P368">
        <v>0.33</v>
      </c>
      <c r="Q368">
        <v>0.8</v>
      </c>
      <c r="R368">
        <v>0.46</v>
      </c>
      <c r="S368" t="s">
        <v>256</v>
      </c>
      <c r="T368" t="s">
        <v>257</v>
      </c>
      <c r="U368">
        <v>11</v>
      </c>
      <c r="V368">
        <v>6831.13</v>
      </c>
      <c r="W368">
        <v>4999.83</v>
      </c>
      <c r="X368">
        <v>4999.67</v>
      </c>
      <c r="Y368">
        <v>0</v>
      </c>
      <c r="Z368">
        <v>0</v>
      </c>
      <c r="AA368">
        <v>35</v>
      </c>
      <c r="AB368">
        <v>50</v>
      </c>
      <c r="AC368">
        <v>5000</v>
      </c>
      <c r="AD368">
        <v>0</v>
      </c>
      <c r="AE368">
        <v>0</v>
      </c>
      <c r="AF368">
        <v>6831.74</v>
      </c>
      <c r="AG368">
        <v>6831.74</v>
      </c>
      <c r="AH368" s="14">
        <v>46265</v>
      </c>
      <c r="AI368" t="s">
        <v>266</v>
      </c>
      <c r="AJ368" s="13">
        <v>46265.054768518516</v>
      </c>
      <c r="AK368">
        <v>6763.31</v>
      </c>
      <c r="AL368" t="s">
        <v>259</v>
      </c>
      <c r="AM368" t="s">
        <v>260</v>
      </c>
      <c r="AN368">
        <v>1400</v>
      </c>
      <c r="AO368">
        <v>0</v>
      </c>
      <c r="AP368">
        <v>35</v>
      </c>
      <c r="AQ368">
        <v>85</v>
      </c>
      <c r="AR368">
        <v>35</v>
      </c>
      <c r="AS368">
        <v>2</v>
      </c>
      <c r="AT368">
        <v>23</v>
      </c>
      <c r="AU368">
        <v>1</v>
      </c>
      <c r="AV368">
        <v>0</v>
      </c>
      <c r="AW368">
        <v>10</v>
      </c>
      <c r="AX368">
        <v>1</v>
      </c>
      <c r="AY368">
        <v>5</v>
      </c>
      <c r="AZ368">
        <v>2</v>
      </c>
      <c r="BA368">
        <v>1</v>
      </c>
      <c r="BB368">
        <v>1440</v>
      </c>
      <c r="BC368">
        <v>0</v>
      </c>
      <c r="BD368">
        <v>0</v>
      </c>
      <c r="BE368">
        <v>14</v>
      </c>
      <c r="BF368">
        <v>25</v>
      </c>
      <c r="BG368">
        <v>3</v>
      </c>
      <c r="BH368">
        <v>8</v>
      </c>
      <c r="BI368">
        <v>3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0</v>
      </c>
      <c r="BQ368">
        <v>60</v>
      </c>
      <c r="BR368">
        <v>0</v>
      </c>
      <c r="BS368">
        <v>3</v>
      </c>
      <c r="BT368" t="s">
        <v>246</v>
      </c>
      <c r="BU368" t="s">
        <v>267</v>
      </c>
      <c r="BV368" t="b">
        <v>0</v>
      </c>
      <c r="BW368" t="s">
        <v>268</v>
      </c>
    </row>
    <row r="369" spans="1:75">
      <c r="A369" t="s">
        <v>246</v>
      </c>
      <c r="B369" t="s">
        <v>252</v>
      </c>
      <c r="C369">
        <v>723</v>
      </c>
      <c r="D369" t="s">
        <v>253</v>
      </c>
      <c r="E369" t="s">
        <v>254</v>
      </c>
      <c r="F369">
        <v>5</v>
      </c>
      <c r="G369" s="13">
        <v>46265.31585648148</v>
      </c>
      <c r="H369" s="13">
        <v>46265.316435185188</v>
      </c>
      <c r="I369">
        <v>50</v>
      </c>
      <c r="J369" t="s">
        <v>255</v>
      </c>
      <c r="K369">
        <v>1</v>
      </c>
      <c r="L369">
        <v>0.01</v>
      </c>
      <c r="M369">
        <v>0.01</v>
      </c>
      <c r="N369">
        <v>1</v>
      </c>
      <c r="O369">
        <v>0.01</v>
      </c>
      <c r="P369">
        <v>0.49</v>
      </c>
      <c r="Q369">
        <v>1.96</v>
      </c>
      <c r="R369">
        <v>1.83</v>
      </c>
      <c r="S369" t="s">
        <v>256</v>
      </c>
      <c r="T369" t="s">
        <v>257</v>
      </c>
      <c r="U369">
        <v>11</v>
      </c>
      <c r="V369">
        <v>6831.54</v>
      </c>
      <c r="W369">
        <v>4999.8</v>
      </c>
      <c r="X369">
        <v>4999.51</v>
      </c>
      <c r="Y369">
        <v>0</v>
      </c>
      <c r="Z369">
        <v>0</v>
      </c>
      <c r="AA369">
        <v>35</v>
      </c>
      <c r="AB369">
        <v>50</v>
      </c>
      <c r="AC369">
        <v>5000</v>
      </c>
      <c r="AD369">
        <v>0</v>
      </c>
      <c r="AE369">
        <v>0</v>
      </c>
      <c r="AF369">
        <v>6833.34</v>
      </c>
      <c r="AG369">
        <v>6833.34</v>
      </c>
      <c r="AH369" s="14">
        <v>46265</v>
      </c>
      <c r="AI369" t="s">
        <v>266</v>
      </c>
      <c r="AJ369" s="13">
        <v>46265.054768518516</v>
      </c>
      <c r="AK369">
        <v>6763.31</v>
      </c>
      <c r="AL369" t="s">
        <v>259</v>
      </c>
      <c r="AM369" t="s">
        <v>260</v>
      </c>
      <c r="AN369">
        <v>1400</v>
      </c>
      <c r="AO369">
        <v>0</v>
      </c>
      <c r="AP369">
        <v>35</v>
      </c>
      <c r="AQ369">
        <v>85</v>
      </c>
      <c r="AR369">
        <v>35</v>
      </c>
      <c r="AS369">
        <v>2</v>
      </c>
      <c r="AT369">
        <v>23</v>
      </c>
      <c r="AU369">
        <v>1</v>
      </c>
      <c r="AV369">
        <v>0</v>
      </c>
      <c r="AW369">
        <v>10</v>
      </c>
      <c r="AX369">
        <v>1</v>
      </c>
      <c r="AY369">
        <v>5</v>
      </c>
      <c r="AZ369">
        <v>2</v>
      </c>
      <c r="BA369">
        <v>1</v>
      </c>
      <c r="BB369">
        <v>1440</v>
      </c>
      <c r="BC369">
        <v>0</v>
      </c>
      <c r="BD369">
        <v>0</v>
      </c>
      <c r="BE369">
        <v>14</v>
      </c>
      <c r="BF369">
        <v>25</v>
      </c>
      <c r="BG369">
        <v>3</v>
      </c>
      <c r="BH369">
        <v>8</v>
      </c>
      <c r="BI369">
        <v>3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0</v>
      </c>
      <c r="BQ369">
        <v>60</v>
      </c>
      <c r="BR369">
        <v>0</v>
      </c>
      <c r="BS369">
        <v>3</v>
      </c>
      <c r="BT369" t="s">
        <v>246</v>
      </c>
      <c r="BU369" t="s">
        <v>267</v>
      </c>
      <c r="BV369" t="b">
        <v>0</v>
      </c>
      <c r="BW369" t="s">
        <v>268</v>
      </c>
    </row>
    <row r="370" spans="1:75">
      <c r="A370" t="s">
        <v>246</v>
      </c>
      <c r="B370" t="s">
        <v>252</v>
      </c>
      <c r="C370">
        <v>724</v>
      </c>
      <c r="D370" t="s">
        <v>253</v>
      </c>
      <c r="E370" t="s">
        <v>254</v>
      </c>
      <c r="F370">
        <v>5</v>
      </c>
      <c r="G370" s="13">
        <v>46265.317511574074</v>
      </c>
      <c r="H370" s="13">
        <v>46265.317731481482</v>
      </c>
      <c r="I370">
        <v>19</v>
      </c>
      <c r="J370" t="s">
        <v>255</v>
      </c>
      <c r="K370">
        <v>1</v>
      </c>
      <c r="L370">
        <v>0.01</v>
      </c>
      <c r="M370">
        <v>0.01</v>
      </c>
      <c r="N370">
        <v>1</v>
      </c>
      <c r="O370">
        <v>0.01</v>
      </c>
      <c r="P370">
        <v>0.16</v>
      </c>
      <c r="Q370">
        <v>1.01</v>
      </c>
      <c r="R370">
        <v>0.71</v>
      </c>
      <c r="S370" t="s">
        <v>256</v>
      </c>
      <c r="T370" t="s">
        <v>257</v>
      </c>
      <c r="U370">
        <v>10</v>
      </c>
      <c r="V370">
        <v>6833.18</v>
      </c>
      <c r="W370">
        <v>4999.84</v>
      </c>
      <c r="X370">
        <v>4999.84</v>
      </c>
      <c r="Y370">
        <v>0</v>
      </c>
      <c r="Z370">
        <v>0</v>
      </c>
      <c r="AA370">
        <v>35</v>
      </c>
      <c r="AB370">
        <v>50</v>
      </c>
      <c r="AC370">
        <v>5000</v>
      </c>
      <c r="AD370">
        <v>0</v>
      </c>
      <c r="AE370">
        <v>0</v>
      </c>
      <c r="AF370">
        <v>6834</v>
      </c>
      <c r="AG370">
        <v>6834</v>
      </c>
      <c r="AH370" s="14">
        <v>46265</v>
      </c>
      <c r="AI370" t="s">
        <v>266</v>
      </c>
      <c r="AJ370" s="13">
        <v>46265.054768518516</v>
      </c>
      <c r="AK370">
        <v>6763.31</v>
      </c>
      <c r="AL370" t="s">
        <v>259</v>
      </c>
      <c r="AM370" t="s">
        <v>260</v>
      </c>
      <c r="AN370">
        <v>1400</v>
      </c>
      <c r="AO370">
        <v>0</v>
      </c>
      <c r="AP370">
        <v>35</v>
      </c>
      <c r="AQ370">
        <v>85</v>
      </c>
      <c r="AR370">
        <v>35</v>
      </c>
      <c r="AS370">
        <v>2</v>
      </c>
      <c r="AT370">
        <v>23</v>
      </c>
      <c r="AU370">
        <v>1</v>
      </c>
      <c r="AV370">
        <v>0</v>
      </c>
      <c r="AW370">
        <v>10</v>
      </c>
      <c r="AX370">
        <v>1</v>
      </c>
      <c r="AY370">
        <v>5</v>
      </c>
      <c r="AZ370">
        <v>2</v>
      </c>
      <c r="BA370">
        <v>1</v>
      </c>
      <c r="BB370">
        <v>1440</v>
      </c>
      <c r="BC370">
        <v>0</v>
      </c>
      <c r="BD370">
        <v>0</v>
      </c>
      <c r="BE370">
        <v>14</v>
      </c>
      <c r="BF370">
        <v>25</v>
      </c>
      <c r="BG370">
        <v>3</v>
      </c>
      <c r="BH370">
        <v>8</v>
      </c>
      <c r="BI370">
        <v>3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0</v>
      </c>
      <c r="BQ370">
        <v>60</v>
      </c>
      <c r="BR370">
        <v>0</v>
      </c>
      <c r="BS370">
        <v>3</v>
      </c>
      <c r="BT370" t="s">
        <v>246</v>
      </c>
      <c r="BU370" t="s">
        <v>267</v>
      </c>
      <c r="BV370" t="b">
        <v>0</v>
      </c>
      <c r="BW370" t="s">
        <v>268</v>
      </c>
    </row>
    <row r="371" spans="1:75">
      <c r="A371" t="s">
        <v>246</v>
      </c>
      <c r="B371" t="s">
        <v>252</v>
      </c>
      <c r="C371">
        <v>725</v>
      </c>
      <c r="D371" t="s">
        <v>253</v>
      </c>
      <c r="E371" t="s">
        <v>254</v>
      </c>
      <c r="F371">
        <v>5</v>
      </c>
      <c r="G371" s="13">
        <v>46265.331238425926</v>
      </c>
      <c r="H371" s="13">
        <v>46265.331562500003</v>
      </c>
      <c r="I371">
        <v>28</v>
      </c>
      <c r="J371" t="s">
        <v>255</v>
      </c>
      <c r="K371">
        <v>1</v>
      </c>
      <c r="L371">
        <v>0.01</v>
      </c>
      <c r="M371">
        <v>0.01</v>
      </c>
      <c r="N371">
        <v>1</v>
      </c>
      <c r="O371">
        <v>0.01</v>
      </c>
      <c r="P371">
        <v>0.37</v>
      </c>
      <c r="Q371">
        <v>1.48</v>
      </c>
      <c r="R371">
        <v>1.45</v>
      </c>
      <c r="S371" t="s">
        <v>256</v>
      </c>
      <c r="T371" t="s">
        <v>257</v>
      </c>
      <c r="U371">
        <v>10</v>
      </c>
      <c r="V371">
        <v>6833.84</v>
      </c>
      <c r="W371">
        <v>4999.84</v>
      </c>
      <c r="X371">
        <v>4999.63</v>
      </c>
      <c r="Y371">
        <v>0</v>
      </c>
      <c r="Z371">
        <v>0</v>
      </c>
      <c r="AA371">
        <v>35</v>
      </c>
      <c r="AB371">
        <v>50</v>
      </c>
      <c r="AC371">
        <v>5000</v>
      </c>
      <c r="AD371">
        <v>0</v>
      </c>
      <c r="AE371">
        <v>0</v>
      </c>
      <c r="AF371">
        <v>6835.13</v>
      </c>
      <c r="AG371">
        <v>6835.13</v>
      </c>
      <c r="AH371" s="14">
        <v>46265</v>
      </c>
      <c r="AI371" t="s">
        <v>266</v>
      </c>
      <c r="AJ371" s="13">
        <v>46265.054768518516</v>
      </c>
      <c r="AK371">
        <v>6763.31</v>
      </c>
      <c r="AL371" t="s">
        <v>259</v>
      </c>
      <c r="AM371" t="s">
        <v>260</v>
      </c>
      <c r="AN371">
        <v>1400</v>
      </c>
      <c r="AO371">
        <v>0</v>
      </c>
      <c r="AP371">
        <v>35</v>
      </c>
      <c r="AQ371">
        <v>85</v>
      </c>
      <c r="AR371">
        <v>35</v>
      </c>
      <c r="AS371">
        <v>2</v>
      </c>
      <c r="AT371">
        <v>23</v>
      </c>
      <c r="AU371">
        <v>1</v>
      </c>
      <c r="AV371">
        <v>0</v>
      </c>
      <c r="AW371">
        <v>10</v>
      </c>
      <c r="AX371">
        <v>1</v>
      </c>
      <c r="AY371">
        <v>5</v>
      </c>
      <c r="AZ371">
        <v>2</v>
      </c>
      <c r="BA371">
        <v>1</v>
      </c>
      <c r="BB371">
        <v>1440</v>
      </c>
      <c r="BC371">
        <v>0</v>
      </c>
      <c r="BD371">
        <v>0</v>
      </c>
      <c r="BE371">
        <v>14</v>
      </c>
      <c r="BF371">
        <v>25</v>
      </c>
      <c r="BG371">
        <v>3</v>
      </c>
      <c r="BH371">
        <v>8</v>
      </c>
      <c r="BI371">
        <v>3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0</v>
      </c>
      <c r="BQ371">
        <v>60</v>
      </c>
      <c r="BR371">
        <v>0</v>
      </c>
      <c r="BS371">
        <v>3</v>
      </c>
      <c r="BT371" t="s">
        <v>246</v>
      </c>
      <c r="BU371" t="s">
        <v>267</v>
      </c>
      <c r="BV371" t="b">
        <v>0</v>
      </c>
      <c r="BW371" t="s">
        <v>268</v>
      </c>
    </row>
    <row r="372" spans="1:75">
      <c r="A372" t="s">
        <v>246</v>
      </c>
      <c r="B372" t="s">
        <v>252</v>
      </c>
      <c r="C372">
        <v>726</v>
      </c>
      <c r="D372" t="s">
        <v>253</v>
      </c>
      <c r="E372" t="s">
        <v>254</v>
      </c>
      <c r="F372">
        <v>5</v>
      </c>
      <c r="G372" s="13">
        <v>46265.335231481484</v>
      </c>
      <c r="H372" s="13">
        <v>46265.3356712963</v>
      </c>
      <c r="I372">
        <v>38</v>
      </c>
      <c r="J372" t="s">
        <v>255</v>
      </c>
      <c r="K372">
        <v>1</v>
      </c>
      <c r="L372">
        <v>0.01</v>
      </c>
      <c r="M372">
        <v>0.01</v>
      </c>
      <c r="N372">
        <v>1</v>
      </c>
      <c r="O372">
        <v>0.01</v>
      </c>
      <c r="P372">
        <v>0.69</v>
      </c>
      <c r="Q372">
        <v>1.1299999999999999</v>
      </c>
      <c r="R372">
        <v>1.07</v>
      </c>
      <c r="S372" t="s">
        <v>256</v>
      </c>
      <c r="T372" t="s">
        <v>257</v>
      </c>
      <c r="U372">
        <v>10</v>
      </c>
      <c r="V372">
        <v>6834.97</v>
      </c>
      <c r="W372">
        <v>4999.84</v>
      </c>
      <c r="X372">
        <v>4999.3100000000004</v>
      </c>
      <c r="Y372">
        <v>0</v>
      </c>
      <c r="Z372">
        <v>0</v>
      </c>
      <c r="AA372">
        <v>35</v>
      </c>
      <c r="AB372">
        <v>50</v>
      </c>
      <c r="AC372">
        <v>5000</v>
      </c>
      <c r="AD372">
        <v>0</v>
      </c>
      <c r="AE372">
        <v>0</v>
      </c>
      <c r="AF372">
        <v>6835.9</v>
      </c>
      <c r="AG372">
        <v>6835.9</v>
      </c>
      <c r="AH372" s="14">
        <v>46265</v>
      </c>
      <c r="AI372" t="s">
        <v>266</v>
      </c>
      <c r="AJ372" s="13">
        <v>46265.054768518516</v>
      </c>
      <c r="AK372">
        <v>6763.31</v>
      </c>
      <c r="AL372" t="s">
        <v>259</v>
      </c>
      <c r="AM372" t="s">
        <v>260</v>
      </c>
      <c r="AN372">
        <v>1400</v>
      </c>
      <c r="AO372">
        <v>0</v>
      </c>
      <c r="AP372">
        <v>35</v>
      </c>
      <c r="AQ372">
        <v>85</v>
      </c>
      <c r="AR372">
        <v>35</v>
      </c>
      <c r="AS372">
        <v>2</v>
      </c>
      <c r="AT372">
        <v>23</v>
      </c>
      <c r="AU372">
        <v>1</v>
      </c>
      <c r="AV372">
        <v>0</v>
      </c>
      <c r="AW372">
        <v>10</v>
      </c>
      <c r="AX372">
        <v>1</v>
      </c>
      <c r="AY372">
        <v>5</v>
      </c>
      <c r="AZ372">
        <v>2</v>
      </c>
      <c r="BA372">
        <v>1</v>
      </c>
      <c r="BB372">
        <v>1440</v>
      </c>
      <c r="BC372">
        <v>0</v>
      </c>
      <c r="BD372">
        <v>0</v>
      </c>
      <c r="BE372">
        <v>14</v>
      </c>
      <c r="BF372">
        <v>25</v>
      </c>
      <c r="BG372">
        <v>3</v>
      </c>
      <c r="BH372">
        <v>8</v>
      </c>
      <c r="BI372">
        <v>3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0</v>
      </c>
      <c r="BQ372">
        <v>60</v>
      </c>
      <c r="BR372">
        <v>0</v>
      </c>
      <c r="BS372">
        <v>3</v>
      </c>
      <c r="BT372" t="s">
        <v>246</v>
      </c>
      <c r="BU372" t="s">
        <v>267</v>
      </c>
      <c r="BV372" t="b">
        <v>0</v>
      </c>
      <c r="BW372" t="s">
        <v>268</v>
      </c>
    </row>
    <row r="373" spans="1:75">
      <c r="A373" t="s">
        <v>246</v>
      </c>
      <c r="B373" t="s">
        <v>252</v>
      </c>
      <c r="C373">
        <v>727</v>
      </c>
      <c r="D373" t="s">
        <v>253</v>
      </c>
      <c r="E373" t="s">
        <v>254</v>
      </c>
      <c r="F373">
        <v>5</v>
      </c>
      <c r="G373" s="13">
        <v>46265.339849537035</v>
      </c>
      <c r="H373" s="13">
        <v>46265.340092592596</v>
      </c>
      <c r="I373">
        <v>21</v>
      </c>
      <c r="J373" t="s">
        <v>264</v>
      </c>
      <c r="K373">
        <v>1</v>
      </c>
      <c r="L373">
        <v>0.01</v>
      </c>
      <c r="M373">
        <v>0.01</v>
      </c>
      <c r="N373">
        <v>1</v>
      </c>
      <c r="O373">
        <v>0.01</v>
      </c>
      <c r="P373">
        <v>0.39</v>
      </c>
      <c r="Q373">
        <v>0.97</v>
      </c>
      <c r="R373">
        <v>0.81</v>
      </c>
      <c r="S373" t="s">
        <v>256</v>
      </c>
      <c r="T373" t="s">
        <v>257</v>
      </c>
      <c r="U373">
        <v>10</v>
      </c>
      <c r="V373">
        <v>6835.71</v>
      </c>
      <c r="W373">
        <v>4999.8100000000004</v>
      </c>
      <c r="X373">
        <v>4999.6099999999997</v>
      </c>
      <c r="Y373">
        <v>0</v>
      </c>
      <c r="Z373">
        <v>0</v>
      </c>
      <c r="AA373">
        <v>35</v>
      </c>
      <c r="AB373">
        <v>50</v>
      </c>
      <c r="AC373">
        <v>5000</v>
      </c>
      <c r="AD373">
        <v>0</v>
      </c>
      <c r="AE373">
        <v>0</v>
      </c>
      <c r="AF373">
        <v>6836.52</v>
      </c>
      <c r="AG373">
        <v>6836.52</v>
      </c>
      <c r="AH373" s="14">
        <v>46265</v>
      </c>
      <c r="AI373" t="s">
        <v>266</v>
      </c>
      <c r="AJ373" s="13">
        <v>46265.054768518516</v>
      </c>
      <c r="AK373">
        <v>6763.31</v>
      </c>
      <c r="AL373" t="s">
        <v>259</v>
      </c>
      <c r="AM373" t="s">
        <v>260</v>
      </c>
      <c r="AN373">
        <v>1400</v>
      </c>
      <c r="AO373">
        <v>0</v>
      </c>
      <c r="AP373">
        <v>35</v>
      </c>
      <c r="AQ373">
        <v>85</v>
      </c>
      <c r="AR373">
        <v>35</v>
      </c>
      <c r="AS373">
        <v>2</v>
      </c>
      <c r="AT373">
        <v>23</v>
      </c>
      <c r="AU373">
        <v>1</v>
      </c>
      <c r="AV373">
        <v>0</v>
      </c>
      <c r="AW373">
        <v>10</v>
      </c>
      <c r="AX373">
        <v>1</v>
      </c>
      <c r="AY373">
        <v>5</v>
      </c>
      <c r="AZ373">
        <v>2</v>
      </c>
      <c r="BA373">
        <v>1</v>
      </c>
      <c r="BB373">
        <v>1440</v>
      </c>
      <c r="BC373">
        <v>0</v>
      </c>
      <c r="BD373">
        <v>0</v>
      </c>
      <c r="BE373">
        <v>14</v>
      </c>
      <c r="BF373">
        <v>25</v>
      </c>
      <c r="BG373">
        <v>3</v>
      </c>
      <c r="BH373">
        <v>8</v>
      </c>
      <c r="BI373">
        <v>3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0</v>
      </c>
      <c r="BQ373">
        <v>60</v>
      </c>
      <c r="BR373">
        <v>0</v>
      </c>
      <c r="BS373">
        <v>3</v>
      </c>
      <c r="BT373" t="s">
        <v>246</v>
      </c>
      <c r="BU373" t="s">
        <v>267</v>
      </c>
      <c r="BV373" t="b">
        <v>0</v>
      </c>
      <c r="BW373" t="s">
        <v>268</v>
      </c>
    </row>
    <row r="374" spans="1:75">
      <c r="A374" t="s">
        <v>246</v>
      </c>
      <c r="B374" t="s">
        <v>252</v>
      </c>
      <c r="C374">
        <v>728</v>
      </c>
      <c r="D374" t="s">
        <v>253</v>
      </c>
      <c r="E374" t="s">
        <v>254</v>
      </c>
      <c r="F374">
        <v>5</v>
      </c>
      <c r="G374" s="13">
        <v>46265.341863425929</v>
      </c>
      <c r="H374" s="13">
        <v>46265.342974537038</v>
      </c>
      <c r="I374">
        <v>96</v>
      </c>
      <c r="J374" t="s">
        <v>255</v>
      </c>
      <c r="K374">
        <v>1</v>
      </c>
      <c r="L374">
        <v>0.01</v>
      </c>
      <c r="M374">
        <v>0.01</v>
      </c>
      <c r="N374">
        <v>1</v>
      </c>
      <c r="O374">
        <v>0.01</v>
      </c>
      <c r="P374">
        <v>0.56999999999999995</v>
      </c>
      <c r="Q374">
        <v>1.93</v>
      </c>
      <c r="R374">
        <v>1.78</v>
      </c>
      <c r="S374" t="s">
        <v>256</v>
      </c>
      <c r="T374" t="s">
        <v>257</v>
      </c>
      <c r="U374">
        <v>10</v>
      </c>
      <c r="V374">
        <v>6836.78</v>
      </c>
      <c r="W374">
        <v>5000.26</v>
      </c>
      <c r="X374">
        <v>4999.43</v>
      </c>
      <c r="Y374">
        <v>0</v>
      </c>
      <c r="Z374">
        <v>0</v>
      </c>
      <c r="AA374">
        <v>35</v>
      </c>
      <c r="AB374">
        <v>50</v>
      </c>
      <c r="AC374">
        <v>5000</v>
      </c>
      <c r="AD374">
        <v>0</v>
      </c>
      <c r="AE374">
        <v>0</v>
      </c>
      <c r="AF374">
        <v>6838.1</v>
      </c>
      <c r="AG374">
        <v>6838.1</v>
      </c>
      <c r="AH374" s="14">
        <v>46265</v>
      </c>
      <c r="AI374" t="s">
        <v>266</v>
      </c>
      <c r="AJ374" s="13">
        <v>46265.054768518516</v>
      </c>
      <c r="AK374">
        <v>6763.31</v>
      </c>
      <c r="AL374" t="s">
        <v>259</v>
      </c>
      <c r="AM374" t="s">
        <v>260</v>
      </c>
      <c r="AN374">
        <v>1400</v>
      </c>
      <c r="AO374">
        <v>0</v>
      </c>
      <c r="AP374">
        <v>35</v>
      </c>
      <c r="AQ374">
        <v>85</v>
      </c>
      <c r="AR374">
        <v>35</v>
      </c>
      <c r="AS374">
        <v>2</v>
      </c>
      <c r="AT374">
        <v>23</v>
      </c>
      <c r="AU374">
        <v>1</v>
      </c>
      <c r="AV374">
        <v>0</v>
      </c>
      <c r="AW374">
        <v>10</v>
      </c>
      <c r="AX374">
        <v>1</v>
      </c>
      <c r="AY374">
        <v>5</v>
      </c>
      <c r="AZ374">
        <v>2</v>
      </c>
      <c r="BA374">
        <v>1</v>
      </c>
      <c r="BB374">
        <v>1440</v>
      </c>
      <c r="BC374">
        <v>0</v>
      </c>
      <c r="BD374">
        <v>0</v>
      </c>
      <c r="BE374">
        <v>14</v>
      </c>
      <c r="BF374">
        <v>25</v>
      </c>
      <c r="BG374">
        <v>3</v>
      </c>
      <c r="BH374">
        <v>8</v>
      </c>
      <c r="BI374">
        <v>3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0</v>
      </c>
      <c r="BQ374">
        <v>60</v>
      </c>
      <c r="BR374">
        <v>0</v>
      </c>
      <c r="BS374">
        <v>3</v>
      </c>
      <c r="BT374" t="s">
        <v>246</v>
      </c>
      <c r="BU374" t="s">
        <v>267</v>
      </c>
      <c r="BV374" t="b">
        <v>0</v>
      </c>
      <c r="BW374" t="s">
        <v>268</v>
      </c>
    </row>
    <row r="375" spans="1:75">
      <c r="A375" t="s">
        <v>246</v>
      </c>
      <c r="B375" t="s">
        <v>252</v>
      </c>
      <c r="C375">
        <v>729</v>
      </c>
      <c r="D375" t="s">
        <v>253</v>
      </c>
      <c r="E375" t="s">
        <v>254</v>
      </c>
      <c r="F375">
        <v>5</v>
      </c>
      <c r="G375" s="13">
        <v>46265.34611111111</v>
      </c>
      <c r="H375" s="13">
        <v>46265.346898148149</v>
      </c>
      <c r="I375">
        <v>68</v>
      </c>
      <c r="J375" t="s">
        <v>255</v>
      </c>
      <c r="K375">
        <v>1</v>
      </c>
      <c r="L375">
        <v>0.01</v>
      </c>
      <c r="M375">
        <v>0.01</v>
      </c>
      <c r="N375">
        <v>1</v>
      </c>
      <c r="O375">
        <v>0.01</v>
      </c>
      <c r="P375">
        <v>0.18</v>
      </c>
      <c r="Q375">
        <v>1.54</v>
      </c>
      <c r="R375">
        <v>1.26</v>
      </c>
      <c r="S375" t="s">
        <v>256</v>
      </c>
      <c r="T375" t="s">
        <v>257</v>
      </c>
      <c r="U375">
        <v>10</v>
      </c>
      <c r="V375">
        <v>6837.94</v>
      </c>
      <c r="W375">
        <v>4999.84</v>
      </c>
      <c r="X375">
        <v>4999.82</v>
      </c>
      <c r="Y375">
        <v>0</v>
      </c>
      <c r="Z375">
        <v>0</v>
      </c>
      <c r="AA375">
        <v>35</v>
      </c>
      <c r="AB375">
        <v>50</v>
      </c>
      <c r="AC375">
        <v>5000</v>
      </c>
      <c r="AD375">
        <v>0</v>
      </c>
      <c r="AE375">
        <v>0</v>
      </c>
      <c r="AF375">
        <v>6839.28</v>
      </c>
      <c r="AG375">
        <v>6839.28</v>
      </c>
      <c r="AH375" s="14">
        <v>46265</v>
      </c>
      <c r="AI375" t="s">
        <v>266</v>
      </c>
      <c r="AJ375" s="13">
        <v>46265.054768518516</v>
      </c>
      <c r="AK375">
        <v>6763.31</v>
      </c>
      <c r="AL375" t="s">
        <v>259</v>
      </c>
      <c r="AM375" t="s">
        <v>260</v>
      </c>
      <c r="AN375">
        <v>1400</v>
      </c>
      <c r="AO375">
        <v>0</v>
      </c>
      <c r="AP375">
        <v>35</v>
      </c>
      <c r="AQ375">
        <v>85</v>
      </c>
      <c r="AR375">
        <v>35</v>
      </c>
      <c r="AS375">
        <v>2</v>
      </c>
      <c r="AT375">
        <v>23</v>
      </c>
      <c r="AU375">
        <v>1</v>
      </c>
      <c r="AV375">
        <v>0</v>
      </c>
      <c r="AW375">
        <v>10</v>
      </c>
      <c r="AX375">
        <v>1</v>
      </c>
      <c r="AY375">
        <v>5</v>
      </c>
      <c r="AZ375">
        <v>2</v>
      </c>
      <c r="BA375">
        <v>1</v>
      </c>
      <c r="BB375">
        <v>1440</v>
      </c>
      <c r="BC375">
        <v>0</v>
      </c>
      <c r="BD375">
        <v>0</v>
      </c>
      <c r="BE375">
        <v>14</v>
      </c>
      <c r="BF375">
        <v>25</v>
      </c>
      <c r="BG375">
        <v>3</v>
      </c>
      <c r="BH375">
        <v>8</v>
      </c>
      <c r="BI375">
        <v>3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0</v>
      </c>
      <c r="BQ375">
        <v>60</v>
      </c>
      <c r="BR375">
        <v>0</v>
      </c>
      <c r="BS375">
        <v>3</v>
      </c>
      <c r="BT375" t="s">
        <v>246</v>
      </c>
      <c r="BU375" t="s">
        <v>267</v>
      </c>
      <c r="BV375" t="b">
        <v>0</v>
      </c>
      <c r="BW375" t="s">
        <v>268</v>
      </c>
    </row>
    <row r="376" spans="1:75">
      <c r="A376" t="s">
        <v>246</v>
      </c>
      <c r="B376" t="s">
        <v>252</v>
      </c>
      <c r="C376">
        <v>730</v>
      </c>
      <c r="D376" t="s">
        <v>253</v>
      </c>
      <c r="E376" t="s">
        <v>254</v>
      </c>
      <c r="F376">
        <v>5</v>
      </c>
      <c r="G376" s="13">
        <v>46265.347731481481</v>
      </c>
      <c r="H376" s="13">
        <v>46265.347905092596</v>
      </c>
      <c r="I376">
        <v>15</v>
      </c>
      <c r="J376" t="s">
        <v>255</v>
      </c>
      <c r="K376">
        <v>1</v>
      </c>
      <c r="L376">
        <v>0.01</v>
      </c>
      <c r="M376">
        <v>0.01</v>
      </c>
      <c r="N376">
        <v>1</v>
      </c>
      <c r="O376">
        <v>0.01</v>
      </c>
      <c r="P376">
        <v>0.4</v>
      </c>
      <c r="Q376">
        <v>0.84</v>
      </c>
      <c r="R376">
        <v>0.67</v>
      </c>
      <c r="S376" t="s">
        <v>256</v>
      </c>
      <c r="T376" t="s">
        <v>257</v>
      </c>
      <c r="U376">
        <v>10</v>
      </c>
      <c r="V376">
        <v>6839.12</v>
      </c>
      <c r="W376">
        <v>4999.84</v>
      </c>
      <c r="X376">
        <v>4999.6000000000004</v>
      </c>
      <c r="Y376">
        <v>0</v>
      </c>
      <c r="Z376">
        <v>0</v>
      </c>
      <c r="AA376">
        <v>35</v>
      </c>
      <c r="AB376">
        <v>50</v>
      </c>
      <c r="AC376">
        <v>5000</v>
      </c>
      <c r="AD376">
        <v>0</v>
      </c>
      <c r="AE376">
        <v>0</v>
      </c>
      <c r="AF376">
        <v>6839.77</v>
      </c>
      <c r="AG376">
        <v>6839.77</v>
      </c>
      <c r="AH376" s="14">
        <v>46265</v>
      </c>
      <c r="AI376" t="s">
        <v>266</v>
      </c>
      <c r="AJ376" s="13">
        <v>46265.054768518516</v>
      </c>
      <c r="AK376">
        <v>6763.31</v>
      </c>
      <c r="AL376" t="s">
        <v>259</v>
      </c>
      <c r="AM376" t="s">
        <v>260</v>
      </c>
      <c r="AN376">
        <v>1400</v>
      </c>
      <c r="AO376">
        <v>0</v>
      </c>
      <c r="AP376">
        <v>35</v>
      </c>
      <c r="AQ376">
        <v>85</v>
      </c>
      <c r="AR376">
        <v>35</v>
      </c>
      <c r="AS376">
        <v>2</v>
      </c>
      <c r="AT376">
        <v>23</v>
      </c>
      <c r="AU376">
        <v>1</v>
      </c>
      <c r="AV376">
        <v>0</v>
      </c>
      <c r="AW376">
        <v>10</v>
      </c>
      <c r="AX376">
        <v>1</v>
      </c>
      <c r="AY376">
        <v>5</v>
      </c>
      <c r="AZ376">
        <v>2</v>
      </c>
      <c r="BA376">
        <v>1</v>
      </c>
      <c r="BB376">
        <v>1440</v>
      </c>
      <c r="BC376">
        <v>0</v>
      </c>
      <c r="BD376">
        <v>0</v>
      </c>
      <c r="BE376">
        <v>14</v>
      </c>
      <c r="BF376">
        <v>25</v>
      </c>
      <c r="BG376">
        <v>3</v>
      </c>
      <c r="BH376">
        <v>8</v>
      </c>
      <c r="BI376">
        <v>3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0</v>
      </c>
      <c r="BQ376">
        <v>60</v>
      </c>
      <c r="BR376">
        <v>0</v>
      </c>
      <c r="BS376">
        <v>3</v>
      </c>
      <c r="BT376" t="s">
        <v>246</v>
      </c>
      <c r="BU376" t="s">
        <v>267</v>
      </c>
      <c r="BV376" t="b">
        <v>0</v>
      </c>
      <c r="BW376" t="s">
        <v>268</v>
      </c>
    </row>
    <row r="377" spans="1:75">
      <c r="A377" t="s">
        <v>246</v>
      </c>
      <c r="B377" t="s">
        <v>252</v>
      </c>
      <c r="C377">
        <v>731</v>
      </c>
      <c r="D377" t="s">
        <v>253</v>
      </c>
      <c r="E377" t="s">
        <v>254</v>
      </c>
      <c r="F377">
        <v>5</v>
      </c>
      <c r="G377" s="13">
        <v>46265.35193287037</v>
      </c>
      <c r="H377" s="13">
        <v>46265.352280092593</v>
      </c>
      <c r="I377">
        <v>30</v>
      </c>
      <c r="J377" t="s">
        <v>255</v>
      </c>
      <c r="K377">
        <v>1</v>
      </c>
      <c r="L377">
        <v>0.01</v>
      </c>
      <c r="M377">
        <v>0.01</v>
      </c>
      <c r="N377">
        <v>1</v>
      </c>
      <c r="O377">
        <v>0.01</v>
      </c>
      <c r="P377">
        <v>0.64</v>
      </c>
      <c r="Q377">
        <v>0.87</v>
      </c>
      <c r="R377">
        <v>0.63</v>
      </c>
      <c r="S377" t="s">
        <v>256</v>
      </c>
      <c r="T377" t="s">
        <v>257</v>
      </c>
      <c r="U377">
        <v>11</v>
      </c>
      <c r="V377">
        <v>6839.6</v>
      </c>
      <c r="W377">
        <v>4999.83</v>
      </c>
      <c r="X377">
        <v>4999.3599999999997</v>
      </c>
      <c r="Y377">
        <v>0</v>
      </c>
      <c r="Z377">
        <v>0</v>
      </c>
      <c r="AA377">
        <v>35</v>
      </c>
      <c r="AB377">
        <v>50</v>
      </c>
      <c r="AC377">
        <v>5000</v>
      </c>
      <c r="AD377">
        <v>0</v>
      </c>
      <c r="AE377">
        <v>0</v>
      </c>
      <c r="AF377">
        <v>6840.29</v>
      </c>
      <c r="AG377">
        <v>6840.29</v>
      </c>
      <c r="AH377" s="14">
        <v>46265</v>
      </c>
      <c r="AI377" t="s">
        <v>266</v>
      </c>
      <c r="AJ377" s="13">
        <v>46265.054768518516</v>
      </c>
      <c r="AK377">
        <v>6763.31</v>
      </c>
      <c r="AL377" t="s">
        <v>259</v>
      </c>
      <c r="AM377" t="s">
        <v>260</v>
      </c>
      <c r="AN377">
        <v>1400</v>
      </c>
      <c r="AO377">
        <v>0</v>
      </c>
      <c r="AP377">
        <v>35</v>
      </c>
      <c r="AQ377">
        <v>85</v>
      </c>
      <c r="AR377">
        <v>35</v>
      </c>
      <c r="AS377">
        <v>2</v>
      </c>
      <c r="AT377">
        <v>23</v>
      </c>
      <c r="AU377">
        <v>1</v>
      </c>
      <c r="AV377">
        <v>0</v>
      </c>
      <c r="AW377">
        <v>10</v>
      </c>
      <c r="AX377">
        <v>1</v>
      </c>
      <c r="AY377">
        <v>5</v>
      </c>
      <c r="AZ377">
        <v>2</v>
      </c>
      <c r="BA377">
        <v>1</v>
      </c>
      <c r="BB377">
        <v>1440</v>
      </c>
      <c r="BC377">
        <v>0</v>
      </c>
      <c r="BD377">
        <v>0</v>
      </c>
      <c r="BE377">
        <v>14</v>
      </c>
      <c r="BF377">
        <v>25</v>
      </c>
      <c r="BG377">
        <v>3</v>
      </c>
      <c r="BH377">
        <v>8</v>
      </c>
      <c r="BI377">
        <v>3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0</v>
      </c>
      <c r="BQ377">
        <v>60</v>
      </c>
      <c r="BR377">
        <v>0</v>
      </c>
      <c r="BS377">
        <v>3</v>
      </c>
      <c r="BT377" t="s">
        <v>246</v>
      </c>
      <c r="BU377" t="s">
        <v>267</v>
      </c>
      <c r="BV377" t="b">
        <v>0</v>
      </c>
      <c r="BW377" t="s">
        <v>268</v>
      </c>
    </row>
    <row r="378" spans="1:75">
      <c r="A378" t="s">
        <v>246</v>
      </c>
      <c r="B378" t="s">
        <v>252</v>
      </c>
      <c r="C378">
        <v>732</v>
      </c>
      <c r="D378" t="s">
        <v>253</v>
      </c>
      <c r="E378" t="s">
        <v>254</v>
      </c>
      <c r="F378">
        <v>5</v>
      </c>
      <c r="G378" s="13">
        <v>46265.354386574072</v>
      </c>
      <c r="H378" s="13">
        <v>46265.354699074072</v>
      </c>
      <c r="I378">
        <v>27</v>
      </c>
      <c r="J378" t="s">
        <v>264</v>
      </c>
      <c r="K378">
        <v>1</v>
      </c>
      <c r="L378">
        <v>0.01</v>
      </c>
      <c r="M378">
        <v>0.01</v>
      </c>
      <c r="N378">
        <v>1</v>
      </c>
      <c r="O378">
        <v>0.01</v>
      </c>
      <c r="P378">
        <v>0.18</v>
      </c>
      <c r="Q378">
        <v>2.1</v>
      </c>
      <c r="R378">
        <v>1.92</v>
      </c>
      <c r="S378" t="s">
        <v>256</v>
      </c>
      <c r="T378" t="s">
        <v>257</v>
      </c>
      <c r="U378">
        <v>10</v>
      </c>
      <c r="V378">
        <v>6840.13</v>
      </c>
      <c r="W378">
        <v>4999.84</v>
      </c>
      <c r="X378">
        <v>4999.82</v>
      </c>
      <c r="Y378">
        <v>0</v>
      </c>
      <c r="Z378">
        <v>0</v>
      </c>
      <c r="AA378">
        <v>35</v>
      </c>
      <c r="AB378">
        <v>50</v>
      </c>
      <c r="AC378">
        <v>5000</v>
      </c>
      <c r="AD378">
        <v>0</v>
      </c>
      <c r="AE378">
        <v>0</v>
      </c>
      <c r="AF378">
        <v>6842.04</v>
      </c>
      <c r="AG378">
        <v>6842.04</v>
      </c>
      <c r="AH378" s="14">
        <v>46265</v>
      </c>
      <c r="AI378" t="s">
        <v>266</v>
      </c>
      <c r="AJ378" s="13">
        <v>46265.054768518516</v>
      </c>
      <c r="AK378">
        <v>6763.31</v>
      </c>
      <c r="AL378" t="s">
        <v>259</v>
      </c>
      <c r="AM378" t="s">
        <v>260</v>
      </c>
      <c r="AN378">
        <v>1400</v>
      </c>
      <c r="AO378">
        <v>0</v>
      </c>
      <c r="AP378">
        <v>35</v>
      </c>
      <c r="AQ378">
        <v>85</v>
      </c>
      <c r="AR378">
        <v>35</v>
      </c>
      <c r="AS378">
        <v>2</v>
      </c>
      <c r="AT378">
        <v>23</v>
      </c>
      <c r="AU378">
        <v>1</v>
      </c>
      <c r="AV378">
        <v>0</v>
      </c>
      <c r="AW378">
        <v>10</v>
      </c>
      <c r="AX378">
        <v>1</v>
      </c>
      <c r="AY378">
        <v>5</v>
      </c>
      <c r="AZ378">
        <v>2</v>
      </c>
      <c r="BA378">
        <v>1</v>
      </c>
      <c r="BB378">
        <v>1440</v>
      </c>
      <c r="BC378">
        <v>0</v>
      </c>
      <c r="BD378">
        <v>0</v>
      </c>
      <c r="BE378">
        <v>14</v>
      </c>
      <c r="BF378">
        <v>25</v>
      </c>
      <c r="BG378">
        <v>3</v>
      </c>
      <c r="BH378">
        <v>8</v>
      </c>
      <c r="BI378">
        <v>3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0</v>
      </c>
      <c r="BQ378">
        <v>60</v>
      </c>
      <c r="BR378">
        <v>0</v>
      </c>
      <c r="BS378">
        <v>3</v>
      </c>
      <c r="BT378" t="s">
        <v>246</v>
      </c>
      <c r="BU378" t="s">
        <v>267</v>
      </c>
      <c r="BV378" t="b">
        <v>0</v>
      </c>
      <c r="BW378" t="s">
        <v>268</v>
      </c>
    </row>
    <row r="379" spans="1:75">
      <c r="A379" t="s">
        <v>246</v>
      </c>
      <c r="B379" t="s">
        <v>252</v>
      </c>
      <c r="C379">
        <v>733</v>
      </c>
      <c r="D379" t="s">
        <v>253</v>
      </c>
      <c r="E379" t="s">
        <v>254</v>
      </c>
      <c r="F379">
        <v>5</v>
      </c>
      <c r="G379" s="13">
        <v>46265.360081018516</v>
      </c>
      <c r="H379" s="13">
        <v>46265.360196759262</v>
      </c>
      <c r="I379">
        <v>10</v>
      </c>
      <c r="J379" t="s">
        <v>255</v>
      </c>
      <c r="K379">
        <v>1</v>
      </c>
      <c r="L379">
        <v>0.01</v>
      </c>
      <c r="M379">
        <v>0.01</v>
      </c>
      <c r="N379">
        <v>1</v>
      </c>
      <c r="O379">
        <v>0.01</v>
      </c>
      <c r="P379">
        <v>0.16</v>
      </c>
      <c r="Q379">
        <v>1.08</v>
      </c>
      <c r="R379">
        <v>0.78</v>
      </c>
      <c r="S379" t="s">
        <v>256</v>
      </c>
      <c r="T379" t="s">
        <v>257</v>
      </c>
      <c r="U379">
        <v>10</v>
      </c>
      <c r="V379">
        <v>6841.88</v>
      </c>
      <c r="W379">
        <v>4999.84</v>
      </c>
      <c r="X379">
        <v>4999.84</v>
      </c>
      <c r="Y379">
        <v>0</v>
      </c>
      <c r="Z379">
        <v>0</v>
      </c>
      <c r="AA379">
        <v>35</v>
      </c>
      <c r="AB379">
        <v>50</v>
      </c>
      <c r="AC379">
        <v>5000</v>
      </c>
      <c r="AD379">
        <v>0</v>
      </c>
      <c r="AE379">
        <v>0</v>
      </c>
      <c r="AF379">
        <v>6842.77</v>
      </c>
      <c r="AG379">
        <v>6842.77</v>
      </c>
      <c r="AH379" s="14">
        <v>46265</v>
      </c>
      <c r="AI379" t="s">
        <v>266</v>
      </c>
      <c r="AJ379" s="13">
        <v>46265.054768518516</v>
      </c>
      <c r="AK379">
        <v>6763.31</v>
      </c>
      <c r="AL379" t="s">
        <v>259</v>
      </c>
      <c r="AM379" t="s">
        <v>260</v>
      </c>
      <c r="AN379">
        <v>1400</v>
      </c>
      <c r="AO379">
        <v>0</v>
      </c>
      <c r="AP379">
        <v>35</v>
      </c>
      <c r="AQ379">
        <v>85</v>
      </c>
      <c r="AR379">
        <v>35</v>
      </c>
      <c r="AS379">
        <v>2</v>
      </c>
      <c r="AT379">
        <v>23</v>
      </c>
      <c r="AU379">
        <v>1</v>
      </c>
      <c r="AV379">
        <v>0</v>
      </c>
      <c r="AW379">
        <v>10</v>
      </c>
      <c r="AX379">
        <v>1</v>
      </c>
      <c r="AY379">
        <v>5</v>
      </c>
      <c r="AZ379">
        <v>2</v>
      </c>
      <c r="BA379">
        <v>1</v>
      </c>
      <c r="BB379">
        <v>1440</v>
      </c>
      <c r="BC379">
        <v>0</v>
      </c>
      <c r="BD379">
        <v>0</v>
      </c>
      <c r="BE379">
        <v>14</v>
      </c>
      <c r="BF379">
        <v>25</v>
      </c>
      <c r="BG379">
        <v>3</v>
      </c>
      <c r="BH379">
        <v>8</v>
      </c>
      <c r="BI379">
        <v>3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0</v>
      </c>
      <c r="BQ379">
        <v>60</v>
      </c>
      <c r="BR379">
        <v>0</v>
      </c>
      <c r="BS379">
        <v>3</v>
      </c>
      <c r="BT379" t="s">
        <v>246</v>
      </c>
      <c r="BU379" t="s">
        <v>267</v>
      </c>
      <c r="BV379" t="b">
        <v>0</v>
      </c>
      <c r="BW379" t="s">
        <v>268</v>
      </c>
    </row>
    <row r="380" spans="1:75">
      <c r="A380" t="s">
        <v>246</v>
      </c>
      <c r="B380" t="s">
        <v>252</v>
      </c>
      <c r="C380">
        <v>734</v>
      </c>
      <c r="D380" t="s">
        <v>253</v>
      </c>
      <c r="E380" t="s">
        <v>254</v>
      </c>
      <c r="F380">
        <v>5</v>
      </c>
      <c r="G380" s="13">
        <v>46265.362395833334</v>
      </c>
      <c r="H380" s="13">
        <v>46265.362824074073</v>
      </c>
      <c r="I380">
        <v>37</v>
      </c>
      <c r="J380" t="s">
        <v>255</v>
      </c>
      <c r="K380">
        <v>1</v>
      </c>
      <c r="L380">
        <v>0.01</v>
      </c>
      <c r="M380">
        <v>0.01</v>
      </c>
      <c r="N380">
        <v>1</v>
      </c>
      <c r="O380">
        <v>0.01</v>
      </c>
      <c r="P380">
        <v>0.9</v>
      </c>
      <c r="Q380">
        <v>1.18</v>
      </c>
      <c r="R380">
        <v>1.1599999999999999</v>
      </c>
      <c r="S380" t="s">
        <v>256</v>
      </c>
      <c r="T380" t="s">
        <v>257</v>
      </c>
      <c r="U380">
        <v>11</v>
      </c>
      <c r="V380">
        <v>6842.61</v>
      </c>
      <c r="W380">
        <v>4999.84</v>
      </c>
      <c r="X380">
        <v>4999.1000000000004</v>
      </c>
      <c r="Y380">
        <v>0</v>
      </c>
      <c r="Z380">
        <v>0</v>
      </c>
      <c r="AA380">
        <v>35</v>
      </c>
      <c r="AB380">
        <v>50</v>
      </c>
      <c r="AC380">
        <v>5000</v>
      </c>
      <c r="AD380">
        <v>0</v>
      </c>
      <c r="AE380">
        <v>0</v>
      </c>
      <c r="AF380">
        <v>6843.6</v>
      </c>
      <c r="AG380">
        <v>6843.6</v>
      </c>
      <c r="AH380" s="14">
        <v>46265</v>
      </c>
      <c r="AI380" t="s">
        <v>266</v>
      </c>
      <c r="AJ380" s="13">
        <v>46265.054768518516</v>
      </c>
      <c r="AK380">
        <v>6763.31</v>
      </c>
      <c r="AL380" t="s">
        <v>259</v>
      </c>
      <c r="AM380" t="s">
        <v>260</v>
      </c>
      <c r="AN380">
        <v>1400</v>
      </c>
      <c r="AO380">
        <v>0</v>
      </c>
      <c r="AP380">
        <v>35</v>
      </c>
      <c r="AQ380">
        <v>85</v>
      </c>
      <c r="AR380">
        <v>35</v>
      </c>
      <c r="AS380">
        <v>2</v>
      </c>
      <c r="AT380">
        <v>23</v>
      </c>
      <c r="AU380">
        <v>1</v>
      </c>
      <c r="AV380">
        <v>0</v>
      </c>
      <c r="AW380">
        <v>10</v>
      </c>
      <c r="AX380">
        <v>1</v>
      </c>
      <c r="AY380">
        <v>5</v>
      </c>
      <c r="AZ380">
        <v>2</v>
      </c>
      <c r="BA380">
        <v>1</v>
      </c>
      <c r="BB380">
        <v>1440</v>
      </c>
      <c r="BC380">
        <v>0</v>
      </c>
      <c r="BD380">
        <v>0</v>
      </c>
      <c r="BE380">
        <v>14</v>
      </c>
      <c r="BF380">
        <v>25</v>
      </c>
      <c r="BG380">
        <v>3</v>
      </c>
      <c r="BH380">
        <v>8</v>
      </c>
      <c r="BI380">
        <v>3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0</v>
      </c>
      <c r="BQ380">
        <v>60</v>
      </c>
      <c r="BR380">
        <v>0</v>
      </c>
      <c r="BS380">
        <v>3</v>
      </c>
      <c r="BT380" t="s">
        <v>246</v>
      </c>
      <c r="BU380" t="s">
        <v>267</v>
      </c>
      <c r="BV380" t="b">
        <v>0</v>
      </c>
      <c r="BW380" t="s">
        <v>268</v>
      </c>
    </row>
    <row r="381" spans="1:75">
      <c r="A381" t="s">
        <v>246</v>
      </c>
      <c r="B381" t="s">
        <v>252</v>
      </c>
      <c r="C381">
        <v>735</v>
      </c>
      <c r="D381" t="s">
        <v>253</v>
      </c>
      <c r="E381" t="s">
        <v>254</v>
      </c>
      <c r="F381">
        <v>5</v>
      </c>
      <c r="G381" s="13">
        <v>46265.366342592592</v>
      </c>
      <c r="H381" s="13">
        <v>46265.366446759261</v>
      </c>
      <c r="I381">
        <v>9</v>
      </c>
      <c r="J381" t="s">
        <v>255</v>
      </c>
      <c r="K381">
        <v>1</v>
      </c>
      <c r="L381">
        <v>0.01</v>
      </c>
      <c r="M381">
        <v>0.01</v>
      </c>
      <c r="N381">
        <v>1</v>
      </c>
      <c r="O381">
        <v>0.01</v>
      </c>
      <c r="P381">
        <v>0.32</v>
      </c>
      <c r="Q381">
        <v>1.28</v>
      </c>
      <c r="R381">
        <v>1.27</v>
      </c>
      <c r="S381" t="s">
        <v>256</v>
      </c>
      <c r="T381" t="s">
        <v>257</v>
      </c>
      <c r="U381">
        <v>10</v>
      </c>
      <c r="V381">
        <v>6843.39</v>
      </c>
      <c r="W381">
        <v>4999.79</v>
      </c>
      <c r="X381">
        <v>4999.68</v>
      </c>
      <c r="Y381">
        <v>0</v>
      </c>
      <c r="Z381">
        <v>0</v>
      </c>
      <c r="AA381">
        <v>35</v>
      </c>
      <c r="AB381">
        <v>50</v>
      </c>
      <c r="AC381">
        <v>5000</v>
      </c>
      <c r="AD381">
        <v>0</v>
      </c>
      <c r="AE381">
        <v>0</v>
      </c>
      <c r="AF381">
        <v>6844.53</v>
      </c>
      <c r="AG381">
        <v>6844.53</v>
      </c>
      <c r="AH381" s="14">
        <v>46265</v>
      </c>
      <c r="AI381" t="s">
        <v>266</v>
      </c>
      <c r="AJ381" s="13">
        <v>46265.054768518516</v>
      </c>
      <c r="AK381">
        <v>6763.31</v>
      </c>
      <c r="AL381" t="s">
        <v>259</v>
      </c>
      <c r="AM381" t="s">
        <v>260</v>
      </c>
      <c r="AN381">
        <v>1400</v>
      </c>
      <c r="AO381">
        <v>0</v>
      </c>
      <c r="AP381">
        <v>35</v>
      </c>
      <c r="AQ381">
        <v>85</v>
      </c>
      <c r="AR381">
        <v>35</v>
      </c>
      <c r="AS381">
        <v>2</v>
      </c>
      <c r="AT381">
        <v>23</v>
      </c>
      <c r="AU381">
        <v>1</v>
      </c>
      <c r="AV381">
        <v>0</v>
      </c>
      <c r="AW381">
        <v>10</v>
      </c>
      <c r="AX381">
        <v>1</v>
      </c>
      <c r="AY381">
        <v>5</v>
      </c>
      <c r="AZ381">
        <v>2</v>
      </c>
      <c r="BA381">
        <v>1</v>
      </c>
      <c r="BB381">
        <v>1440</v>
      </c>
      <c r="BC381">
        <v>0</v>
      </c>
      <c r="BD381">
        <v>0</v>
      </c>
      <c r="BE381">
        <v>14</v>
      </c>
      <c r="BF381">
        <v>25</v>
      </c>
      <c r="BG381">
        <v>3</v>
      </c>
      <c r="BH381">
        <v>8</v>
      </c>
      <c r="BI381">
        <v>3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0</v>
      </c>
      <c r="BQ381">
        <v>60</v>
      </c>
      <c r="BR381">
        <v>0</v>
      </c>
      <c r="BS381">
        <v>3</v>
      </c>
      <c r="BT381" t="s">
        <v>246</v>
      </c>
      <c r="BU381" t="s">
        <v>267</v>
      </c>
      <c r="BV381" t="b">
        <v>0</v>
      </c>
      <c r="BW381" t="s">
        <v>268</v>
      </c>
    </row>
    <row r="382" spans="1:75">
      <c r="A382" t="s">
        <v>246</v>
      </c>
      <c r="B382" t="s">
        <v>252</v>
      </c>
      <c r="C382">
        <v>736</v>
      </c>
      <c r="D382" t="s">
        <v>253</v>
      </c>
      <c r="E382" t="s">
        <v>254</v>
      </c>
      <c r="F382">
        <v>5</v>
      </c>
      <c r="G382" s="13">
        <v>46265.369942129626</v>
      </c>
      <c r="H382" s="13">
        <v>46265.370046296295</v>
      </c>
      <c r="I382">
        <v>9</v>
      </c>
      <c r="J382" t="s">
        <v>255</v>
      </c>
      <c r="K382">
        <v>1</v>
      </c>
      <c r="L382">
        <v>0.01</v>
      </c>
      <c r="M382">
        <v>0.01</v>
      </c>
      <c r="N382">
        <v>1</v>
      </c>
      <c r="O382">
        <v>0.01</v>
      </c>
      <c r="P382">
        <v>0.22</v>
      </c>
      <c r="Q382">
        <v>1.2</v>
      </c>
      <c r="R382">
        <v>1.1299999999999999</v>
      </c>
      <c r="S382" t="s">
        <v>256</v>
      </c>
      <c r="T382" t="s">
        <v>257</v>
      </c>
      <c r="U382">
        <v>10</v>
      </c>
      <c r="V382">
        <v>6844.37</v>
      </c>
      <c r="W382">
        <v>4999.84</v>
      </c>
      <c r="X382">
        <v>4999.78</v>
      </c>
      <c r="Y382">
        <v>0</v>
      </c>
      <c r="Z382">
        <v>0</v>
      </c>
      <c r="AA382">
        <v>35</v>
      </c>
      <c r="AB382">
        <v>50</v>
      </c>
      <c r="AC382">
        <v>5000</v>
      </c>
      <c r="AD382">
        <v>0</v>
      </c>
      <c r="AE382">
        <v>0</v>
      </c>
      <c r="AF382">
        <v>6845.38</v>
      </c>
      <c r="AG382">
        <v>6845.38</v>
      </c>
      <c r="AH382" s="14">
        <v>46265</v>
      </c>
      <c r="AI382" t="s">
        <v>266</v>
      </c>
      <c r="AJ382" s="13">
        <v>46265.054768518516</v>
      </c>
      <c r="AK382">
        <v>6763.31</v>
      </c>
      <c r="AL382" t="s">
        <v>259</v>
      </c>
      <c r="AM382" t="s">
        <v>260</v>
      </c>
      <c r="AN382">
        <v>1400</v>
      </c>
      <c r="AO382">
        <v>0</v>
      </c>
      <c r="AP382">
        <v>35</v>
      </c>
      <c r="AQ382">
        <v>85</v>
      </c>
      <c r="AR382">
        <v>35</v>
      </c>
      <c r="AS382">
        <v>2</v>
      </c>
      <c r="AT382">
        <v>23</v>
      </c>
      <c r="AU382">
        <v>1</v>
      </c>
      <c r="AV382">
        <v>0</v>
      </c>
      <c r="AW382">
        <v>10</v>
      </c>
      <c r="AX382">
        <v>1</v>
      </c>
      <c r="AY382">
        <v>5</v>
      </c>
      <c r="AZ382">
        <v>2</v>
      </c>
      <c r="BA382">
        <v>1</v>
      </c>
      <c r="BB382">
        <v>1440</v>
      </c>
      <c r="BC382">
        <v>0</v>
      </c>
      <c r="BD382">
        <v>0</v>
      </c>
      <c r="BE382">
        <v>14</v>
      </c>
      <c r="BF382">
        <v>25</v>
      </c>
      <c r="BG382">
        <v>3</v>
      </c>
      <c r="BH382">
        <v>8</v>
      </c>
      <c r="BI382">
        <v>3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0</v>
      </c>
      <c r="BQ382">
        <v>60</v>
      </c>
      <c r="BR382">
        <v>0</v>
      </c>
      <c r="BS382">
        <v>3</v>
      </c>
      <c r="BT382" t="s">
        <v>246</v>
      </c>
      <c r="BU382" t="s">
        <v>267</v>
      </c>
      <c r="BV382" t="b">
        <v>0</v>
      </c>
      <c r="BW382" t="s">
        <v>268</v>
      </c>
    </row>
    <row r="383" spans="1:75">
      <c r="A383" t="s">
        <v>246</v>
      </c>
      <c r="B383" t="s">
        <v>252</v>
      </c>
      <c r="C383">
        <v>737</v>
      </c>
      <c r="D383" t="s">
        <v>253</v>
      </c>
      <c r="E383" t="s">
        <v>254</v>
      </c>
      <c r="F383">
        <v>5</v>
      </c>
      <c r="G383" s="13">
        <v>46265.372673611113</v>
      </c>
      <c r="H383" s="13">
        <v>46265.372986111113</v>
      </c>
      <c r="I383">
        <v>27</v>
      </c>
      <c r="J383" t="s">
        <v>255</v>
      </c>
      <c r="K383">
        <v>1</v>
      </c>
      <c r="L383">
        <v>0.01</v>
      </c>
      <c r="M383">
        <v>0.01</v>
      </c>
      <c r="N383">
        <v>1</v>
      </c>
      <c r="O383">
        <v>0.01</v>
      </c>
      <c r="P383">
        <v>0.56000000000000005</v>
      </c>
      <c r="Q383">
        <v>0.92</v>
      </c>
      <c r="R383">
        <v>0.83</v>
      </c>
      <c r="S383" t="s">
        <v>256</v>
      </c>
      <c r="T383" t="s">
        <v>257</v>
      </c>
      <c r="U383">
        <v>10</v>
      </c>
      <c r="V383">
        <v>6845.21</v>
      </c>
      <c r="W383">
        <v>4999.83</v>
      </c>
      <c r="X383">
        <v>4999.4399999999996</v>
      </c>
      <c r="Y383">
        <v>0</v>
      </c>
      <c r="Z383">
        <v>0</v>
      </c>
      <c r="AA383">
        <v>35</v>
      </c>
      <c r="AB383">
        <v>50</v>
      </c>
      <c r="AC383">
        <v>5000</v>
      </c>
      <c r="AD383">
        <v>0</v>
      </c>
      <c r="AE383">
        <v>0</v>
      </c>
      <c r="AF383">
        <v>6845.95</v>
      </c>
      <c r="AG383">
        <v>6845.95</v>
      </c>
      <c r="AH383" s="14">
        <v>46265</v>
      </c>
      <c r="AI383" t="s">
        <v>266</v>
      </c>
      <c r="AJ383" s="13">
        <v>46265.054768518516</v>
      </c>
      <c r="AK383">
        <v>6763.31</v>
      </c>
      <c r="AL383" t="s">
        <v>259</v>
      </c>
      <c r="AM383" t="s">
        <v>260</v>
      </c>
      <c r="AN383">
        <v>1400</v>
      </c>
      <c r="AO383">
        <v>0</v>
      </c>
      <c r="AP383">
        <v>35</v>
      </c>
      <c r="AQ383">
        <v>85</v>
      </c>
      <c r="AR383">
        <v>35</v>
      </c>
      <c r="AS383">
        <v>2</v>
      </c>
      <c r="AT383">
        <v>23</v>
      </c>
      <c r="AU383">
        <v>1</v>
      </c>
      <c r="AV383">
        <v>0</v>
      </c>
      <c r="AW383">
        <v>10</v>
      </c>
      <c r="AX383">
        <v>1</v>
      </c>
      <c r="AY383">
        <v>5</v>
      </c>
      <c r="AZ383">
        <v>2</v>
      </c>
      <c r="BA383">
        <v>1</v>
      </c>
      <c r="BB383">
        <v>1440</v>
      </c>
      <c r="BC383">
        <v>0</v>
      </c>
      <c r="BD383">
        <v>0</v>
      </c>
      <c r="BE383">
        <v>14</v>
      </c>
      <c r="BF383">
        <v>25</v>
      </c>
      <c r="BG383">
        <v>3</v>
      </c>
      <c r="BH383">
        <v>8</v>
      </c>
      <c r="BI383">
        <v>3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0</v>
      </c>
      <c r="BQ383">
        <v>60</v>
      </c>
      <c r="BR383">
        <v>0</v>
      </c>
      <c r="BS383">
        <v>3</v>
      </c>
      <c r="BT383" t="s">
        <v>246</v>
      </c>
      <c r="BU383" t="s">
        <v>267</v>
      </c>
      <c r="BV383" t="b">
        <v>0</v>
      </c>
      <c r="BW383" t="s">
        <v>268</v>
      </c>
    </row>
    <row r="384" spans="1:75">
      <c r="A384" t="s">
        <v>246</v>
      </c>
      <c r="B384" t="s">
        <v>252</v>
      </c>
      <c r="C384">
        <v>738</v>
      </c>
      <c r="D384" t="s">
        <v>253</v>
      </c>
      <c r="E384" t="s">
        <v>254</v>
      </c>
      <c r="F384">
        <v>5</v>
      </c>
      <c r="G384" s="13">
        <v>46265.375173611108</v>
      </c>
      <c r="H384" s="13">
        <v>46265.375601851854</v>
      </c>
      <c r="I384">
        <v>37</v>
      </c>
      <c r="J384" t="s">
        <v>264</v>
      </c>
      <c r="K384">
        <v>1</v>
      </c>
      <c r="L384">
        <v>0.01</v>
      </c>
      <c r="M384">
        <v>0.01</v>
      </c>
      <c r="N384">
        <v>1</v>
      </c>
      <c r="O384">
        <v>0.01</v>
      </c>
      <c r="P384">
        <v>0.34</v>
      </c>
      <c r="Q384">
        <v>0.9</v>
      </c>
      <c r="R384">
        <v>0.9</v>
      </c>
      <c r="S384" t="s">
        <v>256</v>
      </c>
      <c r="T384" t="s">
        <v>257</v>
      </c>
      <c r="U384">
        <v>10</v>
      </c>
      <c r="V384">
        <v>6845.79</v>
      </c>
      <c r="W384">
        <v>4999.84</v>
      </c>
      <c r="X384">
        <v>4999.66</v>
      </c>
      <c r="Y384">
        <v>0</v>
      </c>
      <c r="Z384">
        <v>0</v>
      </c>
      <c r="AA384">
        <v>35</v>
      </c>
      <c r="AB384">
        <v>50</v>
      </c>
      <c r="AC384">
        <v>5000</v>
      </c>
      <c r="AD384">
        <v>0</v>
      </c>
      <c r="AE384">
        <v>0</v>
      </c>
      <c r="AF384">
        <v>6846.48</v>
      </c>
      <c r="AG384">
        <v>6846.48</v>
      </c>
      <c r="AH384" s="14">
        <v>46265</v>
      </c>
      <c r="AI384" t="s">
        <v>266</v>
      </c>
      <c r="AJ384" s="13">
        <v>46265.054768518516</v>
      </c>
      <c r="AK384">
        <v>6763.31</v>
      </c>
      <c r="AL384" t="s">
        <v>259</v>
      </c>
      <c r="AM384" t="s">
        <v>260</v>
      </c>
      <c r="AN384">
        <v>1400</v>
      </c>
      <c r="AO384">
        <v>0</v>
      </c>
      <c r="AP384">
        <v>35</v>
      </c>
      <c r="AQ384">
        <v>85</v>
      </c>
      <c r="AR384">
        <v>35</v>
      </c>
      <c r="AS384">
        <v>2</v>
      </c>
      <c r="AT384">
        <v>23</v>
      </c>
      <c r="AU384">
        <v>1</v>
      </c>
      <c r="AV384">
        <v>0</v>
      </c>
      <c r="AW384">
        <v>10</v>
      </c>
      <c r="AX384">
        <v>1</v>
      </c>
      <c r="AY384">
        <v>5</v>
      </c>
      <c r="AZ384">
        <v>2</v>
      </c>
      <c r="BA384">
        <v>1</v>
      </c>
      <c r="BB384">
        <v>1440</v>
      </c>
      <c r="BC384">
        <v>0</v>
      </c>
      <c r="BD384">
        <v>0</v>
      </c>
      <c r="BE384">
        <v>14</v>
      </c>
      <c r="BF384">
        <v>25</v>
      </c>
      <c r="BG384">
        <v>3</v>
      </c>
      <c r="BH384">
        <v>8</v>
      </c>
      <c r="BI384">
        <v>3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0</v>
      </c>
      <c r="BQ384">
        <v>60</v>
      </c>
      <c r="BR384">
        <v>0</v>
      </c>
      <c r="BS384">
        <v>3</v>
      </c>
      <c r="BT384" t="s">
        <v>246</v>
      </c>
      <c r="BU384" t="s">
        <v>267</v>
      </c>
      <c r="BV384" t="b">
        <v>0</v>
      </c>
      <c r="BW384" t="s">
        <v>268</v>
      </c>
    </row>
    <row r="385" spans="1:75">
      <c r="A385" t="s">
        <v>246</v>
      </c>
      <c r="B385" t="s">
        <v>252</v>
      </c>
      <c r="C385">
        <v>739</v>
      </c>
      <c r="D385" t="s">
        <v>253</v>
      </c>
      <c r="E385" t="s">
        <v>254</v>
      </c>
      <c r="F385">
        <v>5</v>
      </c>
      <c r="G385" s="13">
        <v>46265.380324074074</v>
      </c>
      <c r="H385" s="13">
        <v>46265.468344907407</v>
      </c>
      <c r="I385">
        <v>7605</v>
      </c>
      <c r="J385" t="s">
        <v>264</v>
      </c>
      <c r="K385">
        <v>14</v>
      </c>
      <c r="L385">
        <v>0.14000000000000001</v>
      </c>
      <c r="M385">
        <v>0.01</v>
      </c>
      <c r="N385">
        <v>14</v>
      </c>
      <c r="O385">
        <v>0.14000000000000001</v>
      </c>
      <c r="P385">
        <v>138.63999999999999</v>
      </c>
      <c r="Q385">
        <v>19.170000000000002</v>
      </c>
      <c r="R385">
        <v>15.81</v>
      </c>
      <c r="S385" t="s">
        <v>263</v>
      </c>
      <c r="T385" t="s">
        <v>257</v>
      </c>
      <c r="U385">
        <v>10</v>
      </c>
      <c r="V385">
        <v>6846.31</v>
      </c>
      <c r="W385">
        <v>4999.83</v>
      </c>
      <c r="X385">
        <v>4861.3599999999997</v>
      </c>
      <c r="Y385">
        <v>0</v>
      </c>
      <c r="Z385">
        <v>0</v>
      </c>
      <c r="AA385">
        <v>35</v>
      </c>
      <c r="AB385">
        <v>50</v>
      </c>
      <c r="AC385">
        <v>5000</v>
      </c>
      <c r="AD385">
        <v>0</v>
      </c>
      <c r="AE385">
        <v>0</v>
      </c>
      <c r="AF385">
        <v>6863.68</v>
      </c>
      <c r="AG385">
        <v>6863.68</v>
      </c>
      <c r="AH385" s="14">
        <v>46265</v>
      </c>
      <c r="AI385" t="s">
        <v>266</v>
      </c>
      <c r="AJ385" s="13">
        <v>46265.054768518516</v>
      </c>
      <c r="AK385">
        <v>6763.31</v>
      </c>
      <c r="AL385" t="s">
        <v>259</v>
      </c>
      <c r="AM385" t="s">
        <v>260</v>
      </c>
      <c r="AN385">
        <v>1400</v>
      </c>
      <c r="AO385">
        <v>0</v>
      </c>
      <c r="AP385">
        <v>35</v>
      </c>
      <c r="AQ385">
        <v>85</v>
      </c>
      <c r="AR385">
        <v>35</v>
      </c>
      <c r="AS385">
        <v>2</v>
      </c>
      <c r="AT385">
        <v>23</v>
      </c>
      <c r="AU385">
        <v>1</v>
      </c>
      <c r="AV385">
        <v>0</v>
      </c>
      <c r="AW385">
        <v>10</v>
      </c>
      <c r="AX385">
        <v>1</v>
      </c>
      <c r="AY385">
        <v>5</v>
      </c>
      <c r="AZ385">
        <v>2</v>
      </c>
      <c r="BA385">
        <v>1</v>
      </c>
      <c r="BB385">
        <v>1440</v>
      </c>
      <c r="BC385">
        <v>0</v>
      </c>
      <c r="BD385">
        <v>0</v>
      </c>
      <c r="BE385">
        <v>14</v>
      </c>
      <c r="BF385">
        <v>25</v>
      </c>
      <c r="BG385">
        <v>3</v>
      </c>
      <c r="BH385">
        <v>8</v>
      </c>
      <c r="BI385">
        <v>3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0</v>
      </c>
      <c r="BQ385">
        <v>60</v>
      </c>
      <c r="BR385">
        <v>0</v>
      </c>
      <c r="BS385">
        <v>3</v>
      </c>
      <c r="BT385" t="s">
        <v>246</v>
      </c>
      <c r="BU385" t="s">
        <v>267</v>
      </c>
      <c r="BV385" t="b">
        <v>0</v>
      </c>
      <c r="BW385" t="s">
        <v>268</v>
      </c>
    </row>
    <row r="386" spans="1:75">
      <c r="A386" t="s">
        <v>246</v>
      </c>
      <c r="B386" t="s">
        <v>252</v>
      </c>
      <c r="C386">
        <v>740</v>
      </c>
      <c r="D386" t="s">
        <v>253</v>
      </c>
      <c r="E386" t="s">
        <v>254</v>
      </c>
      <c r="F386">
        <v>5</v>
      </c>
      <c r="G386" s="13">
        <v>46265.470185185186</v>
      </c>
      <c r="H386" s="13">
        <v>46265.476840277777</v>
      </c>
      <c r="I386">
        <v>575</v>
      </c>
      <c r="J386" t="s">
        <v>255</v>
      </c>
      <c r="K386">
        <v>1</v>
      </c>
      <c r="L386">
        <v>0.01</v>
      </c>
      <c r="M386">
        <v>0.01</v>
      </c>
      <c r="N386">
        <v>1</v>
      </c>
      <c r="O386">
        <v>0.01</v>
      </c>
      <c r="P386">
        <v>2.38</v>
      </c>
      <c r="Q386">
        <v>0.83</v>
      </c>
      <c r="R386">
        <v>0.83</v>
      </c>
      <c r="S386" t="s">
        <v>256</v>
      </c>
      <c r="T386" t="s">
        <v>257</v>
      </c>
      <c r="U386">
        <v>11</v>
      </c>
      <c r="V386">
        <v>6863.52</v>
      </c>
      <c r="W386">
        <v>4999.84</v>
      </c>
      <c r="X386">
        <v>4997.62</v>
      </c>
      <c r="Y386">
        <v>0</v>
      </c>
      <c r="Z386">
        <v>0</v>
      </c>
      <c r="AA386">
        <v>35</v>
      </c>
      <c r="AB386">
        <v>50</v>
      </c>
      <c r="AC386">
        <v>5000</v>
      </c>
      <c r="AD386">
        <v>0</v>
      </c>
      <c r="AE386">
        <v>0</v>
      </c>
      <c r="AF386">
        <v>6864.14</v>
      </c>
      <c r="AG386">
        <v>6864.14</v>
      </c>
      <c r="AH386" s="14">
        <v>46265</v>
      </c>
      <c r="AI386" t="s">
        <v>266</v>
      </c>
      <c r="AJ386" s="13">
        <v>46265.054768518516</v>
      </c>
      <c r="AK386">
        <v>6763.31</v>
      </c>
      <c r="AL386" t="s">
        <v>259</v>
      </c>
      <c r="AM386" t="s">
        <v>260</v>
      </c>
      <c r="AN386">
        <v>1400</v>
      </c>
      <c r="AO386">
        <v>0</v>
      </c>
      <c r="AP386">
        <v>35</v>
      </c>
      <c r="AQ386">
        <v>85</v>
      </c>
      <c r="AR386">
        <v>35</v>
      </c>
      <c r="AS386">
        <v>2</v>
      </c>
      <c r="AT386">
        <v>23</v>
      </c>
      <c r="AU386">
        <v>1</v>
      </c>
      <c r="AV386">
        <v>0</v>
      </c>
      <c r="AW386">
        <v>10</v>
      </c>
      <c r="AX386">
        <v>1</v>
      </c>
      <c r="AY386">
        <v>5</v>
      </c>
      <c r="AZ386">
        <v>2</v>
      </c>
      <c r="BA386">
        <v>1</v>
      </c>
      <c r="BB386">
        <v>1440</v>
      </c>
      <c r="BC386">
        <v>0</v>
      </c>
      <c r="BD386">
        <v>0</v>
      </c>
      <c r="BE386">
        <v>14</v>
      </c>
      <c r="BF386">
        <v>25</v>
      </c>
      <c r="BG386">
        <v>3</v>
      </c>
      <c r="BH386">
        <v>8</v>
      </c>
      <c r="BI386">
        <v>3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0</v>
      </c>
      <c r="BQ386">
        <v>60</v>
      </c>
      <c r="BR386">
        <v>0</v>
      </c>
      <c r="BS386">
        <v>3</v>
      </c>
      <c r="BT386" t="s">
        <v>246</v>
      </c>
      <c r="BU386" t="s">
        <v>267</v>
      </c>
      <c r="BV386" t="b">
        <v>0</v>
      </c>
      <c r="BW386" t="s">
        <v>268</v>
      </c>
    </row>
    <row r="387" spans="1:75">
      <c r="A387" t="s">
        <v>246</v>
      </c>
      <c r="B387" t="s">
        <v>252</v>
      </c>
      <c r="C387">
        <v>741</v>
      </c>
      <c r="D387" t="s">
        <v>253</v>
      </c>
      <c r="E387" t="s">
        <v>254</v>
      </c>
      <c r="F387">
        <v>5</v>
      </c>
      <c r="G387" s="13">
        <v>46265.478425925925</v>
      </c>
      <c r="H387" s="13">
        <v>46265.512256944443</v>
      </c>
      <c r="I387">
        <v>2923</v>
      </c>
      <c r="J387" t="s">
        <v>255</v>
      </c>
      <c r="K387">
        <v>2</v>
      </c>
      <c r="L387">
        <v>0.02</v>
      </c>
      <c r="M387">
        <v>0.01</v>
      </c>
      <c r="N387">
        <v>2</v>
      </c>
      <c r="O387">
        <v>0.02</v>
      </c>
      <c r="P387">
        <v>7.32</v>
      </c>
      <c r="Q387">
        <v>7.65</v>
      </c>
      <c r="R387">
        <v>5.57</v>
      </c>
      <c r="S387" t="s">
        <v>263</v>
      </c>
      <c r="T387" t="s">
        <v>257</v>
      </c>
      <c r="U387">
        <v>11</v>
      </c>
      <c r="V387">
        <v>6863.98</v>
      </c>
      <c r="W387">
        <v>4999.84</v>
      </c>
      <c r="X387">
        <v>4992.68</v>
      </c>
      <c r="Y387">
        <v>0</v>
      </c>
      <c r="Z387">
        <v>0</v>
      </c>
      <c r="AA387">
        <v>35</v>
      </c>
      <c r="AB387">
        <v>50</v>
      </c>
      <c r="AC387">
        <v>5000</v>
      </c>
      <c r="AD387">
        <v>0</v>
      </c>
      <c r="AE387">
        <v>0</v>
      </c>
      <c r="AF387">
        <v>6869.63</v>
      </c>
      <c r="AG387">
        <v>6869.63</v>
      </c>
      <c r="AH387" s="14">
        <v>46265</v>
      </c>
      <c r="AI387" t="s">
        <v>266</v>
      </c>
      <c r="AJ387" s="13">
        <v>46265.054768518516</v>
      </c>
      <c r="AK387">
        <v>6763.31</v>
      </c>
      <c r="AL387" t="s">
        <v>259</v>
      </c>
      <c r="AM387" t="s">
        <v>260</v>
      </c>
      <c r="AN387">
        <v>1400</v>
      </c>
      <c r="AO387">
        <v>0</v>
      </c>
      <c r="AP387">
        <v>35</v>
      </c>
      <c r="AQ387">
        <v>85</v>
      </c>
      <c r="AR387">
        <v>35</v>
      </c>
      <c r="AS387">
        <v>2</v>
      </c>
      <c r="AT387">
        <v>23</v>
      </c>
      <c r="AU387">
        <v>1</v>
      </c>
      <c r="AV387">
        <v>0</v>
      </c>
      <c r="AW387">
        <v>10</v>
      </c>
      <c r="AX387">
        <v>1</v>
      </c>
      <c r="AY387">
        <v>5</v>
      </c>
      <c r="AZ387">
        <v>2</v>
      </c>
      <c r="BA387">
        <v>1</v>
      </c>
      <c r="BB387">
        <v>1440</v>
      </c>
      <c r="BC387">
        <v>0</v>
      </c>
      <c r="BD387">
        <v>0</v>
      </c>
      <c r="BE387">
        <v>14</v>
      </c>
      <c r="BF387">
        <v>25</v>
      </c>
      <c r="BG387">
        <v>3</v>
      </c>
      <c r="BH387">
        <v>8</v>
      </c>
      <c r="BI387">
        <v>3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0</v>
      </c>
      <c r="BQ387">
        <v>60</v>
      </c>
      <c r="BR387">
        <v>0</v>
      </c>
      <c r="BS387">
        <v>3</v>
      </c>
      <c r="BT387" t="s">
        <v>246</v>
      </c>
      <c r="BU387" t="s">
        <v>267</v>
      </c>
      <c r="BV387" t="b">
        <v>0</v>
      </c>
      <c r="BW387" t="s">
        <v>268</v>
      </c>
    </row>
    <row r="388" spans="1:75">
      <c r="A388" t="s">
        <v>246</v>
      </c>
      <c r="B388" t="s">
        <v>252</v>
      </c>
      <c r="C388">
        <v>742</v>
      </c>
      <c r="D388" t="s">
        <v>253</v>
      </c>
      <c r="E388" t="s">
        <v>254</v>
      </c>
      <c r="F388">
        <v>5</v>
      </c>
      <c r="G388" s="13">
        <v>46265.522870370369</v>
      </c>
      <c r="H388" s="13">
        <v>46265.523819444446</v>
      </c>
      <c r="I388">
        <v>82</v>
      </c>
      <c r="J388" t="s">
        <v>255</v>
      </c>
      <c r="K388">
        <v>1</v>
      </c>
      <c r="L388">
        <v>0.01</v>
      </c>
      <c r="M388">
        <v>0.01</v>
      </c>
      <c r="N388">
        <v>1</v>
      </c>
      <c r="O388">
        <v>0.01</v>
      </c>
      <c r="P388">
        <v>1.63</v>
      </c>
      <c r="Q388">
        <v>1.04</v>
      </c>
      <c r="R388">
        <v>1</v>
      </c>
      <c r="S388" t="s">
        <v>256</v>
      </c>
      <c r="T388" t="s">
        <v>257</v>
      </c>
      <c r="U388">
        <v>10</v>
      </c>
      <c r="V388">
        <v>6869.47</v>
      </c>
      <c r="W388">
        <v>4999.84</v>
      </c>
      <c r="X388">
        <v>4998.37</v>
      </c>
      <c r="Y388">
        <v>0</v>
      </c>
      <c r="Z388">
        <v>0</v>
      </c>
      <c r="AA388">
        <v>35</v>
      </c>
      <c r="AB388">
        <v>50</v>
      </c>
      <c r="AC388">
        <v>5000</v>
      </c>
      <c r="AD388">
        <v>0</v>
      </c>
      <c r="AE388">
        <v>0</v>
      </c>
      <c r="AF388">
        <v>6870.32</v>
      </c>
      <c r="AG388">
        <v>6870.32</v>
      </c>
      <c r="AH388" s="14">
        <v>46265</v>
      </c>
      <c r="AI388" t="s">
        <v>266</v>
      </c>
      <c r="AJ388" s="13">
        <v>46265.054768518516</v>
      </c>
      <c r="AK388">
        <v>6763.31</v>
      </c>
      <c r="AL388" t="s">
        <v>259</v>
      </c>
      <c r="AM388" t="s">
        <v>260</v>
      </c>
      <c r="AN388">
        <v>1400</v>
      </c>
      <c r="AO388">
        <v>0</v>
      </c>
      <c r="AP388">
        <v>35</v>
      </c>
      <c r="AQ388">
        <v>85</v>
      </c>
      <c r="AR388">
        <v>35</v>
      </c>
      <c r="AS388">
        <v>2</v>
      </c>
      <c r="AT388">
        <v>23</v>
      </c>
      <c r="AU388">
        <v>1</v>
      </c>
      <c r="AV388">
        <v>0</v>
      </c>
      <c r="AW388">
        <v>10</v>
      </c>
      <c r="AX388">
        <v>1</v>
      </c>
      <c r="AY388">
        <v>5</v>
      </c>
      <c r="AZ388">
        <v>2</v>
      </c>
      <c r="BA388">
        <v>1</v>
      </c>
      <c r="BB388">
        <v>1440</v>
      </c>
      <c r="BC388">
        <v>0</v>
      </c>
      <c r="BD388">
        <v>0</v>
      </c>
      <c r="BE388">
        <v>14</v>
      </c>
      <c r="BF388">
        <v>25</v>
      </c>
      <c r="BG388">
        <v>3</v>
      </c>
      <c r="BH388">
        <v>8</v>
      </c>
      <c r="BI388">
        <v>3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60</v>
      </c>
      <c r="BR388">
        <v>0</v>
      </c>
      <c r="BS388">
        <v>3</v>
      </c>
      <c r="BT388" t="s">
        <v>246</v>
      </c>
      <c r="BU388" t="s">
        <v>267</v>
      </c>
      <c r="BV388" t="b">
        <v>0</v>
      </c>
      <c r="BW388" t="s">
        <v>268</v>
      </c>
    </row>
    <row r="389" spans="1:75">
      <c r="A389" t="s">
        <v>246</v>
      </c>
      <c r="B389" t="s">
        <v>252</v>
      </c>
      <c r="C389">
        <v>743</v>
      </c>
      <c r="D389" t="s">
        <v>253</v>
      </c>
      <c r="E389" t="s">
        <v>254</v>
      </c>
      <c r="F389">
        <v>5</v>
      </c>
      <c r="G389" s="13">
        <v>46265.546122685184</v>
      </c>
      <c r="H389" s="13">
        <v>46265.546990740739</v>
      </c>
      <c r="I389">
        <v>75</v>
      </c>
      <c r="J389" t="s">
        <v>255</v>
      </c>
      <c r="K389">
        <v>1</v>
      </c>
      <c r="L389">
        <v>0.01</v>
      </c>
      <c r="M389">
        <v>0.01</v>
      </c>
      <c r="N389">
        <v>1</v>
      </c>
      <c r="O389">
        <v>0.01</v>
      </c>
      <c r="P389">
        <v>1.51</v>
      </c>
      <c r="Q389">
        <v>2.06</v>
      </c>
      <c r="R389">
        <v>1.78</v>
      </c>
      <c r="S389" t="s">
        <v>256</v>
      </c>
      <c r="T389" t="s">
        <v>257</v>
      </c>
      <c r="U389">
        <v>11</v>
      </c>
      <c r="V389">
        <v>6870.16</v>
      </c>
      <c r="W389">
        <v>4999.84</v>
      </c>
      <c r="X389">
        <v>4998.49</v>
      </c>
      <c r="Y389">
        <v>0</v>
      </c>
      <c r="Z389">
        <v>0</v>
      </c>
      <c r="AA389">
        <v>35</v>
      </c>
      <c r="AB389">
        <v>50</v>
      </c>
      <c r="AC389">
        <v>5000</v>
      </c>
      <c r="AD389">
        <v>0</v>
      </c>
      <c r="AE389">
        <v>0</v>
      </c>
      <c r="AF389">
        <v>6872.03</v>
      </c>
      <c r="AG389">
        <v>6872.03</v>
      </c>
      <c r="AH389" s="14">
        <v>46265</v>
      </c>
      <c r="AI389" t="s">
        <v>266</v>
      </c>
      <c r="AJ389" s="13">
        <v>46265.054768518516</v>
      </c>
      <c r="AK389">
        <v>6763.31</v>
      </c>
      <c r="AL389" t="s">
        <v>259</v>
      </c>
      <c r="AM389" t="s">
        <v>260</v>
      </c>
      <c r="AN389">
        <v>1400</v>
      </c>
      <c r="AO389">
        <v>0</v>
      </c>
      <c r="AP389">
        <v>35</v>
      </c>
      <c r="AQ389">
        <v>85</v>
      </c>
      <c r="AR389">
        <v>35</v>
      </c>
      <c r="AS389">
        <v>2</v>
      </c>
      <c r="AT389">
        <v>23</v>
      </c>
      <c r="AU389">
        <v>1</v>
      </c>
      <c r="AV389">
        <v>0</v>
      </c>
      <c r="AW389">
        <v>10</v>
      </c>
      <c r="AX389">
        <v>1</v>
      </c>
      <c r="AY389">
        <v>5</v>
      </c>
      <c r="AZ389">
        <v>2</v>
      </c>
      <c r="BA389">
        <v>1</v>
      </c>
      <c r="BB389">
        <v>1440</v>
      </c>
      <c r="BC389">
        <v>0</v>
      </c>
      <c r="BD389">
        <v>0</v>
      </c>
      <c r="BE389">
        <v>14</v>
      </c>
      <c r="BF389">
        <v>25</v>
      </c>
      <c r="BG389">
        <v>3</v>
      </c>
      <c r="BH389">
        <v>8</v>
      </c>
      <c r="BI389">
        <v>3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0</v>
      </c>
      <c r="BQ389">
        <v>60</v>
      </c>
      <c r="BR389">
        <v>0</v>
      </c>
      <c r="BS389">
        <v>3</v>
      </c>
      <c r="BT389" t="s">
        <v>246</v>
      </c>
      <c r="BU389" t="s">
        <v>267</v>
      </c>
      <c r="BV389" t="b">
        <v>0</v>
      </c>
      <c r="BW389" t="s">
        <v>268</v>
      </c>
    </row>
    <row r="390" spans="1:75">
      <c r="A390" t="s">
        <v>246</v>
      </c>
      <c r="B390" t="s">
        <v>252</v>
      </c>
      <c r="C390">
        <v>744</v>
      </c>
      <c r="D390" t="s">
        <v>253</v>
      </c>
      <c r="E390" t="s">
        <v>254</v>
      </c>
      <c r="F390">
        <v>5</v>
      </c>
      <c r="G390" s="13">
        <v>46265.551087962966</v>
      </c>
      <c r="H390" s="13">
        <v>46265.551608796297</v>
      </c>
      <c r="I390">
        <v>45</v>
      </c>
      <c r="J390" t="s">
        <v>255</v>
      </c>
      <c r="K390">
        <v>1</v>
      </c>
      <c r="L390">
        <v>0.01</v>
      </c>
      <c r="M390">
        <v>0.01</v>
      </c>
      <c r="N390">
        <v>1</v>
      </c>
      <c r="O390">
        <v>0.01</v>
      </c>
      <c r="P390">
        <v>0.27</v>
      </c>
      <c r="Q390">
        <v>1.75</v>
      </c>
      <c r="R390">
        <v>1.73</v>
      </c>
      <c r="S390" t="s">
        <v>256</v>
      </c>
      <c r="T390" t="s">
        <v>257</v>
      </c>
      <c r="U390">
        <v>10</v>
      </c>
      <c r="V390">
        <v>6871.86</v>
      </c>
      <c r="W390">
        <v>4999.83</v>
      </c>
      <c r="X390">
        <v>4999.7299999999996</v>
      </c>
      <c r="Y390">
        <v>0</v>
      </c>
      <c r="Z390">
        <v>0</v>
      </c>
      <c r="AA390">
        <v>35</v>
      </c>
      <c r="AB390">
        <v>50</v>
      </c>
      <c r="AC390">
        <v>5000</v>
      </c>
      <c r="AD390">
        <v>0</v>
      </c>
      <c r="AE390">
        <v>0</v>
      </c>
      <c r="AF390">
        <v>6873.43</v>
      </c>
      <c r="AG390">
        <v>6873.43</v>
      </c>
      <c r="AH390" s="14">
        <v>46265</v>
      </c>
      <c r="AI390" t="s">
        <v>266</v>
      </c>
      <c r="AJ390" s="13">
        <v>46265.054768518516</v>
      </c>
      <c r="AK390">
        <v>6763.31</v>
      </c>
      <c r="AL390" t="s">
        <v>259</v>
      </c>
      <c r="AM390" t="s">
        <v>260</v>
      </c>
      <c r="AN390">
        <v>1400</v>
      </c>
      <c r="AO390">
        <v>0</v>
      </c>
      <c r="AP390">
        <v>35</v>
      </c>
      <c r="AQ390">
        <v>85</v>
      </c>
      <c r="AR390">
        <v>35</v>
      </c>
      <c r="AS390">
        <v>2</v>
      </c>
      <c r="AT390">
        <v>23</v>
      </c>
      <c r="AU390">
        <v>1</v>
      </c>
      <c r="AV390">
        <v>0</v>
      </c>
      <c r="AW390">
        <v>10</v>
      </c>
      <c r="AX390">
        <v>1</v>
      </c>
      <c r="AY390">
        <v>5</v>
      </c>
      <c r="AZ390">
        <v>2</v>
      </c>
      <c r="BA390">
        <v>1</v>
      </c>
      <c r="BB390">
        <v>1440</v>
      </c>
      <c r="BC390">
        <v>0</v>
      </c>
      <c r="BD390">
        <v>0</v>
      </c>
      <c r="BE390">
        <v>14</v>
      </c>
      <c r="BF390">
        <v>25</v>
      </c>
      <c r="BG390">
        <v>3</v>
      </c>
      <c r="BH390">
        <v>8</v>
      </c>
      <c r="BI390">
        <v>3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0</v>
      </c>
      <c r="BQ390">
        <v>60</v>
      </c>
      <c r="BR390">
        <v>0</v>
      </c>
      <c r="BS390">
        <v>3</v>
      </c>
      <c r="BT390" t="s">
        <v>246</v>
      </c>
      <c r="BU390" t="s">
        <v>267</v>
      </c>
      <c r="BV390" t="b">
        <v>0</v>
      </c>
      <c r="BW390" t="s">
        <v>268</v>
      </c>
    </row>
    <row r="391" spans="1:75">
      <c r="A391" t="s">
        <v>246</v>
      </c>
      <c r="B391" t="s">
        <v>252</v>
      </c>
      <c r="C391">
        <v>745</v>
      </c>
      <c r="D391" t="s">
        <v>253</v>
      </c>
      <c r="E391" t="s">
        <v>254</v>
      </c>
      <c r="F391">
        <v>5</v>
      </c>
      <c r="G391" s="13">
        <v>46265.553229166668</v>
      </c>
      <c r="H391" s="13">
        <v>46265.553680555553</v>
      </c>
      <c r="I391">
        <v>39</v>
      </c>
      <c r="J391" t="s">
        <v>264</v>
      </c>
      <c r="K391">
        <v>1</v>
      </c>
      <c r="L391">
        <v>0.01</v>
      </c>
      <c r="M391">
        <v>0.01</v>
      </c>
      <c r="N391">
        <v>1</v>
      </c>
      <c r="O391">
        <v>0.01</v>
      </c>
      <c r="P391">
        <v>0.3</v>
      </c>
      <c r="Q391">
        <v>1.74</v>
      </c>
      <c r="R391">
        <v>1.47</v>
      </c>
      <c r="S391" t="s">
        <v>256</v>
      </c>
      <c r="T391" t="s">
        <v>257</v>
      </c>
      <c r="U391">
        <v>10</v>
      </c>
      <c r="V391">
        <v>6873.26</v>
      </c>
      <c r="W391">
        <v>4999.83</v>
      </c>
      <c r="X391">
        <v>4999.7</v>
      </c>
      <c r="Y391">
        <v>0</v>
      </c>
      <c r="Z391">
        <v>0</v>
      </c>
      <c r="AA391">
        <v>35</v>
      </c>
      <c r="AB391">
        <v>50</v>
      </c>
      <c r="AC391">
        <v>5000</v>
      </c>
      <c r="AD391">
        <v>0</v>
      </c>
      <c r="AE391">
        <v>0</v>
      </c>
      <c r="AF391">
        <v>6874.82</v>
      </c>
      <c r="AG391">
        <v>6874.82</v>
      </c>
      <c r="AH391" s="14">
        <v>46265</v>
      </c>
      <c r="AI391" t="s">
        <v>266</v>
      </c>
      <c r="AJ391" s="13">
        <v>46265.054768518516</v>
      </c>
      <c r="AK391">
        <v>6763.31</v>
      </c>
      <c r="AL391" t="s">
        <v>259</v>
      </c>
      <c r="AM391" t="s">
        <v>260</v>
      </c>
      <c r="AN391">
        <v>1400</v>
      </c>
      <c r="AO391">
        <v>0</v>
      </c>
      <c r="AP391">
        <v>35</v>
      </c>
      <c r="AQ391">
        <v>85</v>
      </c>
      <c r="AR391">
        <v>35</v>
      </c>
      <c r="AS391">
        <v>2</v>
      </c>
      <c r="AT391">
        <v>23</v>
      </c>
      <c r="AU391">
        <v>1</v>
      </c>
      <c r="AV391">
        <v>0</v>
      </c>
      <c r="AW391">
        <v>10</v>
      </c>
      <c r="AX391">
        <v>1</v>
      </c>
      <c r="AY391">
        <v>5</v>
      </c>
      <c r="AZ391">
        <v>2</v>
      </c>
      <c r="BA391">
        <v>1</v>
      </c>
      <c r="BB391">
        <v>1440</v>
      </c>
      <c r="BC391">
        <v>0</v>
      </c>
      <c r="BD391">
        <v>0</v>
      </c>
      <c r="BE391">
        <v>14</v>
      </c>
      <c r="BF391">
        <v>25</v>
      </c>
      <c r="BG391">
        <v>3</v>
      </c>
      <c r="BH391">
        <v>8</v>
      </c>
      <c r="BI391">
        <v>3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0</v>
      </c>
      <c r="BQ391">
        <v>60</v>
      </c>
      <c r="BR391">
        <v>0</v>
      </c>
      <c r="BS391">
        <v>3</v>
      </c>
      <c r="BT391" t="s">
        <v>246</v>
      </c>
      <c r="BU391" t="s">
        <v>267</v>
      </c>
      <c r="BV391" t="b">
        <v>0</v>
      </c>
      <c r="BW391" t="s">
        <v>268</v>
      </c>
    </row>
    <row r="392" spans="1:75">
      <c r="A392" t="s">
        <v>246</v>
      </c>
      <c r="B392" t="s">
        <v>252</v>
      </c>
      <c r="C392">
        <v>746</v>
      </c>
      <c r="D392" t="s">
        <v>253</v>
      </c>
      <c r="E392" t="s">
        <v>254</v>
      </c>
      <c r="F392">
        <v>5</v>
      </c>
      <c r="G392" s="13">
        <v>46265.567835648151</v>
      </c>
      <c r="H392" s="13">
        <v>46265.576932870368</v>
      </c>
      <c r="I392">
        <v>786</v>
      </c>
      <c r="J392" t="s">
        <v>255</v>
      </c>
      <c r="K392">
        <v>1</v>
      </c>
      <c r="L392">
        <v>0.01</v>
      </c>
      <c r="M392">
        <v>0.01</v>
      </c>
      <c r="N392">
        <v>1</v>
      </c>
      <c r="O392">
        <v>0.01</v>
      </c>
      <c r="P392">
        <v>2.27</v>
      </c>
      <c r="Q392">
        <v>0.97</v>
      </c>
      <c r="R392">
        <v>0.62</v>
      </c>
      <c r="S392" t="s">
        <v>256</v>
      </c>
      <c r="T392" t="s">
        <v>257</v>
      </c>
      <c r="U392">
        <v>10</v>
      </c>
      <c r="V392">
        <v>6874.65</v>
      </c>
      <c r="W392">
        <v>4999.83</v>
      </c>
      <c r="X392">
        <v>4997.7299999999996</v>
      </c>
      <c r="Y392">
        <v>0</v>
      </c>
      <c r="Z392">
        <v>0</v>
      </c>
      <c r="AA392">
        <v>35</v>
      </c>
      <c r="AB392">
        <v>50</v>
      </c>
      <c r="AC392">
        <v>5000</v>
      </c>
      <c r="AD392">
        <v>0</v>
      </c>
      <c r="AE392">
        <v>0</v>
      </c>
      <c r="AF392">
        <v>6875.44</v>
      </c>
      <c r="AG392">
        <v>6875.44</v>
      </c>
      <c r="AH392" s="14">
        <v>46265</v>
      </c>
      <c r="AI392" t="s">
        <v>266</v>
      </c>
      <c r="AJ392" s="13">
        <v>46265.054768518516</v>
      </c>
      <c r="AK392">
        <v>6763.31</v>
      </c>
      <c r="AL392" t="s">
        <v>259</v>
      </c>
      <c r="AM392" t="s">
        <v>260</v>
      </c>
      <c r="AN392">
        <v>1400</v>
      </c>
      <c r="AO392">
        <v>0</v>
      </c>
      <c r="AP392">
        <v>35</v>
      </c>
      <c r="AQ392">
        <v>85</v>
      </c>
      <c r="AR392">
        <v>35</v>
      </c>
      <c r="AS392">
        <v>2</v>
      </c>
      <c r="AT392">
        <v>23</v>
      </c>
      <c r="AU392">
        <v>1</v>
      </c>
      <c r="AV392">
        <v>0</v>
      </c>
      <c r="AW392">
        <v>10</v>
      </c>
      <c r="AX392">
        <v>1</v>
      </c>
      <c r="AY392">
        <v>5</v>
      </c>
      <c r="AZ392">
        <v>2</v>
      </c>
      <c r="BA392">
        <v>1</v>
      </c>
      <c r="BB392">
        <v>1440</v>
      </c>
      <c r="BC392">
        <v>0</v>
      </c>
      <c r="BD392">
        <v>0</v>
      </c>
      <c r="BE392">
        <v>14</v>
      </c>
      <c r="BF392">
        <v>25</v>
      </c>
      <c r="BG392">
        <v>3</v>
      </c>
      <c r="BH392">
        <v>8</v>
      </c>
      <c r="BI392">
        <v>3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0</v>
      </c>
      <c r="BQ392">
        <v>60</v>
      </c>
      <c r="BR392">
        <v>0</v>
      </c>
      <c r="BS392">
        <v>3</v>
      </c>
      <c r="BT392" t="s">
        <v>246</v>
      </c>
      <c r="BU392" t="s">
        <v>267</v>
      </c>
      <c r="BV392" t="b">
        <v>0</v>
      </c>
      <c r="BW392" t="s">
        <v>268</v>
      </c>
    </row>
    <row r="393" spans="1:75">
      <c r="A393" t="s">
        <v>246</v>
      </c>
      <c r="B393" t="s">
        <v>252</v>
      </c>
      <c r="C393">
        <v>747</v>
      </c>
      <c r="D393" t="s">
        <v>253</v>
      </c>
      <c r="E393" t="s">
        <v>254</v>
      </c>
      <c r="F393">
        <v>5</v>
      </c>
      <c r="G393" s="13">
        <v>46265.577789351853</v>
      </c>
      <c r="H393" s="13">
        <v>46265.578206018516</v>
      </c>
      <c r="I393">
        <v>36</v>
      </c>
      <c r="J393" t="s">
        <v>255</v>
      </c>
      <c r="K393">
        <v>1</v>
      </c>
      <c r="L393">
        <v>0.01</v>
      </c>
      <c r="M393">
        <v>0.01</v>
      </c>
      <c r="N393">
        <v>1</v>
      </c>
      <c r="O393">
        <v>0.01</v>
      </c>
      <c r="P393">
        <v>0.17</v>
      </c>
      <c r="Q393">
        <v>1.03</v>
      </c>
      <c r="R393">
        <v>0.72</v>
      </c>
      <c r="S393" t="s">
        <v>256</v>
      </c>
      <c r="T393" t="s">
        <v>257</v>
      </c>
      <c r="U393">
        <v>11</v>
      </c>
      <c r="V393">
        <v>6875.28</v>
      </c>
      <c r="W393">
        <v>4999.84</v>
      </c>
      <c r="X393">
        <v>4999.83</v>
      </c>
      <c r="Y393">
        <v>0</v>
      </c>
      <c r="Z393">
        <v>0</v>
      </c>
      <c r="AA393">
        <v>35</v>
      </c>
      <c r="AB393">
        <v>50</v>
      </c>
      <c r="AC393">
        <v>5000</v>
      </c>
      <c r="AD393">
        <v>0</v>
      </c>
      <c r="AE393">
        <v>0</v>
      </c>
      <c r="AF393">
        <v>6876.12</v>
      </c>
      <c r="AG393">
        <v>6876.12</v>
      </c>
      <c r="AH393" s="14">
        <v>46265</v>
      </c>
      <c r="AI393" t="s">
        <v>266</v>
      </c>
      <c r="AJ393" s="13">
        <v>46265.054768518516</v>
      </c>
      <c r="AK393">
        <v>6763.31</v>
      </c>
      <c r="AL393" t="s">
        <v>259</v>
      </c>
      <c r="AM393" t="s">
        <v>260</v>
      </c>
      <c r="AN393">
        <v>1400</v>
      </c>
      <c r="AO393">
        <v>0</v>
      </c>
      <c r="AP393">
        <v>35</v>
      </c>
      <c r="AQ393">
        <v>85</v>
      </c>
      <c r="AR393">
        <v>35</v>
      </c>
      <c r="AS393">
        <v>2</v>
      </c>
      <c r="AT393">
        <v>23</v>
      </c>
      <c r="AU393">
        <v>1</v>
      </c>
      <c r="AV393">
        <v>0</v>
      </c>
      <c r="AW393">
        <v>10</v>
      </c>
      <c r="AX393">
        <v>1</v>
      </c>
      <c r="AY393">
        <v>5</v>
      </c>
      <c r="AZ393">
        <v>2</v>
      </c>
      <c r="BA393">
        <v>1</v>
      </c>
      <c r="BB393">
        <v>1440</v>
      </c>
      <c r="BC393">
        <v>0</v>
      </c>
      <c r="BD393">
        <v>0</v>
      </c>
      <c r="BE393">
        <v>14</v>
      </c>
      <c r="BF393">
        <v>25</v>
      </c>
      <c r="BG393">
        <v>3</v>
      </c>
      <c r="BH393">
        <v>8</v>
      </c>
      <c r="BI393">
        <v>3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0</v>
      </c>
      <c r="BQ393">
        <v>60</v>
      </c>
      <c r="BR393">
        <v>0</v>
      </c>
      <c r="BS393">
        <v>3</v>
      </c>
      <c r="BT393" t="s">
        <v>246</v>
      </c>
      <c r="BU393" t="s">
        <v>267</v>
      </c>
      <c r="BV393" t="b">
        <v>0</v>
      </c>
      <c r="BW393" t="s">
        <v>268</v>
      </c>
    </row>
    <row r="394" spans="1:75">
      <c r="A394" t="s">
        <v>246</v>
      </c>
      <c r="B394" t="s">
        <v>252</v>
      </c>
      <c r="C394">
        <v>748</v>
      </c>
      <c r="D394" t="s">
        <v>253</v>
      </c>
      <c r="E394" t="s">
        <v>254</v>
      </c>
      <c r="F394">
        <v>5</v>
      </c>
      <c r="G394" s="13">
        <v>46265.588877314818</v>
      </c>
      <c r="H394" s="13">
        <v>46265.601851851854</v>
      </c>
      <c r="I394">
        <v>1121</v>
      </c>
      <c r="J394" t="s">
        <v>255</v>
      </c>
      <c r="K394">
        <v>2</v>
      </c>
      <c r="L394">
        <v>0.02</v>
      </c>
      <c r="M394">
        <v>0.01</v>
      </c>
      <c r="N394">
        <v>2</v>
      </c>
      <c r="O394">
        <v>0.02</v>
      </c>
      <c r="P394">
        <v>4.09</v>
      </c>
      <c r="Q394">
        <v>7.99</v>
      </c>
      <c r="R394">
        <v>5.97</v>
      </c>
      <c r="S394" t="s">
        <v>263</v>
      </c>
      <c r="T394" t="s">
        <v>257</v>
      </c>
      <c r="U394">
        <v>11</v>
      </c>
      <c r="V394">
        <v>6875.95</v>
      </c>
      <c r="W394">
        <v>4999.83</v>
      </c>
      <c r="X394">
        <v>4995.91</v>
      </c>
      <c r="Y394">
        <v>0</v>
      </c>
      <c r="Z394">
        <v>0</v>
      </c>
      <c r="AA394">
        <v>35</v>
      </c>
      <c r="AB394">
        <v>50</v>
      </c>
      <c r="AC394">
        <v>5000</v>
      </c>
      <c r="AD394">
        <v>0</v>
      </c>
      <c r="AE394">
        <v>0</v>
      </c>
      <c r="AF394">
        <v>6882.12</v>
      </c>
      <c r="AG394">
        <v>6882.12</v>
      </c>
      <c r="AH394" s="14">
        <v>46265</v>
      </c>
      <c r="AI394" t="s">
        <v>266</v>
      </c>
      <c r="AJ394" s="13">
        <v>46265.054768518516</v>
      </c>
      <c r="AK394">
        <v>6763.31</v>
      </c>
      <c r="AL394" t="s">
        <v>259</v>
      </c>
      <c r="AM394" t="s">
        <v>260</v>
      </c>
      <c r="AN394">
        <v>1400</v>
      </c>
      <c r="AO394">
        <v>0</v>
      </c>
      <c r="AP394">
        <v>35</v>
      </c>
      <c r="AQ394">
        <v>85</v>
      </c>
      <c r="AR394">
        <v>35</v>
      </c>
      <c r="AS394">
        <v>2</v>
      </c>
      <c r="AT394">
        <v>23</v>
      </c>
      <c r="AU394">
        <v>1</v>
      </c>
      <c r="AV394">
        <v>0</v>
      </c>
      <c r="AW394">
        <v>10</v>
      </c>
      <c r="AX394">
        <v>1</v>
      </c>
      <c r="AY394">
        <v>5</v>
      </c>
      <c r="AZ394">
        <v>2</v>
      </c>
      <c r="BA394">
        <v>1</v>
      </c>
      <c r="BB394">
        <v>1440</v>
      </c>
      <c r="BC394">
        <v>0</v>
      </c>
      <c r="BD394">
        <v>0</v>
      </c>
      <c r="BE394">
        <v>14</v>
      </c>
      <c r="BF394">
        <v>25</v>
      </c>
      <c r="BG394">
        <v>3</v>
      </c>
      <c r="BH394">
        <v>8</v>
      </c>
      <c r="BI394">
        <v>3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0</v>
      </c>
      <c r="BQ394">
        <v>60</v>
      </c>
      <c r="BR394">
        <v>0</v>
      </c>
      <c r="BS394">
        <v>3</v>
      </c>
      <c r="BT394" t="s">
        <v>246</v>
      </c>
      <c r="BU394" t="s">
        <v>267</v>
      </c>
      <c r="BV394" t="b">
        <v>0</v>
      </c>
      <c r="BW394" t="s">
        <v>268</v>
      </c>
    </row>
    <row r="395" spans="1:75">
      <c r="A395" t="s">
        <v>246</v>
      </c>
      <c r="B395" t="s">
        <v>252</v>
      </c>
      <c r="C395">
        <v>749</v>
      </c>
      <c r="D395" t="s">
        <v>253</v>
      </c>
      <c r="E395" t="s">
        <v>254</v>
      </c>
      <c r="F395">
        <v>5</v>
      </c>
      <c r="G395" s="13">
        <v>46265.602465277778</v>
      </c>
      <c r="H395" s="13">
        <v>46265.603472222225</v>
      </c>
      <c r="I395">
        <v>87</v>
      </c>
      <c r="J395" t="s">
        <v>255</v>
      </c>
      <c r="K395">
        <v>1</v>
      </c>
      <c r="L395">
        <v>0.01</v>
      </c>
      <c r="M395">
        <v>0.01</v>
      </c>
      <c r="N395">
        <v>1</v>
      </c>
      <c r="O395">
        <v>0.01</v>
      </c>
      <c r="P395">
        <v>1.39</v>
      </c>
      <c r="Q395">
        <v>2.12</v>
      </c>
      <c r="R395">
        <v>1.89</v>
      </c>
      <c r="S395" t="s">
        <v>256</v>
      </c>
      <c r="T395" t="s">
        <v>257</v>
      </c>
      <c r="U395">
        <v>10</v>
      </c>
      <c r="V395">
        <v>6881.95</v>
      </c>
      <c r="W395">
        <v>4999.83</v>
      </c>
      <c r="X395">
        <v>4998.6099999999997</v>
      </c>
      <c r="Y395">
        <v>0</v>
      </c>
      <c r="Z395">
        <v>0</v>
      </c>
      <c r="AA395">
        <v>35</v>
      </c>
      <c r="AB395">
        <v>50</v>
      </c>
      <c r="AC395">
        <v>5000</v>
      </c>
      <c r="AD395">
        <v>0</v>
      </c>
      <c r="AE395">
        <v>0</v>
      </c>
      <c r="AF395">
        <v>6883.89</v>
      </c>
      <c r="AG395">
        <v>6883.89</v>
      </c>
      <c r="AH395" s="14">
        <v>46265</v>
      </c>
      <c r="AI395" t="s">
        <v>266</v>
      </c>
      <c r="AJ395" s="13">
        <v>46265.054768518516</v>
      </c>
      <c r="AK395">
        <v>6763.31</v>
      </c>
      <c r="AL395" t="s">
        <v>259</v>
      </c>
      <c r="AM395" t="s">
        <v>260</v>
      </c>
      <c r="AN395">
        <v>1400</v>
      </c>
      <c r="AO395">
        <v>0</v>
      </c>
      <c r="AP395">
        <v>35</v>
      </c>
      <c r="AQ395">
        <v>85</v>
      </c>
      <c r="AR395">
        <v>35</v>
      </c>
      <c r="AS395">
        <v>2</v>
      </c>
      <c r="AT395">
        <v>23</v>
      </c>
      <c r="AU395">
        <v>1</v>
      </c>
      <c r="AV395">
        <v>0</v>
      </c>
      <c r="AW395">
        <v>10</v>
      </c>
      <c r="AX395">
        <v>1</v>
      </c>
      <c r="AY395">
        <v>5</v>
      </c>
      <c r="AZ395">
        <v>2</v>
      </c>
      <c r="BA395">
        <v>1</v>
      </c>
      <c r="BB395">
        <v>1440</v>
      </c>
      <c r="BC395">
        <v>0</v>
      </c>
      <c r="BD395">
        <v>0</v>
      </c>
      <c r="BE395">
        <v>14</v>
      </c>
      <c r="BF395">
        <v>25</v>
      </c>
      <c r="BG395">
        <v>3</v>
      </c>
      <c r="BH395">
        <v>8</v>
      </c>
      <c r="BI395">
        <v>3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0</v>
      </c>
      <c r="BQ395">
        <v>60</v>
      </c>
      <c r="BR395">
        <v>0</v>
      </c>
      <c r="BS395">
        <v>3</v>
      </c>
      <c r="BT395" t="s">
        <v>246</v>
      </c>
      <c r="BU395" t="s">
        <v>267</v>
      </c>
      <c r="BV395" t="b">
        <v>0</v>
      </c>
      <c r="BW395" t="s">
        <v>268</v>
      </c>
    </row>
    <row r="396" spans="1:75">
      <c r="A396" t="s">
        <v>246</v>
      </c>
      <c r="B396" t="s">
        <v>252</v>
      </c>
      <c r="C396">
        <v>750</v>
      </c>
      <c r="D396" t="s">
        <v>253</v>
      </c>
      <c r="E396" t="s">
        <v>254</v>
      </c>
      <c r="F396">
        <v>5</v>
      </c>
      <c r="G396" s="13">
        <v>46265.606886574074</v>
      </c>
      <c r="H396" s="13">
        <v>46265.608344907407</v>
      </c>
      <c r="I396">
        <v>126</v>
      </c>
      <c r="J396" t="s">
        <v>264</v>
      </c>
      <c r="K396">
        <v>1</v>
      </c>
      <c r="L396">
        <v>0.01</v>
      </c>
      <c r="M396">
        <v>0.01</v>
      </c>
      <c r="N396">
        <v>1</v>
      </c>
      <c r="O396">
        <v>0.01</v>
      </c>
      <c r="P396">
        <v>0.17</v>
      </c>
      <c r="Q396">
        <v>2.72</v>
      </c>
      <c r="R396">
        <v>2.72</v>
      </c>
      <c r="S396" t="s">
        <v>256</v>
      </c>
      <c r="T396" t="s">
        <v>257</v>
      </c>
      <c r="U396">
        <v>10</v>
      </c>
      <c r="V396">
        <v>6883.72</v>
      </c>
      <c r="W396">
        <v>4999.83</v>
      </c>
      <c r="X396">
        <v>4999.83</v>
      </c>
      <c r="Y396">
        <v>0</v>
      </c>
      <c r="Z396">
        <v>0</v>
      </c>
      <c r="AA396">
        <v>35</v>
      </c>
      <c r="AB396">
        <v>50</v>
      </c>
      <c r="AC396">
        <v>5000</v>
      </c>
      <c r="AD396">
        <v>0</v>
      </c>
      <c r="AE396">
        <v>0</v>
      </c>
      <c r="AF396">
        <v>6886.26</v>
      </c>
      <c r="AG396">
        <v>6886.26</v>
      </c>
      <c r="AH396" s="14">
        <v>46265</v>
      </c>
      <c r="AI396" t="s">
        <v>266</v>
      </c>
      <c r="AJ396" s="13">
        <v>46265.054768518516</v>
      </c>
      <c r="AK396">
        <v>6763.31</v>
      </c>
      <c r="AL396" t="s">
        <v>259</v>
      </c>
      <c r="AM396" t="s">
        <v>260</v>
      </c>
      <c r="AN396">
        <v>1400</v>
      </c>
      <c r="AO396">
        <v>0</v>
      </c>
      <c r="AP396">
        <v>35</v>
      </c>
      <c r="AQ396">
        <v>85</v>
      </c>
      <c r="AR396">
        <v>35</v>
      </c>
      <c r="AS396">
        <v>2</v>
      </c>
      <c r="AT396">
        <v>23</v>
      </c>
      <c r="AU396">
        <v>1</v>
      </c>
      <c r="AV396">
        <v>0</v>
      </c>
      <c r="AW396">
        <v>10</v>
      </c>
      <c r="AX396">
        <v>1</v>
      </c>
      <c r="AY396">
        <v>5</v>
      </c>
      <c r="AZ396">
        <v>2</v>
      </c>
      <c r="BA396">
        <v>1</v>
      </c>
      <c r="BB396">
        <v>1440</v>
      </c>
      <c r="BC396">
        <v>0</v>
      </c>
      <c r="BD396">
        <v>0</v>
      </c>
      <c r="BE396">
        <v>14</v>
      </c>
      <c r="BF396">
        <v>25</v>
      </c>
      <c r="BG396">
        <v>3</v>
      </c>
      <c r="BH396">
        <v>8</v>
      </c>
      <c r="BI396">
        <v>3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0</v>
      </c>
      <c r="BQ396">
        <v>60</v>
      </c>
      <c r="BR396">
        <v>0</v>
      </c>
      <c r="BS396">
        <v>3</v>
      </c>
      <c r="BT396" t="s">
        <v>246</v>
      </c>
      <c r="BU396" t="s">
        <v>267</v>
      </c>
      <c r="BV396" t="b">
        <v>0</v>
      </c>
      <c r="BW396" t="s">
        <v>268</v>
      </c>
    </row>
    <row r="397" spans="1:75">
      <c r="A397" t="s">
        <v>246</v>
      </c>
      <c r="B397" t="s">
        <v>252</v>
      </c>
      <c r="C397">
        <v>751</v>
      </c>
      <c r="D397" t="s">
        <v>253</v>
      </c>
      <c r="E397" t="s">
        <v>254</v>
      </c>
      <c r="F397">
        <v>5</v>
      </c>
      <c r="G397" s="13">
        <v>46265.610138888886</v>
      </c>
      <c r="H397" s="13">
        <v>46265.611041666663</v>
      </c>
      <c r="I397">
        <v>78</v>
      </c>
      <c r="J397" t="s">
        <v>264</v>
      </c>
      <c r="K397">
        <v>1</v>
      </c>
      <c r="L397">
        <v>0.01</v>
      </c>
      <c r="M397">
        <v>0.01</v>
      </c>
      <c r="N397">
        <v>1</v>
      </c>
      <c r="O397">
        <v>0.01</v>
      </c>
      <c r="P397">
        <v>0.66</v>
      </c>
      <c r="Q397">
        <v>1.28</v>
      </c>
      <c r="R397">
        <v>1.01</v>
      </c>
      <c r="S397" t="s">
        <v>256</v>
      </c>
      <c r="T397" t="s">
        <v>257</v>
      </c>
      <c r="U397">
        <v>10</v>
      </c>
      <c r="V397">
        <v>6886.1</v>
      </c>
      <c r="W397">
        <v>4999.84</v>
      </c>
      <c r="X397">
        <v>4999.34</v>
      </c>
      <c r="Y397">
        <v>0</v>
      </c>
      <c r="Z397">
        <v>0</v>
      </c>
      <c r="AA397">
        <v>35</v>
      </c>
      <c r="AB397">
        <v>50</v>
      </c>
      <c r="AC397">
        <v>5000</v>
      </c>
      <c r="AD397">
        <v>0</v>
      </c>
      <c r="AE397">
        <v>0</v>
      </c>
      <c r="AF397">
        <v>6887.19</v>
      </c>
      <c r="AG397">
        <v>6887.19</v>
      </c>
      <c r="AH397" s="14">
        <v>46265</v>
      </c>
      <c r="AI397" t="s">
        <v>266</v>
      </c>
      <c r="AJ397" s="13">
        <v>46265.054768518516</v>
      </c>
      <c r="AK397">
        <v>6763.31</v>
      </c>
      <c r="AL397" t="s">
        <v>259</v>
      </c>
      <c r="AM397" t="s">
        <v>260</v>
      </c>
      <c r="AN397">
        <v>1400</v>
      </c>
      <c r="AO397">
        <v>0</v>
      </c>
      <c r="AP397">
        <v>35</v>
      </c>
      <c r="AQ397">
        <v>85</v>
      </c>
      <c r="AR397">
        <v>35</v>
      </c>
      <c r="AS397">
        <v>2</v>
      </c>
      <c r="AT397">
        <v>23</v>
      </c>
      <c r="AU397">
        <v>1</v>
      </c>
      <c r="AV397">
        <v>0</v>
      </c>
      <c r="AW397">
        <v>10</v>
      </c>
      <c r="AX397">
        <v>1</v>
      </c>
      <c r="AY397">
        <v>5</v>
      </c>
      <c r="AZ397">
        <v>2</v>
      </c>
      <c r="BA397">
        <v>1</v>
      </c>
      <c r="BB397">
        <v>1440</v>
      </c>
      <c r="BC397">
        <v>0</v>
      </c>
      <c r="BD397">
        <v>0</v>
      </c>
      <c r="BE397">
        <v>14</v>
      </c>
      <c r="BF397">
        <v>25</v>
      </c>
      <c r="BG397">
        <v>3</v>
      </c>
      <c r="BH397">
        <v>8</v>
      </c>
      <c r="BI397">
        <v>3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0</v>
      </c>
      <c r="BQ397">
        <v>60</v>
      </c>
      <c r="BR397">
        <v>0</v>
      </c>
      <c r="BS397">
        <v>3</v>
      </c>
      <c r="BT397" t="s">
        <v>246</v>
      </c>
      <c r="BU397" t="s">
        <v>267</v>
      </c>
      <c r="BV397" t="b">
        <v>0</v>
      </c>
      <c r="BW397" t="s">
        <v>268</v>
      </c>
    </row>
    <row r="398" spans="1:75">
      <c r="A398" t="s">
        <v>246</v>
      </c>
      <c r="B398" t="s">
        <v>252</v>
      </c>
      <c r="C398">
        <v>752</v>
      </c>
      <c r="D398" t="s">
        <v>253</v>
      </c>
      <c r="E398" t="s">
        <v>254</v>
      </c>
      <c r="F398">
        <v>5</v>
      </c>
      <c r="G398" s="13">
        <v>46265.612453703703</v>
      </c>
      <c r="H398" s="13">
        <v>46265.612974537034</v>
      </c>
      <c r="I398">
        <v>45</v>
      </c>
      <c r="J398" t="s">
        <v>264</v>
      </c>
      <c r="K398">
        <v>1</v>
      </c>
      <c r="L398">
        <v>0.01</v>
      </c>
      <c r="M398">
        <v>0.01</v>
      </c>
      <c r="N398">
        <v>1</v>
      </c>
      <c r="O398">
        <v>0.01</v>
      </c>
      <c r="P398">
        <v>0.17</v>
      </c>
      <c r="Q398">
        <v>1.05</v>
      </c>
      <c r="R398">
        <v>0.84</v>
      </c>
      <c r="S398" t="s">
        <v>256</v>
      </c>
      <c r="T398" t="s">
        <v>257</v>
      </c>
      <c r="U398">
        <v>10</v>
      </c>
      <c r="V398">
        <v>6887.03</v>
      </c>
      <c r="W398">
        <v>4999.84</v>
      </c>
      <c r="X398">
        <v>4999.83</v>
      </c>
      <c r="Y398">
        <v>0</v>
      </c>
      <c r="Z398">
        <v>0</v>
      </c>
      <c r="AA398">
        <v>35</v>
      </c>
      <c r="AB398">
        <v>50</v>
      </c>
      <c r="AC398">
        <v>5000</v>
      </c>
      <c r="AD398">
        <v>0</v>
      </c>
      <c r="AE398">
        <v>0</v>
      </c>
      <c r="AF398">
        <v>6887.89</v>
      </c>
      <c r="AG398">
        <v>6887.89</v>
      </c>
      <c r="AH398" s="14">
        <v>46265</v>
      </c>
      <c r="AI398" t="s">
        <v>266</v>
      </c>
      <c r="AJ398" s="13">
        <v>46265.054768518516</v>
      </c>
      <c r="AK398">
        <v>6763.31</v>
      </c>
      <c r="AL398" t="s">
        <v>259</v>
      </c>
      <c r="AM398" t="s">
        <v>260</v>
      </c>
      <c r="AN398">
        <v>1400</v>
      </c>
      <c r="AO398">
        <v>0</v>
      </c>
      <c r="AP398">
        <v>35</v>
      </c>
      <c r="AQ398">
        <v>85</v>
      </c>
      <c r="AR398">
        <v>35</v>
      </c>
      <c r="AS398">
        <v>2</v>
      </c>
      <c r="AT398">
        <v>23</v>
      </c>
      <c r="AU398">
        <v>1</v>
      </c>
      <c r="AV398">
        <v>0</v>
      </c>
      <c r="AW398">
        <v>10</v>
      </c>
      <c r="AX398">
        <v>1</v>
      </c>
      <c r="AY398">
        <v>5</v>
      </c>
      <c r="AZ398">
        <v>2</v>
      </c>
      <c r="BA398">
        <v>1</v>
      </c>
      <c r="BB398">
        <v>1440</v>
      </c>
      <c r="BC398">
        <v>0</v>
      </c>
      <c r="BD398">
        <v>0</v>
      </c>
      <c r="BE398">
        <v>14</v>
      </c>
      <c r="BF398">
        <v>25</v>
      </c>
      <c r="BG398">
        <v>3</v>
      </c>
      <c r="BH398">
        <v>8</v>
      </c>
      <c r="BI398">
        <v>3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0</v>
      </c>
      <c r="BQ398">
        <v>60</v>
      </c>
      <c r="BR398">
        <v>0</v>
      </c>
      <c r="BS398">
        <v>3</v>
      </c>
      <c r="BT398" t="s">
        <v>246</v>
      </c>
      <c r="BU398" t="s">
        <v>267</v>
      </c>
      <c r="BV398" t="b">
        <v>0</v>
      </c>
      <c r="BW398" t="s">
        <v>268</v>
      </c>
    </row>
    <row r="399" spans="1:75">
      <c r="A399" t="s">
        <v>246</v>
      </c>
      <c r="B399" t="s">
        <v>252</v>
      </c>
      <c r="C399">
        <v>753</v>
      </c>
      <c r="D399" t="s">
        <v>253</v>
      </c>
      <c r="E399" t="s">
        <v>254</v>
      </c>
      <c r="F399">
        <v>5</v>
      </c>
      <c r="G399" s="13">
        <v>46265.62672453704</v>
      </c>
      <c r="H399" s="13">
        <v>46265.629861111112</v>
      </c>
      <c r="I399">
        <v>271</v>
      </c>
      <c r="J399" t="s">
        <v>255</v>
      </c>
      <c r="K399">
        <v>1</v>
      </c>
      <c r="L399">
        <v>0.01</v>
      </c>
      <c r="M399">
        <v>0.01</v>
      </c>
      <c r="N399">
        <v>1</v>
      </c>
      <c r="O399">
        <v>0.01</v>
      </c>
      <c r="P399">
        <v>1.99</v>
      </c>
      <c r="Q399">
        <v>1.91</v>
      </c>
      <c r="R399">
        <v>1.73</v>
      </c>
      <c r="S399" t="s">
        <v>256</v>
      </c>
      <c r="T399" t="s">
        <v>257</v>
      </c>
      <c r="U399">
        <v>10</v>
      </c>
      <c r="V399">
        <v>6887.73</v>
      </c>
      <c r="W399">
        <v>4999.84</v>
      </c>
      <c r="X399">
        <v>4998.01</v>
      </c>
      <c r="Y399">
        <v>0</v>
      </c>
      <c r="Z399">
        <v>0</v>
      </c>
      <c r="AA399">
        <v>35</v>
      </c>
      <c r="AB399">
        <v>50</v>
      </c>
      <c r="AC399">
        <v>5000</v>
      </c>
      <c r="AD399">
        <v>0</v>
      </c>
      <c r="AE399">
        <v>0</v>
      </c>
      <c r="AF399">
        <v>6889.45</v>
      </c>
      <c r="AG399">
        <v>6889.45</v>
      </c>
      <c r="AH399" s="14">
        <v>46265</v>
      </c>
      <c r="AI399" t="s">
        <v>266</v>
      </c>
      <c r="AJ399" s="13">
        <v>46265.054768518516</v>
      </c>
      <c r="AK399">
        <v>6763.31</v>
      </c>
      <c r="AL399" t="s">
        <v>259</v>
      </c>
      <c r="AM399" t="s">
        <v>260</v>
      </c>
      <c r="AN399">
        <v>1400</v>
      </c>
      <c r="AO399">
        <v>0</v>
      </c>
      <c r="AP399">
        <v>35</v>
      </c>
      <c r="AQ399">
        <v>85</v>
      </c>
      <c r="AR399">
        <v>35</v>
      </c>
      <c r="AS399">
        <v>2</v>
      </c>
      <c r="AT399">
        <v>23</v>
      </c>
      <c r="AU399">
        <v>1</v>
      </c>
      <c r="AV399">
        <v>0</v>
      </c>
      <c r="AW399">
        <v>10</v>
      </c>
      <c r="AX399">
        <v>1</v>
      </c>
      <c r="AY399">
        <v>5</v>
      </c>
      <c r="AZ399">
        <v>2</v>
      </c>
      <c r="BA399">
        <v>1</v>
      </c>
      <c r="BB399">
        <v>1440</v>
      </c>
      <c r="BC399">
        <v>0</v>
      </c>
      <c r="BD399">
        <v>0</v>
      </c>
      <c r="BE399">
        <v>14</v>
      </c>
      <c r="BF399">
        <v>25</v>
      </c>
      <c r="BG399">
        <v>3</v>
      </c>
      <c r="BH399">
        <v>8</v>
      </c>
      <c r="BI399">
        <v>3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0</v>
      </c>
      <c r="BQ399">
        <v>60</v>
      </c>
      <c r="BR399">
        <v>0</v>
      </c>
      <c r="BS399">
        <v>3</v>
      </c>
      <c r="BT399" t="s">
        <v>246</v>
      </c>
      <c r="BU399" t="s">
        <v>267</v>
      </c>
      <c r="BV399" t="b">
        <v>0</v>
      </c>
      <c r="BW399" t="s">
        <v>268</v>
      </c>
    </row>
    <row r="400" spans="1:75">
      <c r="A400" t="s">
        <v>246</v>
      </c>
      <c r="B400" t="s">
        <v>252</v>
      </c>
      <c r="C400">
        <v>754</v>
      </c>
      <c r="D400" t="s">
        <v>253</v>
      </c>
      <c r="E400" t="s">
        <v>254</v>
      </c>
      <c r="F400">
        <v>5</v>
      </c>
      <c r="G400" s="13">
        <v>46265.630173611113</v>
      </c>
      <c r="H400" s="13">
        <v>46265.759548611109</v>
      </c>
      <c r="I400">
        <v>11178</v>
      </c>
      <c r="J400" t="s">
        <v>255</v>
      </c>
      <c r="K400">
        <v>26</v>
      </c>
      <c r="L400">
        <v>0.26</v>
      </c>
      <c r="M400">
        <v>0.01</v>
      </c>
      <c r="N400">
        <v>26</v>
      </c>
      <c r="O400">
        <v>0.26</v>
      </c>
      <c r="P400">
        <v>402.53</v>
      </c>
      <c r="Q400">
        <v>19.690000000000001</v>
      </c>
      <c r="R400">
        <v>16.829999999999998</v>
      </c>
      <c r="S400" t="s">
        <v>263</v>
      </c>
      <c r="T400" t="s">
        <v>257</v>
      </c>
      <c r="U400">
        <v>11</v>
      </c>
      <c r="V400">
        <v>6889.28</v>
      </c>
      <c r="W400">
        <v>4999.83</v>
      </c>
      <c r="X400">
        <v>4597.47</v>
      </c>
      <c r="Y400">
        <v>0</v>
      </c>
      <c r="Z400">
        <v>0</v>
      </c>
      <c r="AA400">
        <v>35</v>
      </c>
      <c r="AB400">
        <v>50</v>
      </c>
      <c r="AC400">
        <v>5000</v>
      </c>
      <c r="AD400">
        <v>0</v>
      </c>
      <c r="AE400">
        <v>0</v>
      </c>
      <c r="AF400">
        <v>6893.62</v>
      </c>
      <c r="AG400">
        <v>6893.62</v>
      </c>
      <c r="AH400" s="14">
        <v>46265</v>
      </c>
      <c r="AI400" t="s">
        <v>266</v>
      </c>
      <c r="AJ400" s="13">
        <v>46265.054768518516</v>
      </c>
      <c r="AK400">
        <v>6763.31</v>
      </c>
      <c r="AL400" t="s">
        <v>259</v>
      </c>
      <c r="AM400" t="s">
        <v>260</v>
      </c>
      <c r="AN400">
        <v>1400</v>
      </c>
      <c r="AO400">
        <v>0</v>
      </c>
      <c r="AP400">
        <v>35</v>
      </c>
      <c r="AQ400">
        <v>85</v>
      </c>
      <c r="AR400">
        <v>35</v>
      </c>
      <c r="AS400">
        <v>2</v>
      </c>
      <c r="AT400">
        <v>23</v>
      </c>
      <c r="AU400">
        <v>1</v>
      </c>
      <c r="AV400">
        <v>0</v>
      </c>
      <c r="AW400">
        <v>10</v>
      </c>
      <c r="AX400">
        <v>1</v>
      </c>
      <c r="AY400">
        <v>5</v>
      </c>
      <c r="AZ400">
        <v>2</v>
      </c>
      <c r="BA400">
        <v>1</v>
      </c>
      <c r="BB400">
        <v>1440</v>
      </c>
      <c r="BC400">
        <v>0</v>
      </c>
      <c r="BD400">
        <v>0</v>
      </c>
      <c r="BE400">
        <v>14</v>
      </c>
      <c r="BF400">
        <v>25</v>
      </c>
      <c r="BG400">
        <v>3</v>
      </c>
      <c r="BH400">
        <v>8</v>
      </c>
      <c r="BI400">
        <v>3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0</v>
      </c>
      <c r="BQ400">
        <v>60</v>
      </c>
      <c r="BR400">
        <v>0</v>
      </c>
      <c r="BS400">
        <v>3</v>
      </c>
      <c r="BT400" t="s">
        <v>246</v>
      </c>
      <c r="BU400" t="s">
        <v>267</v>
      </c>
      <c r="BV400" t="b">
        <v>0</v>
      </c>
      <c r="BW400" t="s">
        <v>268</v>
      </c>
    </row>
    <row r="401" spans="1:75">
      <c r="A401" t="s">
        <v>246</v>
      </c>
      <c r="B401" t="s">
        <v>252</v>
      </c>
      <c r="C401">
        <v>755</v>
      </c>
      <c r="D401" t="s">
        <v>253</v>
      </c>
      <c r="E401" t="s">
        <v>254</v>
      </c>
      <c r="F401">
        <v>5</v>
      </c>
      <c r="G401" s="13">
        <v>46265.760810185187</v>
      </c>
      <c r="H401" s="13">
        <v>46265.762245370373</v>
      </c>
      <c r="I401">
        <v>124</v>
      </c>
      <c r="J401" t="s">
        <v>264</v>
      </c>
      <c r="K401">
        <v>1</v>
      </c>
      <c r="L401">
        <v>0.01</v>
      </c>
      <c r="M401">
        <v>0.01</v>
      </c>
      <c r="N401">
        <v>1</v>
      </c>
      <c r="O401">
        <v>0.01</v>
      </c>
      <c r="P401">
        <v>2.36</v>
      </c>
      <c r="Q401">
        <v>4.24</v>
      </c>
      <c r="R401">
        <v>4.18</v>
      </c>
      <c r="S401" t="s">
        <v>256</v>
      </c>
      <c r="T401" t="s">
        <v>257</v>
      </c>
      <c r="U401">
        <v>10</v>
      </c>
      <c r="V401">
        <v>6893.46</v>
      </c>
      <c r="W401">
        <v>4999.84</v>
      </c>
      <c r="X401">
        <v>4997.6400000000003</v>
      </c>
      <c r="Y401">
        <v>0</v>
      </c>
      <c r="Z401">
        <v>0</v>
      </c>
      <c r="AA401">
        <v>35</v>
      </c>
      <c r="AB401">
        <v>50</v>
      </c>
      <c r="AC401">
        <v>5000</v>
      </c>
      <c r="AD401">
        <v>0</v>
      </c>
      <c r="AE401">
        <v>0</v>
      </c>
      <c r="AF401">
        <v>6897.5</v>
      </c>
      <c r="AG401">
        <v>6897.5</v>
      </c>
      <c r="AH401" s="14">
        <v>46265</v>
      </c>
      <c r="AI401" t="s">
        <v>266</v>
      </c>
      <c r="AJ401" s="13">
        <v>46265.054768518516</v>
      </c>
      <c r="AK401">
        <v>6763.31</v>
      </c>
      <c r="AL401" t="s">
        <v>259</v>
      </c>
      <c r="AM401" t="s">
        <v>260</v>
      </c>
      <c r="AN401">
        <v>1400</v>
      </c>
      <c r="AO401">
        <v>0</v>
      </c>
      <c r="AP401">
        <v>35</v>
      </c>
      <c r="AQ401">
        <v>85</v>
      </c>
      <c r="AR401">
        <v>35</v>
      </c>
      <c r="AS401">
        <v>2</v>
      </c>
      <c r="AT401">
        <v>23</v>
      </c>
      <c r="AU401">
        <v>1</v>
      </c>
      <c r="AV401">
        <v>0</v>
      </c>
      <c r="AW401">
        <v>10</v>
      </c>
      <c r="AX401">
        <v>1</v>
      </c>
      <c r="AY401">
        <v>5</v>
      </c>
      <c r="AZ401">
        <v>2</v>
      </c>
      <c r="BA401">
        <v>1</v>
      </c>
      <c r="BB401">
        <v>1440</v>
      </c>
      <c r="BC401">
        <v>0</v>
      </c>
      <c r="BD401">
        <v>0</v>
      </c>
      <c r="BE401">
        <v>14</v>
      </c>
      <c r="BF401">
        <v>25</v>
      </c>
      <c r="BG401">
        <v>3</v>
      </c>
      <c r="BH401">
        <v>8</v>
      </c>
      <c r="BI401">
        <v>3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0</v>
      </c>
      <c r="BQ401">
        <v>60</v>
      </c>
      <c r="BR401">
        <v>0</v>
      </c>
      <c r="BS401">
        <v>3</v>
      </c>
      <c r="BT401" t="s">
        <v>246</v>
      </c>
      <c r="BU401" t="s">
        <v>267</v>
      </c>
      <c r="BV401" t="b">
        <v>0</v>
      </c>
      <c r="BW401" t="s">
        <v>268</v>
      </c>
    </row>
    <row r="402" spans="1:75">
      <c r="A402" t="s">
        <v>246</v>
      </c>
      <c r="B402" t="s">
        <v>252</v>
      </c>
      <c r="C402">
        <v>756</v>
      </c>
      <c r="D402" t="s">
        <v>253</v>
      </c>
      <c r="E402" t="s">
        <v>254</v>
      </c>
      <c r="F402">
        <v>5</v>
      </c>
      <c r="G402" s="13">
        <v>46265.765034722222</v>
      </c>
      <c r="H402" s="13">
        <v>46265.765138888892</v>
      </c>
      <c r="I402">
        <v>9</v>
      </c>
      <c r="J402" t="s">
        <v>255</v>
      </c>
      <c r="K402">
        <v>1</v>
      </c>
      <c r="L402">
        <v>0.01</v>
      </c>
      <c r="M402">
        <v>0.01</v>
      </c>
      <c r="N402">
        <v>1</v>
      </c>
      <c r="O402">
        <v>0.01</v>
      </c>
      <c r="P402">
        <v>0.16</v>
      </c>
      <c r="Q402">
        <v>2.08</v>
      </c>
      <c r="R402">
        <v>2.08</v>
      </c>
      <c r="S402" t="s">
        <v>256</v>
      </c>
      <c r="T402" t="s">
        <v>257</v>
      </c>
      <c r="U402">
        <v>10</v>
      </c>
      <c r="V402">
        <v>6897.34</v>
      </c>
      <c r="W402">
        <v>4999.84</v>
      </c>
      <c r="X402">
        <v>4999.84</v>
      </c>
      <c r="Y402">
        <v>0</v>
      </c>
      <c r="Z402">
        <v>0</v>
      </c>
      <c r="AA402">
        <v>35</v>
      </c>
      <c r="AB402">
        <v>50</v>
      </c>
      <c r="AC402">
        <v>5000</v>
      </c>
      <c r="AD402">
        <v>0</v>
      </c>
      <c r="AE402">
        <v>0</v>
      </c>
      <c r="AF402">
        <v>6899.23</v>
      </c>
      <c r="AG402">
        <v>6899.23</v>
      </c>
      <c r="AH402" s="14">
        <v>46265</v>
      </c>
      <c r="AI402" t="s">
        <v>266</v>
      </c>
      <c r="AJ402" s="13">
        <v>46265.054768518516</v>
      </c>
      <c r="AK402">
        <v>6763.31</v>
      </c>
      <c r="AL402" t="s">
        <v>259</v>
      </c>
      <c r="AM402" t="s">
        <v>260</v>
      </c>
      <c r="AN402">
        <v>1400</v>
      </c>
      <c r="AO402">
        <v>0</v>
      </c>
      <c r="AP402">
        <v>35</v>
      </c>
      <c r="AQ402">
        <v>85</v>
      </c>
      <c r="AR402">
        <v>35</v>
      </c>
      <c r="AS402">
        <v>2</v>
      </c>
      <c r="AT402">
        <v>23</v>
      </c>
      <c r="AU402">
        <v>1</v>
      </c>
      <c r="AV402">
        <v>0</v>
      </c>
      <c r="AW402">
        <v>10</v>
      </c>
      <c r="AX402">
        <v>1</v>
      </c>
      <c r="AY402">
        <v>5</v>
      </c>
      <c r="AZ402">
        <v>2</v>
      </c>
      <c r="BA402">
        <v>1</v>
      </c>
      <c r="BB402">
        <v>1440</v>
      </c>
      <c r="BC402">
        <v>0</v>
      </c>
      <c r="BD402">
        <v>0</v>
      </c>
      <c r="BE402">
        <v>14</v>
      </c>
      <c r="BF402">
        <v>25</v>
      </c>
      <c r="BG402">
        <v>3</v>
      </c>
      <c r="BH402">
        <v>8</v>
      </c>
      <c r="BI402">
        <v>3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0</v>
      </c>
      <c r="BQ402">
        <v>60</v>
      </c>
      <c r="BR402">
        <v>0</v>
      </c>
      <c r="BS402">
        <v>3</v>
      </c>
      <c r="BT402" t="s">
        <v>246</v>
      </c>
      <c r="BU402" t="s">
        <v>267</v>
      </c>
      <c r="BV402" t="b">
        <v>0</v>
      </c>
      <c r="BW402" t="s">
        <v>268</v>
      </c>
    </row>
    <row r="403" spans="1:75">
      <c r="A403" t="s">
        <v>246</v>
      </c>
      <c r="B403" t="s">
        <v>252</v>
      </c>
      <c r="C403">
        <v>757</v>
      </c>
      <c r="D403" t="s">
        <v>253</v>
      </c>
      <c r="E403" t="s">
        <v>254</v>
      </c>
      <c r="F403">
        <v>5</v>
      </c>
      <c r="G403" s="13">
        <v>46265.769918981481</v>
      </c>
      <c r="H403" s="13">
        <v>46265.796226851853</v>
      </c>
      <c r="I403">
        <v>2273</v>
      </c>
      <c r="J403" t="s">
        <v>255</v>
      </c>
      <c r="K403">
        <v>6</v>
      </c>
      <c r="L403">
        <v>0.06</v>
      </c>
      <c r="M403">
        <v>0.01</v>
      </c>
      <c r="N403">
        <v>6</v>
      </c>
      <c r="O403">
        <v>0.06</v>
      </c>
      <c r="P403">
        <v>29.48</v>
      </c>
      <c r="Q403">
        <v>10.48</v>
      </c>
      <c r="R403">
        <v>7.56</v>
      </c>
      <c r="S403" t="s">
        <v>263</v>
      </c>
      <c r="T403" t="s">
        <v>257</v>
      </c>
      <c r="U403">
        <v>10</v>
      </c>
      <c r="V403">
        <v>6899.07</v>
      </c>
      <c r="W403">
        <v>4999.84</v>
      </c>
      <c r="X403">
        <v>4970.5200000000004</v>
      </c>
      <c r="Y403">
        <v>0</v>
      </c>
      <c r="Z403">
        <v>0</v>
      </c>
      <c r="AA403">
        <v>35</v>
      </c>
      <c r="AB403">
        <v>50</v>
      </c>
      <c r="AC403">
        <v>5000</v>
      </c>
      <c r="AD403">
        <v>0</v>
      </c>
      <c r="AE403">
        <v>0</v>
      </c>
      <c r="AF403">
        <v>6906.52</v>
      </c>
      <c r="AG403">
        <v>6906.52</v>
      </c>
      <c r="AH403" s="14">
        <v>46265</v>
      </c>
      <c r="AI403" t="s">
        <v>266</v>
      </c>
      <c r="AJ403" s="13">
        <v>46265.054768518516</v>
      </c>
      <c r="AK403">
        <v>6763.31</v>
      </c>
      <c r="AL403" t="s">
        <v>259</v>
      </c>
      <c r="AM403" t="s">
        <v>260</v>
      </c>
      <c r="AN403">
        <v>1400</v>
      </c>
      <c r="AO403">
        <v>0</v>
      </c>
      <c r="AP403">
        <v>35</v>
      </c>
      <c r="AQ403">
        <v>85</v>
      </c>
      <c r="AR403">
        <v>35</v>
      </c>
      <c r="AS403">
        <v>2</v>
      </c>
      <c r="AT403">
        <v>23</v>
      </c>
      <c r="AU403">
        <v>1</v>
      </c>
      <c r="AV403">
        <v>0</v>
      </c>
      <c r="AW403">
        <v>10</v>
      </c>
      <c r="AX403">
        <v>1</v>
      </c>
      <c r="AY403">
        <v>5</v>
      </c>
      <c r="AZ403">
        <v>2</v>
      </c>
      <c r="BA403">
        <v>1</v>
      </c>
      <c r="BB403">
        <v>1440</v>
      </c>
      <c r="BC403">
        <v>0</v>
      </c>
      <c r="BD403">
        <v>0</v>
      </c>
      <c r="BE403">
        <v>14</v>
      </c>
      <c r="BF403">
        <v>25</v>
      </c>
      <c r="BG403">
        <v>3</v>
      </c>
      <c r="BH403">
        <v>8</v>
      </c>
      <c r="BI403">
        <v>3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0</v>
      </c>
      <c r="BQ403">
        <v>60</v>
      </c>
      <c r="BR403">
        <v>0</v>
      </c>
      <c r="BS403">
        <v>3</v>
      </c>
      <c r="BT403" t="s">
        <v>246</v>
      </c>
      <c r="BU403" t="s">
        <v>267</v>
      </c>
      <c r="BV403" t="b">
        <v>0</v>
      </c>
      <c r="BW403" t="s">
        <v>268</v>
      </c>
    </row>
    <row r="404" spans="1:75">
      <c r="A404" t="s">
        <v>246</v>
      </c>
      <c r="B404" t="s">
        <v>252</v>
      </c>
      <c r="C404">
        <v>758</v>
      </c>
      <c r="D404" t="s">
        <v>253</v>
      </c>
      <c r="E404" t="s">
        <v>254</v>
      </c>
      <c r="F404">
        <v>5</v>
      </c>
      <c r="G404" s="13">
        <v>46265.800428240742</v>
      </c>
      <c r="H404" s="13">
        <v>46265.812118055554</v>
      </c>
      <c r="I404">
        <v>1010</v>
      </c>
      <c r="J404" t="s">
        <v>255</v>
      </c>
      <c r="K404">
        <v>1</v>
      </c>
      <c r="L404">
        <v>0.01</v>
      </c>
      <c r="M404">
        <v>0.01</v>
      </c>
      <c r="N404">
        <v>1</v>
      </c>
      <c r="O404">
        <v>0.01</v>
      </c>
      <c r="P404">
        <v>3.68</v>
      </c>
      <c r="Q404">
        <v>1.21</v>
      </c>
      <c r="R404">
        <v>0.91</v>
      </c>
      <c r="S404" t="s">
        <v>256</v>
      </c>
      <c r="T404" t="s">
        <v>257</v>
      </c>
      <c r="U404">
        <v>10</v>
      </c>
      <c r="V404">
        <v>6906.36</v>
      </c>
      <c r="W404">
        <v>4999.84</v>
      </c>
      <c r="X404">
        <v>4996.32</v>
      </c>
      <c r="Y404">
        <v>0</v>
      </c>
      <c r="Z404">
        <v>0</v>
      </c>
      <c r="AA404">
        <v>35</v>
      </c>
      <c r="AB404">
        <v>50</v>
      </c>
      <c r="AC404">
        <v>5000</v>
      </c>
      <c r="AD404">
        <v>0</v>
      </c>
      <c r="AE404">
        <v>0</v>
      </c>
      <c r="AF404">
        <v>6907.38</v>
      </c>
      <c r="AG404">
        <v>6907.38</v>
      </c>
      <c r="AH404" s="14">
        <v>46265</v>
      </c>
      <c r="AI404" t="s">
        <v>266</v>
      </c>
      <c r="AJ404" s="13">
        <v>46265.054768518516</v>
      </c>
      <c r="AK404">
        <v>6763.31</v>
      </c>
      <c r="AL404" t="s">
        <v>259</v>
      </c>
      <c r="AM404" t="s">
        <v>260</v>
      </c>
      <c r="AN404">
        <v>1400</v>
      </c>
      <c r="AO404">
        <v>0</v>
      </c>
      <c r="AP404">
        <v>35</v>
      </c>
      <c r="AQ404">
        <v>85</v>
      </c>
      <c r="AR404">
        <v>35</v>
      </c>
      <c r="AS404">
        <v>2</v>
      </c>
      <c r="AT404">
        <v>23</v>
      </c>
      <c r="AU404">
        <v>1</v>
      </c>
      <c r="AV404">
        <v>0</v>
      </c>
      <c r="AW404">
        <v>10</v>
      </c>
      <c r="AX404">
        <v>1</v>
      </c>
      <c r="AY404">
        <v>5</v>
      </c>
      <c r="AZ404">
        <v>2</v>
      </c>
      <c r="BA404">
        <v>1</v>
      </c>
      <c r="BB404">
        <v>1440</v>
      </c>
      <c r="BC404">
        <v>0</v>
      </c>
      <c r="BD404">
        <v>0</v>
      </c>
      <c r="BE404">
        <v>14</v>
      </c>
      <c r="BF404">
        <v>25</v>
      </c>
      <c r="BG404">
        <v>3</v>
      </c>
      <c r="BH404">
        <v>8</v>
      </c>
      <c r="BI404">
        <v>3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0</v>
      </c>
      <c r="BQ404">
        <v>60</v>
      </c>
      <c r="BR404">
        <v>0</v>
      </c>
      <c r="BS404">
        <v>3</v>
      </c>
      <c r="BT404" t="s">
        <v>246</v>
      </c>
      <c r="BU404" t="s">
        <v>267</v>
      </c>
      <c r="BV404" t="b">
        <v>0</v>
      </c>
      <c r="BW404" t="s">
        <v>268</v>
      </c>
    </row>
    <row r="405" spans="1:75">
      <c r="A405" t="s">
        <v>246</v>
      </c>
      <c r="B405" t="s">
        <v>252</v>
      </c>
      <c r="C405">
        <v>759</v>
      </c>
      <c r="D405" t="s">
        <v>253</v>
      </c>
      <c r="E405" t="s">
        <v>254</v>
      </c>
      <c r="F405">
        <v>5</v>
      </c>
      <c r="G405" s="13">
        <v>46265.812418981484</v>
      </c>
      <c r="H405" s="13">
        <v>46265.812685185185</v>
      </c>
      <c r="I405">
        <v>23</v>
      </c>
      <c r="J405" t="s">
        <v>255</v>
      </c>
      <c r="K405">
        <v>1</v>
      </c>
      <c r="L405">
        <v>0.01</v>
      </c>
      <c r="M405">
        <v>0.01</v>
      </c>
      <c r="N405">
        <v>1</v>
      </c>
      <c r="O405">
        <v>0.01</v>
      </c>
      <c r="P405">
        <v>0.41</v>
      </c>
      <c r="Q405">
        <v>1.02</v>
      </c>
      <c r="R405">
        <v>1.02</v>
      </c>
      <c r="S405" t="s">
        <v>256</v>
      </c>
      <c r="T405" t="s">
        <v>257</v>
      </c>
      <c r="U405">
        <v>11</v>
      </c>
      <c r="V405">
        <v>6907.21</v>
      </c>
      <c r="W405">
        <v>4999.83</v>
      </c>
      <c r="X405">
        <v>4999.59</v>
      </c>
      <c r="Y405">
        <v>0</v>
      </c>
      <c r="Z405">
        <v>0</v>
      </c>
      <c r="AA405">
        <v>35</v>
      </c>
      <c r="AB405">
        <v>50</v>
      </c>
      <c r="AC405">
        <v>5000</v>
      </c>
      <c r="AD405">
        <v>0</v>
      </c>
      <c r="AE405">
        <v>0</v>
      </c>
      <c r="AF405">
        <v>6908.05</v>
      </c>
      <c r="AG405">
        <v>6908.05</v>
      </c>
      <c r="AH405" s="14">
        <v>46265</v>
      </c>
      <c r="AI405" t="s">
        <v>266</v>
      </c>
      <c r="AJ405" s="13">
        <v>46265.054768518516</v>
      </c>
      <c r="AK405">
        <v>6763.31</v>
      </c>
      <c r="AL405" t="s">
        <v>259</v>
      </c>
      <c r="AM405" t="s">
        <v>260</v>
      </c>
      <c r="AN405">
        <v>1400</v>
      </c>
      <c r="AO405">
        <v>0</v>
      </c>
      <c r="AP405">
        <v>35</v>
      </c>
      <c r="AQ405">
        <v>85</v>
      </c>
      <c r="AR405">
        <v>35</v>
      </c>
      <c r="AS405">
        <v>2</v>
      </c>
      <c r="AT405">
        <v>23</v>
      </c>
      <c r="AU405">
        <v>1</v>
      </c>
      <c r="AV405">
        <v>0</v>
      </c>
      <c r="AW405">
        <v>10</v>
      </c>
      <c r="AX405">
        <v>1</v>
      </c>
      <c r="AY405">
        <v>5</v>
      </c>
      <c r="AZ405">
        <v>2</v>
      </c>
      <c r="BA405">
        <v>1</v>
      </c>
      <c r="BB405">
        <v>1440</v>
      </c>
      <c r="BC405">
        <v>0</v>
      </c>
      <c r="BD405">
        <v>0</v>
      </c>
      <c r="BE405">
        <v>14</v>
      </c>
      <c r="BF405">
        <v>25</v>
      </c>
      <c r="BG405">
        <v>3</v>
      </c>
      <c r="BH405">
        <v>8</v>
      </c>
      <c r="BI405">
        <v>3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60</v>
      </c>
      <c r="BR405">
        <v>0</v>
      </c>
      <c r="BS405">
        <v>3</v>
      </c>
      <c r="BT405" t="s">
        <v>246</v>
      </c>
      <c r="BU405" t="s">
        <v>267</v>
      </c>
      <c r="BV405" t="b">
        <v>0</v>
      </c>
      <c r="BW405" t="s">
        <v>268</v>
      </c>
    </row>
    <row r="406" spans="1:75">
      <c r="A406" t="s">
        <v>246</v>
      </c>
      <c r="B406" t="s">
        <v>252</v>
      </c>
      <c r="C406">
        <v>760</v>
      </c>
      <c r="D406" t="s">
        <v>253</v>
      </c>
      <c r="E406" t="s">
        <v>254</v>
      </c>
      <c r="F406">
        <v>5</v>
      </c>
      <c r="G406" s="13">
        <v>46265.813414351855</v>
      </c>
      <c r="H406" s="13">
        <v>46265.815358796295</v>
      </c>
      <c r="I406">
        <v>168</v>
      </c>
      <c r="J406" t="s">
        <v>264</v>
      </c>
      <c r="K406">
        <v>1</v>
      </c>
      <c r="L406">
        <v>0.01</v>
      </c>
      <c r="M406">
        <v>0.01</v>
      </c>
      <c r="N406">
        <v>1</v>
      </c>
      <c r="O406">
        <v>0.01</v>
      </c>
      <c r="P406">
        <v>1.49</v>
      </c>
      <c r="Q406">
        <v>0.91</v>
      </c>
      <c r="R406">
        <v>0.66</v>
      </c>
      <c r="S406" t="s">
        <v>256</v>
      </c>
      <c r="T406" t="s">
        <v>257</v>
      </c>
      <c r="U406">
        <v>10</v>
      </c>
      <c r="V406">
        <v>6907.88</v>
      </c>
      <c r="W406">
        <v>4999.83</v>
      </c>
      <c r="X406">
        <v>4998.51</v>
      </c>
      <c r="Y406">
        <v>0</v>
      </c>
      <c r="Z406">
        <v>0</v>
      </c>
      <c r="AA406">
        <v>35</v>
      </c>
      <c r="AB406">
        <v>50</v>
      </c>
      <c r="AC406">
        <v>5000</v>
      </c>
      <c r="AD406">
        <v>0</v>
      </c>
      <c r="AE406">
        <v>0</v>
      </c>
      <c r="AF406">
        <v>6908.61</v>
      </c>
      <c r="AG406">
        <v>6908.61</v>
      </c>
      <c r="AH406" s="14">
        <v>46265</v>
      </c>
      <c r="AI406" t="s">
        <v>266</v>
      </c>
      <c r="AJ406" s="13">
        <v>46265.054768518516</v>
      </c>
      <c r="AK406">
        <v>6763.31</v>
      </c>
      <c r="AL406" t="s">
        <v>259</v>
      </c>
      <c r="AM406" t="s">
        <v>260</v>
      </c>
      <c r="AN406">
        <v>1400</v>
      </c>
      <c r="AO406">
        <v>0</v>
      </c>
      <c r="AP406">
        <v>35</v>
      </c>
      <c r="AQ406">
        <v>85</v>
      </c>
      <c r="AR406">
        <v>35</v>
      </c>
      <c r="AS406">
        <v>2</v>
      </c>
      <c r="AT406">
        <v>23</v>
      </c>
      <c r="AU406">
        <v>1</v>
      </c>
      <c r="AV406">
        <v>0</v>
      </c>
      <c r="AW406">
        <v>10</v>
      </c>
      <c r="AX406">
        <v>1</v>
      </c>
      <c r="AY406">
        <v>5</v>
      </c>
      <c r="AZ406">
        <v>2</v>
      </c>
      <c r="BA406">
        <v>1</v>
      </c>
      <c r="BB406">
        <v>1440</v>
      </c>
      <c r="BC406">
        <v>0</v>
      </c>
      <c r="BD406">
        <v>0</v>
      </c>
      <c r="BE406">
        <v>14</v>
      </c>
      <c r="BF406">
        <v>25</v>
      </c>
      <c r="BG406">
        <v>3</v>
      </c>
      <c r="BH406">
        <v>8</v>
      </c>
      <c r="BI406">
        <v>3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60</v>
      </c>
      <c r="BR406">
        <v>0</v>
      </c>
      <c r="BS406">
        <v>3</v>
      </c>
      <c r="BT406" t="s">
        <v>246</v>
      </c>
      <c r="BU406" t="s">
        <v>267</v>
      </c>
      <c r="BV406" t="b">
        <v>0</v>
      </c>
      <c r="BW406" t="s">
        <v>268</v>
      </c>
    </row>
    <row r="407" spans="1:75">
      <c r="A407" t="s">
        <v>246</v>
      </c>
      <c r="B407" t="s">
        <v>252</v>
      </c>
      <c r="C407">
        <v>761</v>
      </c>
      <c r="D407" t="s">
        <v>253</v>
      </c>
      <c r="E407" t="s">
        <v>254</v>
      </c>
      <c r="F407">
        <v>5</v>
      </c>
      <c r="G407" s="13">
        <v>46265.817731481482</v>
      </c>
      <c r="H407" s="13">
        <v>46265.818657407406</v>
      </c>
      <c r="I407">
        <v>80</v>
      </c>
      <c r="J407" t="s">
        <v>264</v>
      </c>
      <c r="K407">
        <v>1</v>
      </c>
      <c r="L407">
        <v>0.01</v>
      </c>
      <c r="M407">
        <v>0.01</v>
      </c>
      <c r="N407">
        <v>1</v>
      </c>
      <c r="O407">
        <v>0.01</v>
      </c>
      <c r="P407">
        <v>0.23</v>
      </c>
      <c r="Q407">
        <v>1.1599999999999999</v>
      </c>
      <c r="R407">
        <v>0.82</v>
      </c>
      <c r="S407" t="s">
        <v>256</v>
      </c>
      <c r="T407" t="s">
        <v>257</v>
      </c>
      <c r="U407">
        <v>11</v>
      </c>
      <c r="V407">
        <v>6908.44</v>
      </c>
      <c r="W407">
        <v>4999.83</v>
      </c>
      <c r="X407">
        <v>4999.7700000000004</v>
      </c>
      <c r="Y407">
        <v>0</v>
      </c>
      <c r="Z407">
        <v>0</v>
      </c>
      <c r="AA407">
        <v>35</v>
      </c>
      <c r="AB407">
        <v>50</v>
      </c>
      <c r="AC407">
        <v>5000</v>
      </c>
      <c r="AD407">
        <v>0</v>
      </c>
      <c r="AE407">
        <v>0</v>
      </c>
      <c r="AF407">
        <v>6909.41</v>
      </c>
      <c r="AG407">
        <v>6909.41</v>
      </c>
      <c r="AH407" s="14">
        <v>46265</v>
      </c>
      <c r="AI407" t="s">
        <v>266</v>
      </c>
      <c r="AJ407" s="13">
        <v>46265.054768518516</v>
      </c>
      <c r="AK407">
        <v>6763.31</v>
      </c>
      <c r="AL407" t="s">
        <v>259</v>
      </c>
      <c r="AM407" t="s">
        <v>260</v>
      </c>
      <c r="AN407">
        <v>1400</v>
      </c>
      <c r="AO407">
        <v>0</v>
      </c>
      <c r="AP407">
        <v>35</v>
      </c>
      <c r="AQ407">
        <v>85</v>
      </c>
      <c r="AR407">
        <v>35</v>
      </c>
      <c r="AS407">
        <v>2</v>
      </c>
      <c r="AT407">
        <v>23</v>
      </c>
      <c r="AU407">
        <v>1</v>
      </c>
      <c r="AV407">
        <v>0</v>
      </c>
      <c r="AW407">
        <v>10</v>
      </c>
      <c r="AX407">
        <v>1</v>
      </c>
      <c r="AY407">
        <v>5</v>
      </c>
      <c r="AZ407">
        <v>2</v>
      </c>
      <c r="BA407">
        <v>1</v>
      </c>
      <c r="BB407">
        <v>1440</v>
      </c>
      <c r="BC407">
        <v>0</v>
      </c>
      <c r="BD407">
        <v>0</v>
      </c>
      <c r="BE407">
        <v>14</v>
      </c>
      <c r="BF407">
        <v>25</v>
      </c>
      <c r="BG407">
        <v>3</v>
      </c>
      <c r="BH407">
        <v>8</v>
      </c>
      <c r="BI407">
        <v>3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0</v>
      </c>
      <c r="BQ407">
        <v>60</v>
      </c>
      <c r="BR407">
        <v>0</v>
      </c>
      <c r="BS407">
        <v>3</v>
      </c>
      <c r="BT407" t="s">
        <v>246</v>
      </c>
      <c r="BU407" t="s">
        <v>267</v>
      </c>
      <c r="BV407" t="b">
        <v>0</v>
      </c>
      <c r="BW407" t="s">
        <v>268</v>
      </c>
    </row>
    <row r="408" spans="1:75">
      <c r="A408" t="s">
        <v>246</v>
      </c>
      <c r="B408" t="s">
        <v>252</v>
      </c>
      <c r="C408">
        <v>762</v>
      </c>
      <c r="D408" t="s">
        <v>253</v>
      </c>
      <c r="E408" t="s">
        <v>254</v>
      </c>
      <c r="F408">
        <v>5</v>
      </c>
      <c r="G408" s="13">
        <v>46265.820370370369</v>
      </c>
      <c r="H408" s="13">
        <v>46265.820891203701</v>
      </c>
      <c r="I408">
        <v>45</v>
      </c>
      <c r="J408" t="s">
        <v>255</v>
      </c>
      <c r="K408">
        <v>1</v>
      </c>
      <c r="L408">
        <v>0.01</v>
      </c>
      <c r="M408">
        <v>0.01</v>
      </c>
      <c r="N408">
        <v>1</v>
      </c>
      <c r="O408">
        <v>0.01</v>
      </c>
      <c r="P408">
        <v>0.16</v>
      </c>
      <c r="Q408">
        <v>2.42</v>
      </c>
      <c r="R408">
        <v>2.42</v>
      </c>
      <c r="S408" t="s">
        <v>256</v>
      </c>
      <c r="T408" t="s">
        <v>257</v>
      </c>
      <c r="U408">
        <v>10</v>
      </c>
      <c r="V408">
        <v>6909.25</v>
      </c>
      <c r="W408">
        <v>4999.84</v>
      </c>
      <c r="X408">
        <v>4999.84</v>
      </c>
      <c r="Y408">
        <v>0</v>
      </c>
      <c r="Z408">
        <v>0</v>
      </c>
      <c r="AA408">
        <v>35</v>
      </c>
      <c r="AB408">
        <v>50</v>
      </c>
      <c r="AC408">
        <v>5000</v>
      </c>
      <c r="AD408">
        <v>0</v>
      </c>
      <c r="AE408">
        <v>0</v>
      </c>
      <c r="AF408">
        <v>6911.48</v>
      </c>
      <c r="AG408">
        <v>6911.48</v>
      </c>
      <c r="AH408" s="14">
        <v>46265</v>
      </c>
      <c r="AI408" t="s">
        <v>266</v>
      </c>
      <c r="AJ408" s="13">
        <v>46265.054768518516</v>
      </c>
      <c r="AK408">
        <v>6763.31</v>
      </c>
      <c r="AL408" t="s">
        <v>259</v>
      </c>
      <c r="AM408" t="s">
        <v>260</v>
      </c>
      <c r="AN408">
        <v>1400</v>
      </c>
      <c r="AO408">
        <v>0</v>
      </c>
      <c r="AP408">
        <v>35</v>
      </c>
      <c r="AQ408">
        <v>85</v>
      </c>
      <c r="AR408">
        <v>35</v>
      </c>
      <c r="AS408">
        <v>2</v>
      </c>
      <c r="AT408">
        <v>23</v>
      </c>
      <c r="AU408">
        <v>1</v>
      </c>
      <c r="AV408">
        <v>0</v>
      </c>
      <c r="AW408">
        <v>10</v>
      </c>
      <c r="AX408">
        <v>1</v>
      </c>
      <c r="AY408">
        <v>5</v>
      </c>
      <c r="AZ408">
        <v>2</v>
      </c>
      <c r="BA408">
        <v>1</v>
      </c>
      <c r="BB408">
        <v>1440</v>
      </c>
      <c r="BC408">
        <v>0</v>
      </c>
      <c r="BD408">
        <v>0</v>
      </c>
      <c r="BE408">
        <v>14</v>
      </c>
      <c r="BF408">
        <v>25</v>
      </c>
      <c r="BG408">
        <v>3</v>
      </c>
      <c r="BH408">
        <v>8</v>
      </c>
      <c r="BI408">
        <v>3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0</v>
      </c>
      <c r="BQ408">
        <v>60</v>
      </c>
      <c r="BR408">
        <v>0</v>
      </c>
      <c r="BS408">
        <v>3</v>
      </c>
      <c r="BT408" t="s">
        <v>246</v>
      </c>
      <c r="BU408" t="s">
        <v>267</v>
      </c>
      <c r="BV408" t="b">
        <v>0</v>
      </c>
      <c r="BW408" t="s">
        <v>268</v>
      </c>
    </row>
    <row r="409" spans="1:75">
      <c r="A409" t="s">
        <v>246</v>
      </c>
      <c r="B409" t="s">
        <v>252</v>
      </c>
      <c r="C409">
        <v>763</v>
      </c>
      <c r="D409" t="s">
        <v>253</v>
      </c>
      <c r="E409" t="s">
        <v>254</v>
      </c>
      <c r="F409">
        <v>5</v>
      </c>
      <c r="G409" s="13">
        <v>46265.824166666665</v>
      </c>
      <c r="H409" s="13">
        <v>46265.840219907404</v>
      </c>
      <c r="I409">
        <v>1387</v>
      </c>
      <c r="J409" t="s">
        <v>264</v>
      </c>
      <c r="K409">
        <v>2</v>
      </c>
      <c r="L409">
        <v>0.02</v>
      </c>
      <c r="M409">
        <v>0.01</v>
      </c>
      <c r="N409">
        <v>2</v>
      </c>
      <c r="O409">
        <v>0.02</v>
      </c>
      <c r="P409">
        <v>4.34</v>
      </c>
      <c r="Q409">
        <v>5.35</v>
      </c>
      <c r="R409">
        <v>3.31</v>
      </c>
      <c r="S409" t="s">
        <v>263</v>
      </c>
      <c r="T409" t="s">
        <v>257</v>
      </c>
      <c r="U409">
        <v>10</v>
      </c>
      <c r="V409">
        <v>6911.32</v>
      </c>
      <c r="W409">
        <v>4999.84</v>
      </c>
      <c r="X409">
        <v>4995.66</v>
      </c>
      <c r="Y409">
        <v>0</v>
      </c>
      <c r="Z409">
        <v>0</v>
      </c>
      <c r="AA409">
        <v>35</v>
      </c>
      <c r="AB409">
        <v>50</v>
      </c>
      <c r="AC409">
        <v>5000</v>
      </c>
      <c r="AD409">
        <v>0</v>
      </c>
      <c r="AE409">
        <v>0</v>
      </c>
      <c r="AF409">
        <v>6914.8</v>
      </c>
      <c r="AG409">
        <v>6914.8</v>
      </c>
      <c r="AH409" s="14">
        <v>46265</v>
      </c>
      <c r="AI409" t="s">
        <v>266</v>
      </c>
      <c r="AJ409" s="13">
        <v>46265.054768518516</v>
      </c>
      <c r="AK409">
        <v>6763.31</v>
      </c>
      <c r="AL409" t="s">
        <v>259</v>
      </c>
      <c r="AM409" t="s">
        <v>260</v>
      </c>
      <c r="AN409">
        <v>1400</v>
      </c>
      <c r="AO409">
        <v>0</v>
      </c>
      <c r="AP409">
        <v>35</v>
      </c>
      <c r="AQ409">
        <v>85</v>
      </c>
      <c r="AR409">
        <v>35</v>
      </c>
      <c r="AS409">
        <v>2</v>
      </c>
      <c r="AT409">
        <v>23</v>
      </c>
      <c r="AU409">
        <v>1</v>
      </c>
      <c r="AV409">
        <v>0</v>
      </c>
      <c r="AW409">
        <v>10</v>
      </c>
      <c r="AX409">
        <v>1</v>
      </c>
      <c r="AY409">
        <v>5</v>
      </c>
      <c r="AZ409">
        <v>2</v>
      </c>
      <c r="BA409">
        <v>1</v>
      </c>
      <c r="BB409">
        <v>1440</v>
      </c>
      <c r="BC409">
        <v>0</v>
      </c>
      <c r="BD409">
        <v>0</v>
      </c>
      <c r="BE409">
        <v>14</v>
      </c>
      <c r="BF409">
        <v>25</v>
      </c>
      <c r="BG409">
        <v>3</v>
      </c>
      <c r="BH409">
        <v>8</v>
      </c>
      <c r="BI409">
        <v>3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0</v>
      </c>
      <c r="BQ409">
        <v>60</v>
      </c>
      <c r="BR409">
        <v>0</v>
      </c>
      <c r="BS409">
        <v>3</v>
      </c>
      <c r="BT409" t="s">
        <v>246</v>
      </c>
      <c r="BU409" t="s">
        <v>267</v>
      </c>
      <c r="BV409" t="b">
        <v>0</v>
      </c>
      <c r="BW409" t="s">
        <v>268</v>
      </c>
    </row>
    <row r="410" spans="1:75">
      <c r="A410" t="s">
        <v>246</v>
      </c>
      <c r="B410" t="s">
        <v>252</v>
      </c>
      <c r="C410">
        <v>764</v>
      </c>
      <c r="D410" t="s">
        <v>253</v>
      </c>
      <c r="E410" t="s">
        <v>254</v>
      </c>
      <c r="F410">
        <v>5</v>
      </c>
      <c r="G410" s="13">
        <v>46265.842592592591</v>
      </c>
      <c r="H410" s="13">
        <v>46265.863287037035</v>
      </c>
      <c r="I410">
        <v>1788</v>
      </c>
      <c r="J410" t="s">
        <v>255</v>
      </c>
      <c r="K410">
        <v>3</v>
      </c>
      <c r="L410">
        <v>0.03</v>
      </c>
      <c r="M410">
        <v>0.01</v>
      </c>
      <c r="N410">
        <v>3</v>
      </c>
      <c r="O410">
        <v>0.03</v>
      </c>
      <c r="P410">
        <v>8.65</v>
      </c>
      <c r="Q410">
        <v>5.6</v>
      </c>
      <c r="R410">
        <v>3.5</v>
      </c>
      <c r="S410" t="s">
        <v>263</v>
      </c>
      <c r="T410" t="s">
        <v>257</v>
      </c>
      <c r="U410">
        <v>11</v>
      </c>
      <c r="V410">
        <v>6914.64</v>
      </c>
      <c r="W410">
        <v>4999.84</v>
      </c>
      <c r="X410">
        <v>4991.3500000000004</v>
      </c>
      <c r="Y410">
        <v>0</v>
      </c>
      <c r="Z410">
        <v>0</v>
      </c>
      <c r="AA410">
        <v>35</v>
      </c>
      <c r="AB410">
        <v>50</v>
      </c>
      <c r="AC410">
        <v>5000</v>
      </c>
      <c r="AD410">
        <v>0</v>
      </c>
      <c r="AE410">
        <v>0</v>
      </c>
      <c r="AF410">
        <v>6919.32</v>
      </c>
      <c r="AG410">
        <v>6919.32</v>
      </c>
      <c r="AH410" s="14">
        <v>46265</v>
      </c>
      <c r="AI410" t="s">
        <v>266</v>
      </c>
      <c r="AJ410" s="13">
        <v>46265.054768518516</v>
      </c>
      <c r="AK410">
        <v>6763.31</v>
      </c>
      <c r="AL410" t="s">
        <v>259</v>
      </c>
      <c r="AM410" t="s">
        <v>260</v>
      </c>
      <c r="AN410">
        <v>1400</v>
      </c>
      <c r="AO410">
        <v>0</v>
      </c>
      <c r="AP410">
        <v>35</v>
      </c>
      <c r="AQ410">
        <v>85</v>
      </c>
      <c r="AR410">
        <v>35</v>
      </c>
      <c r="AS410">
        <v>2</v>
      </c>
      <c r="AT410">
        <v>23</v>
      </c>
      <c r="AU410">
        <v>1</v>
      </c>
      <c r="AV410">
        <v>0</v>
      </c>
      <c r="AW410">
        <v>10</v>
      </c>
      <c r="AX410">
        <v>1</v>
      </c>
      <c r="AY410">
        <v>5</v>
      </c>
      <c r="AZ410">
        <v>2</v>
      </c>
      <c r="BA410">
        <v>1</v>
      </c>
      <c r="BB410">
        <v>1440</v>
      </c>
      <c r="BC410">
        <v>0</v>
      </c>
      <c r="BD410">
        <v>0</v>
      </c>
      <c r="BE410">
        <v>14</v>
      </c>
      <c r="BF410">
        <v>25</v>
      </c>
      <c r="BG410">
        <v>3</v>
      </c>
      <c r="BH410">
        <v>8</v>
      </c>
      <c r="BI410">
        <v>3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0</v>
      </c>
      <c r="BQ410">
        <v>60</v>
      </c>
      <c r="BR410">
        <v>0</v>
      </c>
      <c r="BS410">
        <v>3</v>
      </c>
      <c r="BT410" t="s">
        <v>246</v>
      </c>
      <c r="BU410" t="s">
        <v>267</v>
      </c>
      <c r="BV410" t="b">
        <v>0</v>
      </c>
      <c r="BW410" t="s">
        <v>268</v>
      </c>
    </row>
    <row r="411" spans="1:75">
      <c r="A411" t="s">
        <v>246</v>
      </c>
      <c r="B411" t="s">
        <v>252</v>
      </c>
      <c r="C411">
        <v>765</v>
      </c>
      <c r="D411" t="s">
        <v>253</v>
      </c>
      <c r="E411" t="s">
        <v>254</v>
      </c>
      <c r="F411">
        <v>5</v>
      </c>
      <c r="G411" s="13">
        <v>46265.863819444443</v>
      </c>
      <c r="H411" s="13">
        <v>46265.864930555559</v>
      </c>
      <c r="I411">
        <v>96</v>
      </c>
      <c r="J411" t="s">
        <v>255</v>
      </c>
      <c r="K411">
        <v>1</v>
      </c>
      <c r="L411">
        <v>0.01</v>
      </c>
      <c r="M411">
        <v>0.01</v>
      </c>
      <c r="N411">
        <v>1</v>
      </c>
      <c r="O411">
        <v>0.01</v>
      </c>
      <c r="P411">
        <v>0.53</v>
      </c>
      <c r="Q411">
        <v>0.93</v>
      </c>
      <c r="R411">
        <v>0.6</v>
      </c>
      <c r="S411" t="s">
        <v>256</v>
      </c>
      <c r="T411" t="s">
        <v>257</v>
      </c>
      <c r="U411">
        <v>11</v>
      </c>
      <c r="V411">
        <v>6919.15</v>
      </c>
      <c r="W411">
        <v>4999.83</v>
      </c>
      <c r="X411">
        <v>4999.47</v>
      </c>
      <c r="Y411">
        <v>0</v>
      </c>
      <c r="Z411">
        <v>0</v>
      </c>
      <c r="AA411">
        <v>35</v>
      </c>
      <c r="AB411">
        <v>50</v>
      </c>
      <c r="AC411">
        <v>5000</v>
      </c>
      <c r="AD411">
        <v>0</v>
      </c>
      <c r="AE411">
        <v>0</v>
      </c>
      <c r="AF411">
        <v>6919.89</v>
      </c>
      <c r="AG411">
        <v>6919.89</v>
      </c>
      <c r="AH411" s="14">
        <v>46265</v>
      </c>
      <c r="AI411" t="s">
        <v>266</v>
      </c>
      <c r="AJ411" s="13">
        <v>46265.054768518516</v>
      </c>
      <c r="AK411">
        <v>6763.31</v>
      </c>
      <c r="AL411" t="s">
        <v>259</v>
      </c>
      <c r="AM411" t="s">
        <v>260</v>
      </c>
      <c r="AN411">
        <v>1400</v>
      </c>
      <c r="AO411">
        <v>0</v>
      </c>
      <c r="AP411">
        <v>35</v>
      </c>
      <c r="AQ411">
        <v>85</v>
      </c>
      <c r="AR411">
        <v>35</v>
      </c>
      <c r="AS411">
        <v>2</v>
      </c>
      <c r="AT411">
        <v>23</v>
      </c>
      <c r="AU411">
        <v>1</v>
      </c>
      <c r="AV411">
        <v>0</v>
      </c>
      <c r="AW411">
        <v>10</v>
      </c>
      <c r="AX411">
        <v>1</v>
      </c>
      <c r="AY411">
        <v>5</v>
      </c>
      <c r="AZ411">
        <v>2</v>
      </c>
      <c r="BA411">
        <v>1</v>
      </c>
      <c r="BB411">
        <v>1440</v>
      </c>
      <c r="BC411">
        <v>0</v>
      </c>
      <c r="BD411">
        <v>0</v>
      </c>
      <c r="BE411">
        <v>14</v>
      </c>
      <c r="BF411">
        <v>25</v>
      </c>
      <c r="BG411">
        <v>3</v>
      </c>
      <c r="BH411">
        <v>8</v>
      </c>
      <c r="BI411">
        <v>3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0</v>
      </c>
      <c r="BQ411">
        <v>60</v>
      </c>
      <c r="BR411">
        <v>0</v>
      </c>
      <c r="BS411">
        <v>3</v>
      </c>
      <c r="BT411" t="s">
        <v>246</v>
      </c>
      <c r="BU411" t="s">
        <v>267</v>
      </c>
      <c r="BV411" t="b">
        <v>0</v>
      </c>
      <c r="BW411" t="s">
        <v>268</v>
      </c>
    </row>
    <row r="412" spans="1:75">
      <c r="A412" t="s">
        <v>246</v>
      </c>
      <c r="B412" t="s">
        <v>252</v>
      </c>
      <c r="C412">
        <v>766</v>
      </c>
      <c r="D412" t="s">
        <v>253</v>
      </c>
      <c r="E412" t="s">
        <v>254</v>
      </c>
      <c r="F412">
        <v>5</v>
      </c>
      <c r="G412" s="13">
        <v>46265.866840277777</v>
      </c>
      <c r="H412" s="13">
        <v>46265.933148148149</v>
      </c>
      <c r="I412">
        <v>5729</v>
      </c>
      <c r="J412" t="s">
        <v>255</v>
      </c>
      <c r="K412">
        <v>4</v>
      </c>
      <c r="L412">
        <v>0.04</v>
      </c>
      <c r="M412">
        <v>0.01</v>
      </c>
      <c r="N412">
        <v>4</v>
      </c>
      <c r="O412">
        <v>0.04</v>
      </c>
      <c r="P412">
        <v>13.58</v>
      </c>
      <c r="Q412">
        <v>6.72</v>
      </c>
      <c r="R412">
        <v>4.68</v>
      </c>
      <c r="S412" t="s">
        <v>263</v>
      </c>
      <c r="T412" t="s">
        <v>257</v>
      </c>
      <c r="U412">
        <v>10</v>
      </c>
      <c r="V412">
        <v>6919.73</v>
      </c>
      <c r="W412">
        <v>4999.84</v>
      </c>
      <c r="X412">
        <v>4986.42</v>
      </c>
      <c r="Y412">
        <v>0</v>
      </c>
      <c r="Z412">
        <v>0</v>
      </c>
      <c r="AA412">
        <v>35</v>
      </c>
      <c r="AB412">
        <v>50</v>
      </c>
      <c r="AC412">
        <v>5000</v>
      </c>
      <c r="AD412">
        <v>0</v>
      </c>
      <c r="AE412">
        <v>0</v>
      </c>
      <c r="AF412">
        <v>6924.82</v>
      </c>
      <c r="AG412">
        <v>6924.82</v>
      </c>
      <c r="AH412" s="14">
        <v>46265</v>
      </c>
      <c r="AI412" t="s">
        <v>266</v>
      </c>
      <c r="AJ412" s="13">
        <v>46265.054768518516</v>
      </c>
      <c r="AK412">
        <v>6763.31</v>
      </c>
      <c r="AL412" t="s">
        <v>259</v>
      </c>
      <c r="AM412" t="s">
        <v>260</v>
      </c>
      <c r="AN412">
        <v>1400</v>
      </c>
      <c r="AO412">
        <v>0</v>
      </c>
      <c r="AP412">
        <v>35</v>
      </c>
      <c r="AQ412">
        <v>85</v>
      </c>
      <c r="AR412">
        <v>35</v>
      </c>
      <c r="AS412">
        <v>2</v>
      </c>
      <c r="AT412">
        <v>23</v>
      </c>
      <c r="AU412">
        <v>1</v>
      </c>
      <c r="AV412">
        <v>0</v>
      </c>
      <c r="AW412">
        <v>10</v>
      </c>
      <c r="AX412">
        <v>1</v>
      </c>
      <c r="AY412">
        <v>5</v>
      </c>
      <c r="AZ412">
        <v>2</v>
      </c>
      <c r="BA412">
        <v>1</v>
      </c>
      <c r="BB412">
        <v>1440</v>
      </c>
      <c r="BC412">
        <v>0</v>
      </c>
      <c r="BD412">
        <v>0</v>
      </c>
      <c r="BE412">
        <v>14</v>
      </c>
      <c r="BF412">
        <v>25</v>
      </c>
      <c r="BG412">
        <v>3</v>
      </c>
      <c r="BH412">
        <v>8</v>
      </c>
      <c r="BI412">
        <v>3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0</v>
      </c>
      <c r="BQ412">
        <v>60</v>
      </c>
      <c r="BR412">
        <v>0</v>
      </c>
      <c r="BS412">
        <v>3</v>
      </c>
      <c r="BT412" t="s">
        <v>246</v>
      </c>
      <c r="BU412" t="s">
        <v>267</v>
      </c>
      <c r="BV412" t="b">
        <v>0</v>
      </c>
      <c r="BW412" t="s">
        <v>268</v>
      </c>
    </row>
    <row r="413" spans="1:75">
      <c r="A413" t="s">
        <v>246</v>
      </c>
      <c r="B413" t="s">
        <v>252</v>
      </c>
      <c r="C413">
        <v>767</v>
      </c>
      <c r="D413" t="s">
        <v>253</v>
      </c>
      <c r="E413" t="s">
        <v>254</v>
      </c>
      <c r="F413">
        <v>5</v>
      </c>
      <c r="G413" s="13">
        <v>46265.935266203705</v>
      </c>
      <c r="H413" s="13">
        <v>46266.166967592595</v>
      </c>
      <c r="I413">
        <v>20019</v>
      </c>
      <c r="J413" t="s">
        <v>264</v>
      </c>
      <c r="K413">
        <v>12</v>
      </c>
      <c r="L413">
        <v>0.12</v>
      </c>
      <c r="M413">
        <v>0.01</v>
      </c>
      <c r="N413">
        <v>12</v>
      </c>
      <c r="O413">
        <v>0.12</v>
      </c>
      <c r="P413">
        <v>101.7</v>
      </c>
      <c r="Q413">
        <v>5.03</v>
      </c>
      <c r="R413">
        <v>0.81</v>
      </c>
      <c r="S413" t="s">
        <v>263</v>
      </c>
      <c r="T413" t="s">
        <v>257</v>
      </c>
      <c r="U413">
        <v>10</v>
      </c>
      <c r="V413">
        <v>6924.66</v>
      </c>
      <c r="W413">
        <v>4999.84</v>
      </c>
      <c r="X413">
        <v>4898.3</v>
      </c>
      <c r="Y413">
        <v>0</v>
      </c>
      <c r="Z413">
        <v>0</v>
      </c>
      <c r="AA413">
        <v>35</v>
      </c>
      <c r="AB413">
        <v>50</v>
      </c>
      <c r="AC413">
        <v>5000</v>
      </c>
      <c r="AD413">
        <v>0</v>
      </c>
      <c r="AE413">
        <v>0</v>
      </c>
      <c r="AF413">
        <v>6932.31</v>
      </c>
      <c r="AG413">
        <v>6932.31</v>
      </c>
      <c r="AH413" s="14">
        <v>46265</v>
      </c>
      <c r="AI413" t="s">
        <v>266</v>
      </c>
      <c r="AJ413" s="13">
        <v>46265.054768518516</v>
      </c>
      <c r="AK413">
        <v>6763.31</v>
      </c>
      <c r="AL413" t="s">
        <v>259</v>
      </c>
      <c r="AM413" t="s">
        <v>260</v>
      </c>
      <c r="AN413">
        <v>1400</v>
      </c>
      <c r="AO413">
        <v>0</v>
      </c>
      <c r="AP413">
        <v>35</v>
      </c>
      <c r="AQ413">
        <v>85</v>
      </c>
      <c r="AR413">
        <v>35</v>
      </c>
      <c r="AS413">
        <v>2</v>
      </c>
      <c r="AT413">
        <v>23</v>
      </c>
      <c r="AU413">
        <v>1</v>
      </c>
      <c r="AV413">
        <v>0</v>
      </c>
      <c r="AW413">
        <v>10</v>
      </c>
      <c r="AX413">
        <v>1</v>
      </c>
      <c r="AY413">
        <v>5</v>
      </c>
      <c r="AZ413">
        <v>2</v>
      </c>
      <c r="BA413">
        <v>1</v>
      </c>
      <c r="BB413">
        <v>1440</v>
      </c>
      <c r="BC413">
        <v>0</v>
      </c>
      <c r="BD413">
        <v>0</v>
      </c>
      <c r="BE413">
        <v>14</v>
      </c>
      <c r="BF413">
        <v>25</v>
      </c>
      <c r="BG413">
        <v>3</v>
      </c>
      <c r="BH413">
        <v>8</v>
      </c>
      <c r="BI413">
        <v>3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0</v>
      </c>
      <c r="BQ413">
        <v>60</v>
      </c>
      <c r="BR413">
        <v>0</v>
      </c>
      <c r="BS413">
        <v>3</v>
      </c>
      <c r="BT413" t="s">
        <v>246</v>
      </c>
      <c r="BU413" t="s">
        <v>267</v>
      </c>
      <c r="BV413" t="b">
        <v>0</v>
      </c>
      <c r="BW413" t="s">
        <v>268</v>
      </c>
    </row>
    <row r="414" spans="1:75">
      <c r="A414" t="s">
        <v>246</v>
      </c>
      <c r="B414" t="s">
        <v>252</v>
      </c>
      <c r="C414">
        <v>768</v>
      </c>
      <c r="D414" t="s">
        <v>253</v>
      </c>
      <c r="E414" t="s">
        <v>254</v>
      </c>
      <c r="F414">
        <v>5</v>
      </c>
      <c r="G414" s="13">
        <v>46266.171296296299</v>
      </c>
      <c r="H414" s="13">
        <v>46266.174270833333</v>
      </c>
      <c r="I414">
        <v>257</v>
      </c>
      <c r="J414" t="s">
        <v>264</v>
      </c>
      <c r="K414">
        <v>1</v>
      </c>
      <c r="L414">
        <v>0.01</v>
      </c>
      <c r="M414">
        <v>0.01</v>
      </c>
      <c r="N414">
        <v>1</v>
      </c>
      <c r="O414">
        <v>0.01</v>
      </c>
      <c r="P414">
        <v>2.88</v>
      </c>
      <c r="Q414">
        <v>1.43</v>
      </c>
      <c r="R414">
        <v>1.22</v>
      </c>
      <c r="S414" t="s">
        <v>256</v>
      </c>
      <c r="T414" t="s">
        <v>257</v>
      </c>
      <c r="U414">
        <v>15</v>
      </c>
      <c r="V414">
        <v>6932.11</v>
      </c>
      <c r="W414">
        <v>4999.8</v>
      </c>
      <c r="X414">
        <v>4997.12</v>
      </c>
      <c r="Y414">
        <v>0</v>
      </c>
      <c r="Z414">
        <v>0</v>
      </c>
      <c r="AA414">
        <v>35</v>
      </c>
      <c r="AB414">
        <v>50</v>
      </c>
      <c r="AC414">
        <v>5000</v>
      </c>
      <c r="AD414">
        <v>0</v>
      </c>
      <c r="AE414">
        <v>0</v>
      </c>
      <c r="AF414">
        <v>6933.39</v>
      </c>
      <c r="AG414">
        <v>6933.39</v>
      </c>
      <c r="AH414" s="14">
        <v>46266</v>
      </c>
      <c r="AI414" t="s">
        <v>266</v>
      </c>
      <c r="AJ414" s="13">
        <v>46265.054768518516</v>
      </c>
      <c r="AK414">
        <v>6763.31</v>
      </c>
      <c r="AL414" t="s">
        <v>259</v>
      </c>
      <c r="AM414" t="s">
        <v>260</v>
      </c>
      <c r="AN414">
        <v>1400</v>
      </c>
      <c r="AO414">
        <v>0</v>
      </c>
      <c r="AP414">
        <v>35</v>
      </c>
      <c r="AQ414">
        <v>85</v>
      </c>
      <c r="AR414">
        <v>35</v>
      </c>
      <c r="AS414">
        <v>2</v>
      </c>
      <c r="AT414">
        <v>23</v>
      </c>
      <c r="AU414">
        <v>1</v>
      </c>
      <c r="AV414">
        <v>0</v>
      </c>
      <c r="AW414">
        <v>10</v>
      </c>
      <c r="AX414">
        <v>1</v>
      </c>
      <c r="AY414">
        <v>5</v>
      </c>
      <c r="AZ414">
        <v>2</v>
      </c>
      <c r="BA414">
        <v>1</v>
      </c>
      <c r="BB414">
        <v>1440</v>
      </c>
      <c r="BC414">
        <v>0</v>
      </c>
      <c r="BD414">
        <v>0</v>
      </c>
      <c r="BE414">
        <v>14</v>
      </c>
      <c r="BF414">
        <v>25</v>
      </c>
      <c r="BG414">
        <v>3</v>
      </c>
      <c r="BH414">
        <v>8</v>
      </c>
      <c r="BI414">
        <v>3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0</v>
      </c>
      <c r="BQ414">
        <v>60</v>
      </c>
      <c r="BR414">
        <v>0</v>
      </c>
      <c r="BS414">
        <v>3</v>
      </c>
      <c r="BT414" t="s">
        <v>246</v>
      </c>
      <c r="BU414" t="s">
        <v>267</v>
      </c>
      <c r="BV414" t="b">
        <v>0</v>
      </c>
      <c r="BW414" t="s">
        <v>268</v>
      </c>
    </row>
    <row r="415" spans="1:75">
      <c r="A415" t="s">
        <v>246</v>
      </c>
      <c r="B415" t="s">
        <v>252</v>
      </c>
      <c r="C415">
        <v>769</v>
      </c>
      <c r="D415" t="s">
        <v>253</v>
      </c>
      <c r="E415" t="s">
        <v>254</v>
      </c>
      <c r="F415">
        <v>5</v>
      </c>
      <c r="G415" s="13">
        <v>46266.175879629627</v>
      </c>
      <c r="H415" s="13">
        <v>46266.199675925927</v>
      </c>
      <c r="I415">
        <v>2056</v>
      </c>
      <c r="J415" t="s">
        <v>255</v>
      </c>
      <c r="K415">
        <v>5</v>
      </c>
      <c r="L415">
        <v>0.05</v>
      </c>
      <c r="M415">
        <v>0.01</v>
      </c>
      <c r="N415">
        <v>5</v>
      </c>
      <c r="O415">
        <v>0.05</v>
      </c>
      <c r="P415">
        <v>24.05</v>
      </c>
      <c r="Q415">
        <v>6.06</v>
      </c>
      <c r="R415">
        <v>3.96</v>
      </c>
      <c r="S415" t="s">
        <v>263</v>
      </c>
      <c r="T415" t="s">
        <v>257</v>
      </c>
      <c r="U415">
        <v>10</v>
      </c>
      <c r="V415">
        <v>6933.22</v>
      </c>
      <c r="W415">
        <v>4999.83</v>
      </c>
      <c r="X415">
        <v>4975.95</v>
      </c>
      <c r="Y415">
        <v>0</v>
      </c>
      <c r="Z415">
        <v>0</v>
      </c>
      <c r="AA415">
        <v>35</v>
      </c>
      <c r="AB415">
        <v>50</v>
      </c>
      <c r="AC415">
        <v>5000</v>
      </c>
      <c r="AD415">
        <v>0</v>
      </c>
      <c r="AE415">
        <v>0</v>
      </c>
      <c r="AF415">
        <v>6937.34</v>
      </c>
      <c r="AG415">
        <v>6937.34</v>
      </c>
      <c r="AH415" s="14">
        <v>46266</v>
      </c>
      <c r="AI415" t="s">
        <v>266</v>
      </c>
      <c r="AJ415" s="13">
        <v>46265.054768518516</v>
      </c>
      <c r="AK415">
        <v>6763.31</v>
      </c>
      <c r="AL415" t="s">
        <v>259</v>
      </c>
      <c r="AM415" t="s">
        <v>260</v>
      </c>
      <c r="AN415">
        <v>1400</v>
      </c>
      <c r="AO415">
        <v>0</v>
      </c>
      <c r="AP415">
        <v>35</v>
      </c>
      <c r="AQ415">
        <v>85</v>
      </c>
      <c r="AR415">
        <v>35</v>
      </c>
      <c r="AS415">
        <v>2</v>
      </c>
      <c r="AT415">
        <v>23</v>
      </c>
      <c r="AU415">
        <v>1</v>
      </c>
      <c r="AV415">
        <v>0</v>
      </c>
      <c r="AW415">
        <v>10</v>
      </c>
      <c r="AX415">
        <v>1</v>
      </c>
      <c r="AY415">
        <v>5</v>
      </c>
      <c r="AZ415">
        <v>2</v>
      </c>
      <c r="BA415">
        <v>1</v>
      </c>
      <c r="BB415">
        <v>1440</v>
      </c>
      <c r="BC415">
        <v>0</v>
      </c>
      <c r="BD415">
        <v>0</v>
      </c>
      <c r="BE415">
        <v>14</v>
      </c>
      <c r="BF415">
        <v>25</v>
      </c>
      <c r="BG415">
        <v>3</v>
      </c>
      <c r="BH415">
        <v>8</v>
      </c>
      <c r="BI415">
        <v>3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0</v>
      </c>
      <c r="BQ415">
        <v>60</v>
      </c>
      <c r="BR415">
        <v>0</v>
      </c>
      <c r="BS415">
        <v>3</v>
      </c>
      <c r="BT415" t="s">
        <v>246</v>
      </c>
      <c r="BU415" t="s">
        <v>267</v>
      </c>
      <c r="BV415" t="b">
        <v>0</v>
      </c>
      <c r="BW415" t="s">
        <v>268</v>
      </c>
    </row>
    <row r="416" spans="1:75">
      <c r="A416" t="s">
        <v>246</v>
      </c>
      <c r="B416" t="s">
        <v>252</v>
      </c>
      <c r="C416">
        <v>770</v>
      </c>
      <c r="D416" t="s">
        <v>253</v>
      </c>
      <c r="E416" t="s">
        <v>254</v>
      </c>
      <c r="F416">
        <v>5</v>
      </c>
      <c r="G416" s="13">
        <v>46266.201018518521</v>
      </c>
      <c r="H416" s="13">
        <v>46266.20107638889</v>
      </c>
      <c r="I416">
        <v>5</v>
      </c>
      <c r="J416" t="s">
        <v>264</v>
      </c>
      <c r="K416">
        <v>1</v>
      </c>
      <c r="L416">
        <v>0.01</v>
      </c>
      <c r="M416">
        <v>0.01</v>
      </c>
      <c r="N416">
        <v>1</v>
      </c>
      <c r="O416">
        <v>0.01</v>
      </c>
      <c r="P416">
        <v>0.23</v>
      </c>
      <c r="Q416">
        <v>0.8</v>
      </c>
      <c r="R416">
        <v>0.46</v>
      </c>
      <c r="S416" t="s">
        <v>256</v>
      </c>
      <c r="T416" t="s">
        <v>257</v>
      </c>
      <c r="U416">
        <v>11</v>
      </c>
      <c r="V416">
        <v>6937.18</v>
      </c>
      <c r="W416">
        <v>4999.84</v>
      </c>
      <c r="X416">
        <v>4999.7700000000004</v>
      </c>
      <c r="Y416">
        <v>0</v>
      </c>
      <c r="Z416">
        <v>0</v>
      </c>
      <c r="AA416">
        <v>35</v>
      </c>
      <c r="AB416">
        <v>50</v>
      </c>
      <c r="AC416">
        <v>5000</v>
      </c>
      <c r="AD416">
        <v>0</v>
      </c>
      <c r="AE416">
        <v>0</v>
      </c>
      <c r="AF416">
        <v>6937.79</v>
      </c>
      <c r="AG416">
        <v>6937.79</v>
      </c>
      <c r="AH416" s="14">
        <v>46266</v>
      </c>
      <c r="AI416" t="s">
        <v>266</v>
      </c>
      <c r="AJ416" s="13">
        <v>46265.054768518516</v>
      </c>
      <c r="AK416">
        <v>6763.31</v>
      </c>
      <c r="AL416" t="s">
        <v>259</v>
      </c>
      <c r="AM416" t="s">
        <v>260</v>
      </c>
      <c r="AN416">
        <v>1400</v>
      </c>
      <c r="AO416">
        <v>0</v>
      </c>
      <c r="AP416">
        <v>35</v>
      </c>
      <c r="AQ416">
        <v>85</v>
      </c>
      <c r="AR416">
        <v>35</v>
      </c>
      <c r="AS416">
        <v>2</v>
      </c>
      <c r="AT416">
        <v>23</v>
      </c>
      <c r="AU416">
        <v>1</v>
      </c>
      <c r="AV416">
        <v>0</v>
      </c>
      <c r="AW416">
        <v>10</v>
      </c>
      <c r="AX416">
        <v>1</v>
      </c>
      <c r="AY416">
        <v>5</v>
      </c>
      <c r="AZ416">
        <v>2</v>
      </c>
      <c r="BA416">
        <v>1</v>
      </c>
      <c r="BB416">
        <v>1440</v>
      </c>
      <c r="BC416">
        <v>0</v>
      </c>
      <c r="BD416">
        <v>0</v>
      </c>
      <c r="BE416">
        <v>14</v>
      </c>
      <c r="BF416">
        <v>25</v>
      </c>
      <c r="BG416">
        <v>3</v>
      </c>
      <c r="BH416">
        <v>8</v>
      </c>
      <c r="BI416">
        <v>3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0</v>
      </c>
      <c r="BQ416">
        <v>60</v>
      </c>
      <c r="BR416">
        <v>0</v>
      </c>
      <c r="BS416">
        <v>3</v>
      </c>
      <c r="BT416" t="s">
        <v>246</v>
      </c>
      <c r="BU416" t="s">
        <v>267</v>
      </c>
      <c r="BV416" t="b">
        <v>0</v>
      </c>
      <c r="BW416" t="s">
        <v>268</v>
      </c>
    </row>
    <row r="417" spans="1:75">
      <c r="A417" t="s">
        <v>246</v>
      </c>
      <c r="B417" t="s">
        <v>252</v>
      </c>
      <c r="C417">
        <v>771</v>
      </c>
      <c r="D417" t="s">
        <v>253</v>
      </c>
      <c r="E417" t="s">
        <v>254</v>
      </c>
      <c r="F417">
        <v>5</v>
      </c>
      <c r="G417" s="13">
        <v>46266.204212962963</v>
      </c>
      <c r="H417" s="13">
        <v>46266.226342592592</v>
      </c>
      <c r="I417">
        <v>1912</v>
      </c>
      <c r="J417" t="s">
        <v>264</v>
      </c>
      <c r="K417">
        <v>4</v>
      </c>
      <c r="L417">
        <v>0.04</v>
      </c>
      <c r="M417">
        <v>0.01</v>
      </c>
      <c r="N417">
        <v>4</v>
      </c>
      <c r="O417">
        <v>0.04</v>
      </c>
      <c r="P417">
        <v>14.98</v>
      </c>
      <c r="Q417">
        <v>9.25</v>
      </c>
      <c r="R417">
        <v>7.21</v>
      </c>
      <c r="S417" t="s">
        <v>263</v>
      </c>
      <c r="T417" t="s">
        <v>257</v>
      </c>
      <c r="U417">
        <v>10</v>
      </c>
      <c r="V417">
        <v>6937.63</v>
      </c>
      <c r="W417">
        <v>4999.84</v>
      </c>
      <c r="X417">
        <v>4985.0200000000004</v>
      </c>
      <c r="Y417">
        <v>0</v>
      </c>
      <c r="Z417">
        <v>0</v>
      </c>
      <c r="AA417">
        <v>35</v>
      </c>
      <c r="AB417">
        <v>50</v>
      </c>
      <c r="AC417">
        <v>5000</v>
      </c>
      <c r="AD417">
        <v>0</v>
      </c>
      <c r="AE417">
        <v>0</v>
      </c>
      <c r="AF417">
        <v>6945.19</v>
      </c>
      <c r="AG417">
        <v>6945.19</v>
      </c>
      <c r="AH417" s="14">
        <v>46266</v>
      </c>
      <c r="AI417" t="s">
        <v>266</v>
      </c>
      <c r="AJ417" s="13">
        <v>46265.054768518516</v>
      </c>
      <c r="AK417">
        <v>6763.31</v>
      </c>
      <c r="AL417" t="s">
        <v>259</v>
      </c>
      <c r="AM417" t="s">
        <v>260</v>
      </c>
      <c r="AN417">
        <v>1400</v>
      </c>
      <c r="AO417">
        <v>0</v>
      </c>
      <c r="AP417">
        <v>35</v>
      </c>
      <c r="AQ417">
        <v>85</v>
      </c>
      <c r="AR417">
        <v>35</v>
      </c>
      <c r="AS417">
        <v>2</v>
      </c>
      <c r="AT417">
        <v>23</v>
      </c>
      <c r="AU417">
        <v>1</v>
      </c>
      <c r="AV417">
        <v>0</v>
      </c>
      <c r="AW417">
        <v>10</v>
      </c>
      <c r="AX417">
        <v>1</v>
      </c>
      <c r="AY417">
        <v>5</v>
      </c>
      <c r="AZ417">
        <v>2</v>
      </c>
      <c r="BA417">
        <v>1</v>
      </c>
      <c r="BB417">
        <v>1440</v>
      </c>
      <c r="BC417">
        <v>0</v>
      </c>
      <c r="BD417">
        <v>0</v>
      </c>
      <c r="BE417">
        <v>14</v>
      </c>
      <c r="BF417">
        <v>25</v>
      </c>
      <c r="BG417">
        <v>3</v>
      </c>
      <c r="BH417">
        <v>8</v>
      </c>
      <c r="BI417">
        <v>3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0</v>
      </c>
      <c r="BQ417">
        <v>60</v>
      </c>
      <c r="BR417">
        <v>0</v>
      </c>
      <c r="BS417">
        <v>3</v>
      </c>
      <c r="BT417" t="s">
        <v>246</v>
      </c>
      <c r="BU417" t="s">
        <v>267</v>
      </c>
      <c r="BV417" t="b">
        <v>0</v>
      </c>
      <c r="BW417" t="s">
        <v>268</v>
      </c>
    </row>
    <row r="418" spans="1:75">
      <c r="A418" t="s">
        <v>246</v>
      </c>
      <c r="B418" t="s">
        <v>252</v>
      </c>
      <c r="C418">
        <v>772</v>
      </c>
      <c r="D418" t="s">
        <v>253</v>
      </c>
      <c r="E418" t="s">
        <v>254</v>
      </c>
      <c r="F418">
        <v>5</v>
      </c>
      <c r="G418" s="13">
        <v>46266.229583333334</v>
      </c>
      <c r="H418" s="13">
        <v>46266.230115740742</v>
      </c>
      <c r="I418">
        <v>46</v>
      </c>
      <c r="J418" t="s">
        <v>264</v>
      </c>
      <c r="K418">
        <v>1</v>
      </c>
      <c r="L418">
        <v>0.01</v>
      </c>
      <c r="M418">
        <v>0.01</v>
      </c>
      <c r="N418">
        <v>1</v>
      </c>
      <c r="O418">
        <v>0.01</v>
      </c>
      <c r="P418">
        <v>1.03</v>
      </c>
      <c r="Q418">
        <v>2</v>
      </c>
      <c r="R418">
        <v>2</v>
      </c>
      <c r="S418" t="s">
        <v>256</v>
      </c>
      <c r="T418" t="s">
        <v>257</v>
      </c>
      <c r="U418">
        <v>11</v>
      </c>
      <c r="V418">
        <v>6945.03</v>
      </c>
      <c r="W418">
        <v>4999.84</v>
      </c>
      <c r="X418">
        <v>4998.97</v>
      </c>
      <c r="Y418">
        <v>0</v>
      </c>
      <c r="Z418">
        <v>0</v>
      </c>
      <c r="AA418">
        <v>35</v>
      </c>
      <c r="AB418">
        <v>50</v>
      </c>
      <c r="AC418">
        <v>5000</v>
      </c>
      <c r="AD418">
        <v>0</v>
      </c>
      <c r="AE418">
        <v>0</v>
      </c>
      <c r="AF418">
        <v>6946.84</v>
      </c>
      <c r="AG418">
        <v>6946.84</v>
      </c>
      <c r="AH418" s="14">
        <v>46266</v>
      </c>
      <c r="AI418" t="s">
        <v>266</v>
      </c>
      <c r="AJ418" s="13">
        <v>46265.054768518516</v>
      </c>
      <c r="AK418">
        <v>6763.31</v>
      </c>
      <c r="AL418" t="s">
        <v>259</v>
      </c>
      <c r="AM418" t="s">
        <v>260</v>
      </c>
      <c r="AN418">
        <v>1400</v>
      </c>
      <c r="AO418">
        <v>0</v>
      </c>
      <c r="AP418">
        <v>35</v>
      </c>
      <c r="AQ418">
        <v>85</v>
      </c>
      <c r="AR418">
        <v>35</v>
      </c>
      <c r="AS418">
        <v>2</v>
      </c>
      <c r="AT418">
        <v>23</v>
      </c>
      <c r="AU418">
        <v>1</v>
      </c>
      <c r="AV418">
        <v>0</v>
      </c>
      <c r="AW418">
        <v>10</v>
      </c>
      <c r="AX418">
        <v>1</v>
      </c>
      <c r="AY418">
        <v>5</v>
      </c>
      <c r="AZ418">
        <v>2</v>
      </c>
      <c r="BA418">
        <v>1</v>
      </c>
      <c r="BB418">
        <v>1440</v>
      </c>
      <c r="BC418">
        <v>0</v>
      </c>
      <c r="BD418">
        <v>0</v>
      </c>
      <c r="BE418">
        <v>14</v>
      </c>
      <c r="BF418">
        <v>25</v>
      </c>
      <c r="BG418">
        <v>3</v>
      </c>
      <c r="BH418">
        <v>8</v>
      </c>
      <c r="BI418">
        <v>3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0</v>
      </c>
      <c r="BQ418">
        <v>60</v>
      </c>
      <c r="BR418">
        <v>0</v>
      </c>
      <c r="BS418">
        <v>3</v>
      </c>
      <c r="BT418" t="s">
        <v>246</v>
      </c>
      <c r="BU418" t="s">
        <v>267</v>
      </c>
      <c r="BV418" t="b">
        <v>0</v>
      </c>
      <c r="BW418" t="s">
        <v>268</v>
      </c>
    </row>
    <row r="419" spans="1:75">
      <c r="A419" t="s">
        <v>246</v>
      </c>
      <c r="B419" t="s">
        <v>252</v>
      </c>
      <c r="C419">
        <v>773</v>
      </c>
      <c r="D419" t="s">
        <v>253</v>
      </c>
      <c r="E419" t="s">
        <v>254</v>
      </c>
      <c r="F419">
        <v>5</v>
      </c>
      <c r="G419" s="13">
        <v>46266.233275462961</v>
      </c>
      <c r="H419" s="13">
        <v>46266.234664351854</v>
      </c>
      <c r="I419">
        <v>120</v>
      </c>
      <c r="J419" t="s">
        <v>264</v>
      </c>
      <c r="K419">
        <v>1</v>
      </c>
      <c r="L419">
        <v>0.01</v>
      </c>
      <c r="M419">
        <v>0.01</v>
      </c>
      <c r="N419">
        <v>1</v>
      </c>
      <c r="O419">
        <v>0.01</v>
      </c>
      <c r="P419">
        <v>0.91</v>
      </c>
      <c r="Q419">
        <v>1.55</v>
      </c>
      <c r="R419">
        <v>1.27</v>
      </c>
      <c r="S419" t="s">
        <v>256</v>
      </c>
      <c r="T419" t="s">
        <v>257</v>
      </c>
      <c r="U419">
        <v>10</v>
      </c>
      <c r="V419">
        <v>6946.67</v>
      </c>
      <c r="W419">
        <v>4999.83</v>
      </c>
      <c r="X419">
        <v>4999.09</v>
      </c>
      <c r="Y419">
        <v>0</v>
      </c>
      <c r="Z419">
        <v>0</v>
      </c>
      <c r="AA419">
        <v>35</v>
      </c>
      <c r="AB419">
        <v>50</v>
      </c>
      <c r="AC419">
        <v>5000</v>
      </c>
      <c r="AD419">
        <v>0</v>
      </c>
      <c r="AE419">
        <v>0</v>
      </c>
      <c r="AF419">
        <v>6948.04</v>
      </c>
      <c r="AG419">
        <v>6948.04</v>
      </c>
      <c r="AH419" s="14">
        <v>46266</v>
      </c>
      <c r="AI419" t="s">
        <v>266</v>
      </c>
      <c r="AJ419" s="13">
        <v>46265.054768518516</v>
      </c>
      <c r="AK419">
        <v>6763.31</v>
      </c>
      <c r="AL419" t="s">
        <v>259</v>
      </c>
      <c r="AM419" t="s">
        <v>260</v>
      </c>
      <c r="AN419">
        <v>1400</v>
      </c>
      <c r="AO419">
        <v>0</v>
      </c>
      <c r="AP419">
        <v>35</v>
      </c>
      <c r="AQ419">
        <v>85</v>
      </c>
      <c r="AR419">
        <v>35</v>
      </c>
      <c r="AS419">
        <v>2</v>
      </c>
      <c r="AT419">
        <v>23</v>
      </c>
      <c r="AU419">
        <v>1</v>
      </c>
      <c r="AV419">
        <v>0</v>
      </c>
      <c r="AW419">
        <v>10</v>
      </c>
      <c r="AX419">
        <v>1</v>
      </c>
      <c r="AY419">
        <v>5</v>
      </c>
      <c r="AZ419">
        <v>2</v>
      </c>
      <c r="BA419">
        <v>1</v>
      </c>
      <c r="BB419">
        <v>1440</v>
      </c>
      <c r="BC419">
        <v>0</v>
      </c>
      <c r="BD419">
        <v>0</v>
      </c>
      <c r="BE419">
        <v>14</v>
      </c>
      <c r="BF419">
        <v>25</v>
      </c>
      <c r="BG419">
        <v>3</v>
      </c>
      <c r="BH419">
        <v>8</v>
      </c>
      <c r="BI419">
        <v>3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0</v>
      </c>
      <c r="BQ419">
        <v>60</v>
      </c>
      <c r="BR419">
        <v>0</v>
      </c>
      <c r="BS419">
        <v>3</v>
      </c>
      <c r="BT419" t="s">
        <v>246</v>
      </c>
      <c r="BU419" t="s">
        <v>267</v>
      </c>
      <c r="BV419" t="b">
        <v>0</v>
      </c>
      <c r="BW419" t="s">
        <v>268</v>
      </c>
    </row>
    <row r="420" spans="1:75">
      <c r="A420" t="s">
        <v>246</v>
      </c>
      <c r="B420" t="s">
        <v>252</v>
      </c>
      <c r="C420">
        <v>774</v>
      </c>
      <c r="D420" t="s">
        <v>253</v>
      </c>
      <c r="E420" t="s">
        <v>254</v>
      </c>
      <c r="F420">
        <v>5</v>
      </c>
      <c r="G420" s="13">
        <v>46266.237812500003</v>
      </c>
      <c r="H420" s="13">
        <v>46266.245891203704</v>
      </c>
      <c r="I420">
        <v>698</v>
      </c>
      <c r="J420" t="s">
        <v>255</v>
      </c>
      <c r="K420">
        <v>3</v>
      </c>
      <c r="L420">
        <v>0.03</v>
      </c>
      <c r="M420">
        <v>0.01</v>
      </c>
      <c r="N420">
        <v>3</v>
      </c>
      <c r="O420">
        <v>0.03</v>
      </c>
      <c r="P420">
        <v>8.9499999999999993</v>
      </c>
      <c r="Q420">
        <v>14.49</v>
      </c>
      <c r="R420">
        <v>12.39</v>
      </c>
      <c r="S420" t="s">
        <v>263</v>
      </c>
      <c r="T420" t="s">
        <v>257</v>
      </c>
      <c r="U420">
        <v>11</v>
      </c>
      <c r="V420">
        <v>6947.87</v>
      </c>
      <c r="W420">
        <v>4999.83</v>
      </c>
      <c r="X420">
        <v>4991.05</v>
      </c>
      <c r="Y420">
        <v>0</v>
      </c>
      <c r="Z420">
        <v>0</v>
      </c>
      <c r="AA420">
        <v>35</v>
      </c>
      <c r="AB420">
        <v>50</v>
      </c>
      <c r="AC420">
        <v>5000</v>
      </c>
      <c r="AD420">
        <v>0</v>
      </c>
      <c r="AE420">
        <v>0</v>
      </c>
      <c r="AF420">
        <v>6960.49</v>
      </c>
      <c r="AG420">
        <v>6960.49</v>
      </c>
      <c r="AH420" s="14">
        <v>46266</v>
      </c>
      <c r="AI420" t="s">
        <v>266</v>
      </c>
      <c r="AJ420" s="13">
        <v>46265.054768518516</v>
      </c>
      <c r="AK420">
        <v>6763.31</v>
      </c>
      <c r="AL420" t="s">
        <v>259</v>
      </c>
      <c r="AM420" t="s">
        <v>260</v>
      </c>
      <c r="AN420">
        <v>1400</v>
      </c>
      <c r="AO420">
        <v>0</v>
      </c>
      <c r="AP420">
        <v>35</v>
      </c>
      <c r="AQ420">
        <v>85</v>
      </c>
      <c r="AR420">
        <v>35</v>
      </c>
      <c r="AS420">
        <v>2</v>
      </c>
      <c r="AT420">
        <v>23</v>
      </c>
      <c r="AU420">
        <v>1</v>
      </c>
      <c r="AV420">
        <v>0</v>
      </c>
      <c r="AW420">
        <v>10</v>
      </c>
      <c r="AX420">
        <v>1</v>
      </c>
      <c r="AY420">
        <v>5</v>
      </c>
      <c r="AZ420">
        <v>2</v>
      </c>
      <c r="BA420">
        <v>1</v>
      </c>
      <c r="BB420">
        <v>1440</v>
      </c>
      <c r="BC420">
        <v>0</v>
      </c>
      <c r="BD420">
        <v>0</v>
      </c>
      <c r="BE420">
        <v>14</v>
      </c>
      <c r="BF420">
        <v>25</v>
      </c>
      <c r="BG420">
        <v>3</v>
      </c>
      <c r="BH420">
        <v>8</v>
      </c>
      <c r="BI420">
        <v>3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0</v>
      </c>
      <c r="BQ420">
        <v>60</v>
      </c>
      <c r="BR420">
        <v>0</v>
      </c>
      <c r="BS420">
        <v>3</v>
      </c>
      <c r="BT420" t="s">
        <v>246</v>
      </c>
      <c r="BU420" t="s">
        <v>267</v>
      </c>
      <c r="BV420" t="b">
        <v>0</v>
      </c>
      <c r="BW420" t="s">
        <v>268</v>
      </c>
    </row>
    <row r="421" spans="1:75">
      <c r="A421" t="s">
        <v>246</v>
      </c>
      <c r="B421" t="s">
        <v>252</v>
      </c>
      <c r="C421">
        <v>775</v>
      </c>
      <c r="D421" t="s">
        <v>253</v>
      </c>
      <c r="E421" t="s">
        <v>254</v>
      </c>
      <c r="F421">
        <v>5</v>
      </c>
      <c r="G421" s="13">
        <v>46266.249594907407</v>
      </c>
      <c r="H421" s="13">
        <v>46266.2500462963</v>
      </c>
      <c r="I421">
        <v>39</v>
      </c>
      <c r="J421" t="s">
        <v>255</v>
      </c>
      <c r="K421">
        <v>1</v>
      </c>
      <c r="L421">
        <v>0.01</v>
      </c>
      <c r="M421">
        <v>0.01</v>
      </c>
      <c r="N421">
        <v>1</v>
      </c>
      <c r="O421">
        <v>0.01</v>
      </c>
      <c r="P421">
        <v>0.24</v>
      </c>
      <c r="Q421">
        <v>1.35</v>
      </c>
      <c r="R421">
        <v>1.35</v>
      </c>
      <c r="S421" t="s">
        <v>256</v>
      </c>
      <c r="T421" t="s">
        <v>257</v>
      </c>
      <c r="U421">
        <v>10</v>
      </c>
      <c r="V421">
        <v>6960.33</v>
      </c>
      <c r="W421">
        <v>4999.84</v>
      </c>
      <c r="X421">
        <v>4999.76</v>
      </c>
      <c r="Y421">
        <v>0</v>
      </c>
      <c r="Z421">
        <v>0</v>
      </c>
      <c r="AA421">
        <v>35</v>
      </c>
      <c r="AB421">
        <v>50</v>
      </c>
      <c r="AC421">
        <v>5000</v>
      </c>
      <c r="AD421">
        <v>0</v>
      </c>
      <c r="AE421">
        <v>0</v>
      </c>
      <c r="AF421">
        <v>6961.49</v>
      </c>
      <c r="AG421">
        <v>6961.49</v>
      </c>
      <c r="AH421" s="14">
        <v>46266</v>
      </c>
      <c r="AI421" t="s">
        <v>266</v>
      </c>
      <c r="AJ421" s="13">
        <v>46265.054768518516</v>
      </c>
      <c r="AK421">
        <v>6763.31</v>
      </c>
      <c r="AL421" t="s">
        <v>259</v>
      </c>
      <c r="AM421" t="s">
        <v>260</v>
      </c>
      <c r="AN421">
        <v>1400</v>
      </c>
      <c r="AO421">
        <v>0</v>
      </c>
      <c r="AP421">
        <v>35</v>
      </c>
      <c r="AQ421">
        <v>85</v>
      </c>
      <c r="AR421">
        <v>35</v>
      </c>
      <c r="AS421">
        <v>2</v>
      </c>
      <c r="AT421">
        <v>23</v>
      </c>
      <c r="AU421">
        <v>1</v>
      </c>
      <c r="AV421">
        <v>0</v>
      </c>
      <c r="AW421">
        <v>10</v>
      </c>
      <c r="AX421">
        <v>1</v>
      </c>
      <c r="AY421">
        <v>5</v>
      </c>
      <c r="AZ421">
        <v>2</v>
      </c>
      <c r="BA421">
        <v>1</v>
      </c>
      <c r="BB421">
        <v>1440</v>
      </c>
      <c r="BC421">
        <v>0</v>
      </c>
      <c r="BD421">
        <v>0</v>
      </c>
      <c r="BE421">
        <v>14</v>
      </c>
      <c r="BF421">
        <v>25</v>
      </c>
      <c r="BG421">
        <v>3</v>
      </c>
      <c r="BH421">
        <v>8</v>
      </c>
      <c r="BI421">
        <v>3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0</v>
      </c>
      <c r="BQ421">
        <v>60</v>
      </c>
      <c r="BR421">
        <v>0</v>
      </c>
      <c r="BS421">
        <v>3</v>
      </c>
      <c r="BT421" t="s">
        <v>246</v>
      </c>
      <c r="BU421" t="s">
        <v>267</v>
      </c>
      <c r="BV421" t="b">
        <v>0</v>
      </c>
      <c r="BW421" t="s">
        <v>268</v>
      </c>
    </row>
    <row r="422" spans="1:75">
      <c r="A422" t="s">
        <v>246</v>
      </c>
      <c r="B422" t="s">
        <v>252</v>
      </c>
      <c r="C422">
        <v>776</v>
      </c>
      <c r="D422" t="s">
        <v>253</v>
      </c>
      <c r="E422" t="s">
        <v>254</v>
      </c>
      <c r="F422">
        <v>5</v>
      </c>
      <c r="G422" s="13">
        <v>46266.251793981479</v>
      </c>
      <c r="H422" s="13">
        <v>46266.259166666663</v>
      </c>
      <c r="I422">
        <v>637</v>
      </c>
      <c r="J422" t="s">
        <v>264</v>
      </c>
      <c r="K422">
        <v>1</v>
      </c>
      <c r="L422">
        <v>0.01</v>
      </c>
      <c r="M422">
        <v>0.01</v>
      </c>
      <c r="N422">
        <v>1</v>
      </c>
      <c r="O422">
        <v>0.01</v>
      </c>
      <c r="P422">
        <v>1.99</v>
      </c>
      <c r="Q422">
        <v>1.1599999999999999</v>
      </c>
      <c r="R422">
        <v>1.1599999999999999</v>
      </c>
      <c r="S422" t="s">
        <v>256</v>
      </c>
      <c r="T422" t="s">
        <v>257</v>
      </c>
      <c r="U422">
        <v>10</v>
      </c>
      <c r="V422">
        <v>6961.33</v>
      </c>
      <c r="W422">
        <v>4999.84</v>
      </c>
      <c r="X422">
        <v>4998.01</v>
      </c>
      <c r="Y422">
        <v>0</v>
      </c>
      <c r="Z422">
        <v>0</v>
      </c>
      <c r="AA422">
        <v>35</v>
      </c>
      <c r="AB422">
        <v>50</v>
      </c>
      <c r="AC422">
        <v>5000</v>
      </c>
      <c r="AD422">
        <v>0</v>
      </c>
      <c r="AE422">
        <v>0</v>
      </c>
      <c r="AF422">
        <v>6962.33</v>
      </c>
      <c r="AG422">
        <v>6962.33</v>
      </c>
      <c r="AH422" s="14">
        <v>46266</v>
      </c>
      <c r="AI422" t="s">
        <v>266</v>
      </c>
      <c r="AJ422" s="13">
        <v>46265.054768518516</v>
      </c>
      <c r="AK422">
        <v>6763.31</v>
      </c>
      <c r="AL422" t="s">
        <v>259</v>
      </c>
      <c r="AM422" t="s">
        <v>260</v>
      </c>
      <c r="AN422">
        <v>1400</v>
      </c>
      <c r="AO422">
        <v>0</v>
      </c>
      <c r="AP422">
        <v>35</v>
      </c>
      <c r="AQ422">
        <v>85</v>
      </c>
      <c r="AR422">
        <v>35</v>
      </c>
      <c r="AS422">
        <v>2</v>
      </c>
      <c r="AT422">
        <v>23</v>
      </c>
      <c r="AU422">
        <v>1</v>
      </c>
      <c r="AV422">
        <v>0</v>
      </c>
      <c r="AW422">
        <v>10</v>
      </c>
      <c r="AX422">
        <v>1</v>
      </c>
      <c r="AY422">
        <v>5</v>
      </c>
      <c r="AZ422">
        <v>2</v>
      </c>
      <c r="BA422">
        <v>1</v>
      </c>
      <c r="BB422">
        <v>1440</v>
      </c>
      <c r="BC422">
        <v>0</v>
      </c>
      <c r="BD422">
        <v>0</v>
      </c>
      <c r="BE422">
        <v>14</v>
      </c>
      <c r="BF422">
        <v>25</v>
      </c>
      <c r="BG422">
        <v>3</v>
      </c>
      <c r="BH422">
        <v>8</v>
      </c>
      <c r="BI422">
        <v>3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0</v>
      </c>
      <c r="BQ422">
        <v>60</v>
      </c>
      <c r="BR422">
        <v>0</v>
      </c>
      <c r="BS422">
        <v>3</v>
      </c>
      <c r="BT422" t="s">
        <v>246</v>
      </c>
      <c r="BU422" t="s">
        <v>267</v>
      </c>
      <c r="BV422" t="b">
        <v>0</v>
      </c>
      <c r="BW422" t="s">
        <v>268</v>
      </c>
    </row>
    <row r="423" spans="1:75">
      <c r="A423" t="s">
        <v>246</v>
      </c>
      <c r="B423" t="s">
        <v>252</v>
      </c>
      <c r="C423">
        <v>777</v>
      </c>
      <c r="D423" t="s">
        <v>253</v>
      </c>
      <c r="E423" t="s">
        <v>254</v>
      </c>
      <c r="F423">
        <v>5</v>
      </c>
      <c r="G423" s="13">
        <v>46266.259629629632</v>
      </c>
      <c r="H423" s="13">
        <v>46266.263009259259</v>
      </c>
      <c r="I423">
        <v>292</v>
      </c>
      <c r="J423" t="s">
        <v>264</v>
      </c>
      <c r="K423">
        <v>1</v>
      </c>
      <c r="L423">
        <v>0.01</v>
      </c>
      <c r="M423">
        <v>0.01</v>
      </c>
      <c r="N423">
        <v>1</v>
      </c>
      <c r="O423">
        <v>0.01</v>
      </c>
      <c r="P423">
        <v>2.0099999999999998</v>
      </c>
      <c r="Q423">
        <v>0.99</v>
      </c>
      <c r="R423">
        <v>0.66</v>
      </c>
      <c r="S423" t="s">
        <v>256</v>
      </c>
      <c r="T423" t="s">
        <v>257</v>
      </c>
      <c r="U423">
        <v>11</v>
      </c>
      <c r="V423">
        <v>6962.16</v>
      </c>
      <c r="W423">
        <v>4999.83</v>
      </c>
      <c r="X423">
        <v>4997.99</v>
      </c>
      <c r="Y423">
        <v>0</v>
      </c>
      <c r="Z423">
        <v>0</v>
      </c>
      <c r="AA423">
        <v>35</v>
      </c>
      <c r="AB423">
        <v>50</v>
      </c>
      <c r="AC423">
        <v>5000</v>
      </c>
      <c r="AD423">
        <v>0</v>
      </c>
      <c r="AE423">
        <v>0</v>
      </c>
      <c r="AF423">
        <v>6962.97</v>
      </c>
      <c r="AG423">
        <v>6962.97</v>
      </c>
      <c r="AH423" s="14">
        <v>46266</v>
      </c>
      <c r="AI423" t="s">
        <v>266</v>
      </c>
      <c r="AJ423" s="13">
        <v>46265.054768518516</v>
      </c>
      <c r="AK423">
        <v>6763.31</v>
      </c>
      <c r="AL423" t="s">
        <v>259</v>
      </c>
      <c r="AM423" t="s">
        <v>260</v>
      </c>
      <c r="AN423">
        <v>1400</v>
      </c>
      <c r="AO423">
        <v>0</v>
      </c>
      <c r="AP423">
        <v>35</v>
      </c>
      <c r="AQ423">
        <v>85</v>
      </c>
      <c r="AR423">
        <v>35</v>
      </c>
      <c r="AS423">
        <v>2</v>
      </c>
      <c r="AT423">
        <v>23</v>
      </c>
      <c r="AU423">
        <v>1</v>
      </c>
      <c r="AV423">
        <v>0</v>
      </c>
      <c r="AW423">
        <v>10</v>
      </c>
      <c r="AX423">
        <v>1</v>
      </c>
      <c r="AY423">
        <v>5</v>
      </c>
      <c r="AZ423">
        <v>2</v>
      </c>
      <c r="BA423">
        <v>1</v>
      </c>
      <c r="BB423">
        <v>1440</v>
      </c>
      <c r="BC423">
        <v>0</v>
      </c>
      <c r="BD423">
        <v>0</v>
      </c>
      <c r="BE423">
        <v>14</v>
      </c>
      <c r="BF423">
        <v>25</v>
      </c>
      <c r="BG423">
        <v>3</v>
      </c>
      <c r="BH423">
        <v>8</v>
      </c>
      <c r="BI423">
        <v>3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0</v>
      </c>
      <c r="BQ423">
        <v>60</v>
      </c>
      <c r="BR423">
        <v>0</v>
      </c>
      <c r="BS423">
        <v>3</v>
      </c>
      <c r="BT423" t="s">
        <v>246</v>
      </c>
      <c r="BU423" t="s">
        <v>267</v>
      </c>
      <c r="BV423" t="b">
        <v>0</v>
      </c>
      <c r="BW423" t="s">
        <v>268</v>
      </c>
    </row>
    <row r="424" spans="1:75">
      <c r="A424" t="s">
        <v>246</v>
      </c>
      <c r="B424" t="s">
        <v>252</v>
      </c>
      <c r="C424">
        <v>778</v>
      </c>
      <c r="D424" t="s">
        <v>253</v>
      </c>
      <c r="E424" t="s">
        <v>254</v>
      </c>
      <c r="F424">
        <v>5</v>
      </c>
      <c r="G424" s="13">
        <v>46266.263738425929</v>
      </c>
      <c r="H424" s="13">
        <v>46266.264039351852</v>
      </c>
      <c r="I424">
        <v>26</v>
      </c>
      <c r="J424" t="s">
        <v>264</v>
      </c>
      <c r="K424">
        <v>1</v>
      </c>
      <c r="L424">
        <v>0.01</v>
      </c>
      <c r="M424">
        <v>0.01</v>
      </c>
      <c r="N424">
        <v>1</v>
      </c>
      <c r="O424">
        <v>0.01</v>
      </c>
      <c r="P424">
        <v>0.16</v>
      </c>
      <c r="Q424">
        <v>0.81</v>
      </c>
      <c r="R424">
        <v>0.57999999999999996</v>
      </c>
      <c r="S424" t="s">
        <v>256</v>
      </c>
      <c r="T424" t="s">
        <v>257</v>
      </c>
      <c r="U424">
        <v>11</v>
      </c>
      <c r="V424">
        <v>6962.81</v>
      </c>
      <c r="W424">
        <v>4999.84</v>
      </c>
      <c r="X424">
        <v>4999.84</v>
      </c>
      <c r="Y424">
        <v>0</v>
      </c>
      <c r="Z424">
        <v>0</v>
      </c>
      <c r="AA424">
        <v>35</v>
      </c>
      <c r="AB424">
        <v>50</v>
      </c>
      <c r="AC424">
        <v>5000</v>
      </c>
      <c r="AD424">
        <v>0</v>
      </c>
      <c r="AE424">
        <v>0</v>
      </c>
      <c r="AF424">
        <v>6963.44</v>
      </c>
      <c r="AG424">
        <v>6963.44</v>
      </c>
      <c r="AH424" s="14">
        <v>46266</v>
      </c>
      <c r="AI424" t="s">
        <v>266</v>
      </c>
      <c r="AJ424" s="13">
        <v>46265.054768518516</v>
      </c>
      <c r="AK424">
        <v>6763.31</v>
      </c>
      <c r="AL424" t="s">
        <v>259</v>
      </c>
      <c r="AM424" t="s">
        <v>260</v>
      </c>
      <c r="AN424">
        <v>1400</v>
      </c>
      <c r="AO424">
        <v>0</v>
      </c>
      <c r="AP424">
        <v>35</v>
      </c>
      <c r="AQ424">
        <v>85</v>
      </c>
      <c r="AR424">
        <v>35</v>
      </c>
      <c r="AS424">
        <v>2</v>
      </c>
      <c r="AT424">
        <v>23</v>
      </c>
      <c r="AU424">
        <v>1</v>
      </c>
      <c r="AV424">
        <v>0</v>
      </c>
      <c r="AW424">
        <v>10</v>
      </c>
      <c r="AX424">
        <v>1</v>
      </c>
      <c r="AY424">
        <v>5</v>
      </c>
      <c r="AZ424">
        <v>2</v>
      </c>
      <c r="BA424">
        <v>1</v>
      </c>
      <c r="BB424">
        <v>1440</v>
      </c>
      <c r="BC424">
        <v>0</v>
      </c>
      <c r="BD424">
        <v>0</v>
      </c>
      <c r="BE424">
        <v>14</v>
      </c>
      <c r="BF424">
        <v>25</v>
      </c>
      <c r="BG424">
        <v>3</v>
      </c>
      <c r="BH424">
        <v>8</v>
      </c>
      <c r="BI424">
        <v>3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0</v>
      </c>
      <c r="BQ424">
        <v>60</v>
      </c>
      <c r="BR424">
        <v>0</v>
      </c>
      <c r="BS424">
        <v>3</v>
      </c>
      <c r="BT424" t="s">
        <v>246</v>
      </c>
      <c r="BU424" t="s">
        <v>267</v>
      </c>
      <c r="BV424" t="b">
        <v>0</v>
      </c>
      <c r="BW424" t="s">
        <v>268</v>
      </c>
    </row>
    <row r="425" spans="1:75">
      <c r="A425" t="s">
        <v>246</v>
      </c>
      <c r="B425" t="s">
        <v>252</v>
      </c>
      <c r="C425">
        <v>779</v>
      </c>
      <c r="D425" t="s">
        <v>253</v>
      </c>
      <c r="E425" t="s">
        <v>254</v>
      </c>
      <c r="F425">
        <v>5</v>
      </c>
      <c r="G425" s="13">
        <v>46266.265428240738</v>
      </c>
      <c r="H425" s="13">
        <v>46266.267997685187</v>
      </c>
      <c r="I425">
        <v>222</v>
      </c>
      <c r="J425" t="s">
        <v>264</v>
      </c>
      <c r="K425">
        <v>1</v>
      </c>
      <c r="L425">
        <v>0.01</v>
      </c>
      <c r="M425">
        <v>0.01</v>
      </c>
      <c r="N425">
        <v>1</v>
      </c>
      <c r="O425">
        <v>0.01</v>
      </c>
      <c r="P425">
        <v>1.67</v>
      </c>
      <c r="Q425">
        <v>1.25</v>
      </c>
      <c r="R425">
        <v>0.92</v>
      </c>
      <c r="S425" t="s">
        <v>256</v>
      </c>
      <c r="T425" t="s">
        <v>257</v>
      </c>
      <c r="U425">
        <v>11</v>
      </c>
      <c r="V425">
        <v>6963.27</v>
      </c>
      <c r="W425">
        <v>4999.83</v>
      </c>
      <c r="X425">
        <v>4998.33</v>
      </c>
      <c r="Y425">
        <v>0</v>
      </c>
      <c r="Z425">
        <v>0</v>
      </c>
      <c r="AA425">
        <v>35</v>
      </c>
      <c r="AB425">
        <v>50</v>
      </c>
      <c r="AC425">
        <v>5000</v>
      </c>
      <c r="AD425">
        <v>0</v>
      </c>
      <c r="AE425">
        <v>0</v>
      </c>
      <c r="AF425">
        <v>6964.34</v>
      </c>
      <c r="AG425">
        <v>6964.34</v>
      </c>
      <c r="AH425" s="14">
        <v>46266</v>
      </c>
      <c r="AI425" t="s">
        <v>266</v>
      </c>
      <c r="AJ425" s="13">
        <v>46265.054768518516</v>
      </c>
      <c r="AK425">
        <v>6763.31</v>
      </c>
      <c r="AL425" t="s">
        <v>259</v>
      </c>
      <c r="AM425" t="s">
        <v>260</v>
      </c>
      <c r="AN425">
        <v>1400</v>
      </c>
      <c r="AO425">
        <v>0</v>
      </c>
      <c r="AP425">
        <v>35</v>
      </c>
      <c r="AQ425">
        <v>85</v>
      </c>
      <c r="AR425">
        <v>35</v>
      </c>
      <c r="AS425">
        <v>2</v>
      </c>
      <c r="AT425">
        <v>23</v>
      </c>
      <c r="AU425">
        <v>1</v>
      </c>
      <c r="AV425">
        <v>0</v>
      </c>
      <c r="AW425">
        <v>10</v>
      </c>
      <c r="AX425">
        <v>1</v>
      </c>
      <c r="AY425">
        <v>5</v>
      </c>
      <c r="AZ425">
        <v>2</v>
      </c>
      <c r="BA425">
        <v>1</v>
      </c>
      <c r="BB425">
        <v>1440</v>
      </c>
      <c r="BC425">
        <v>0</v>
      </c>
      <c r="BD425">
        <v>0</v>
      </c>
      <c r="BE425">
        <v>14</v>
      </c>
      <c r="BF425">
        <v>25</v>
      </c>
      <c r="BG425">
        <v>3</v>
      </c>
      <c r="BH425">
        <v>8</v>
      </c>
      <c r="BI425">
        <v>3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0</v>
      </c>
      <c r="BQ425">
        <v>60</v>
      </c>
      <c r="BR425">
        <v>0</v>
      </c>
      <c r="BS425">
        <v>3</v>
      </c>
      <c r="BT425" t="s">
        <v>246</v>
      </c>
      <c r="BU425" t="s">
        <v>267</v>
      </c>
      <c r="BV425" t="b">
        <v>0</v>
      </c>
      <c r="BW425" t="s">
        <v>268</v>
      </c>
    </row>
    <row r="426" spans="1:75">
      <c r="A426" t="s">
        <v>246</v>
      </c>
      <c r="B426" t="s">
        <v>252</v>
      </c>
      <c r="C426">
        <v>780</v>
      </c>
      <c r="D426" t="s">
        <v>253</v>
      </c>
      <c r="E426" t="s">
        <v>254</v>
      </c>
      <c r="F426">
        <v>5</v>
      </c>
      <c r="G426" s="13">
        <v>46266.269131944442</v>
      </c>
      <c r="H426" s="13">
        <v>46266.26934027778</v>
      </c>
      <c r="I426">
        <v>18</v>
      </c>
      <c r="J426" t="s">
        <v>255</v>
      </c>
      <c r="K426">
        <v>1</v>
      </c>
      <c r="L426">
        <v>0.01</v>
      </c>
      <c r="M426">
        <v>0.01</v>
      </c>
      <c r="N426">
        <v>1</v>
      </c>
      <c r="O426">
        <v>0.01</v>
      </c>
      <c r="P426">
        <v>0.18</v>
      </c>
      <c r="Q426">
        <v>0.81</v>
      </c>
      <c r="R426">
        <v>0.48</v>
      </c>
      <c r="S426" t="s">
        <v>256</v>
      </c>
      <c r="T426" t="s">
        <v>257</v>
      </c>
      <c r="U426">
        <v>11</v>
      </c>
      <c r="V426">
        <v>6964.17</v>
      </c>
      <c r="W426">
        <v>4999.83</v>
      </c>
      <c r="X426">
        <v>4999.82</v>
      </c>
      <c r="Y426">
        <v>0</v>
      </c>
      <c r="Z426">
        <v>0</v>
      </c>
      <c r="AA426">
        <v>35</v>
      </c>
      <c r="AB426">
        <v>50</v>
      </c>
      <c r="AC426">
        <v>5000</v>
      </c>
      <c r="AD426">
        <v>0</v>
      </c>
      <c r="AE426">
        <v>0</v>
      </c>
      <c r="AF426">
        <v>6964.8</v>
      </c>
      <c r="AG426">
        <v>6964.8</v>
      </c>
      <c r="AH426" s="14">
        <v>46266</v>
      </c>
      <c r="AI426" t="s">
        <v>266</v>
      </c>
      <c r="AJ426" s="13">
        <v>46265.054768518516</v>
      </c>
      <c r="AK426">
        <v>6763.31</v>
      </c>
      <c r="AL426" t="s">
        <v>259</v>
      </c>
      <c r="AM426" t="s">
        <v>260</v>
      </c>
      <c r="AN426">
        <v>1400</v>
      </c>
      <c r="AO426">
        <v>0</v>
      </c>
      <c r="AP426">
        <v>35</v>
      </c>
      <c r="AQ426">
        <v>85</v>
      </c>
      <c r="AR426">
        <v>35</v>
      </c>
      <c r="AS426">
        <v>2</v>
      </c>
      <c r="AT426">
        <v>23</v>
      </c>
      <c r="AU426">
        <v>1</v>
      </c>
      <c r="AV426">
        <v>0</v>
      </c>
      <c r="AW426">
        <v>10</v>
      </c>
      <c r="AX426">
        <v>1</v>
      </c>
      <c r="AY426">
        <v>5</v>
      </c>
      <c r="AZ426">
        <v>2</v>
      </c>
      <c r="BA426">
        <v>1</v>
      </c>
      <c r="BB426">
        <v>1440</v>
      </c>
      <c r="BC426">
        <v>0</v>
      </c>
      <c r="BD426">
        <v>0</v>
      </c>
      <c r="BE426">
        <v>14</v>
      </c>
      <c r="BF426">
        <v>25</v>
      </c>
      <c r="BG426">
        <v>3</v>
      </c>
      <c r="BH426">
        <v>8</v>
      </c>
      <c r="BI426">
        <v>3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0</v>
      </c>
      <c r="BQ426">
        <v>60</v>
      </c>
      <c r="BR426">
        <v>0</v>
      </c>
      <c r="BS426">
        <v>3</v>
      </c>
      <c r="BT426" t="s">
        <v>246</v>
      </c>
      <c r="BU426" t="s">
        <v>267</v>
      </c>
      <c r="BV426" t="b">
        <v>0</v>
      </c>
      <c r="BW426" t="s">
        <v>268</v>
      </c>
    </row>
    <row r="427" spans="1:75">
      <c r="A427" t="s">
        <v>246</v>
      </c>
      <c r="B427" t="s">
        <v>252</v>
      </c>
      <c r="C427">
        <v>781</v>
      </c>
      <c r="D427" t="s">
        <v>253</v>
      </c>
      <c r="E427" t="s">
        <v>254</v>
      </c>
      <c r="F427">
        <v>5</v>
      </c>
      <c r="G427" s="13">
        <v>46266.276666666665</v>
      </c>
      <c r="H427" s="13">
        <v>46266.277916666666</v>
      </c>
      <c r="I427">
        <v>108</v>
      </c>
      <c r="J427" t="s">
        <v>255</v>
      </c>
      <c r="K427">
        <v>1</v>
      </c>
      <c r="L427">
        <v>0.01</v>
      </c>
      <c r="M427">
        <v>0.01</v>
      </c>
      <c r="N427">
        <v>1</v>
      </c>
      <c r="O427">
        <v>0.01</v>
      </c>
      <c r="P427">
        <v>1.81</v>
      </c>
      <c r="Q427">
        <v>1.1000000000000001</v>
      </c>
      <c r="R427">
        <v>0.85</v>
      </c>
      <c r="S427" t="s">
        <v>256</v>
      </c>
      <c r="T427" t="s">
        <v>257</v>
      </c>
      <c r="U427">
        <v>11</v>
      </c>
      <c r="V427">
        <v>6964.63</v>
      </c>
      <c r="W427">
        <v>4999.83</v>
      </c>
      <c r="X427">
        <v>4998.1899999999996</v>
      </c>
      <c r="Y427">
        <v>0</v>
      </c>
      <c r="Z427">
        <v>0</v>
      </c>
      <c r="AA427">
        <v>35</v>
      </c>
      <c r="AB427">
        <v>50</v>
      </c>
      <c r="AC427">
        <v>5000</v>
      </c>
      <c r="AD427">
        <v>0</v>
      </c>
      <c r="AE427">
        <v>0</v>
      </c>
      <c r="AF427">
        <v>6965.55</v>
      </c>
      <c r="AG427">
        <v>6965.55</v>
      </c>
      <c r="AH427" s="14">
        <v>46266</v>
      </c>
      <c r="AI427" t="s">
        <v>266</v>
      </c>
      <c r="AJ427" s="13">
        <v>46265.054768518516</v>
      </c>
      <c r="AK427">
        <v>6763.31</v>
      </c>
      <c r="AL427" t="s">
        <v>259</v>
      </c>
      <c r="AM427" t="s">
        <v>260</v>
      </c>
      <c r="AN427">
        <v>1400</v>
      </c>
      <c r="AO427">
        <v>0</v>
      </c>
      <c r="AP427">
        <v>35</v>
      </c>
      <c r="AQ427">
        <v>85</v>
      </c>
      <c r="AR427">
        <v>35</v>
      </c>
      <c r="AS427">
        <v>2</v>
      </c>
      <c r="AT427">
        <v>23</v>
      </c>
      <c r="AU427">
        <v>1</v>
      </c>
      <c r="AV427">
        <v>0</v>
      </c>
      <c r="AW427">
        <v>10</v>
      </c>
      <c r="AX427">
        <v>1</v>
      </c>
      <c r="AY427">
        <v>5</v>
      </c>
      <c r="AZ427">
        <v>2</v>
      </c>
      <c r="BA427">
        <v>1</v>
      </c>
      <c r="BB427">
        <v>1440</v>
      </c>
      <c r="BC427">
        <v>0</v>
      </c>
      <c r="BD427">
        <v>0</v>
      </c>
      <c r="BE427">
        <v>14</v>
      </c>
      <c r="BF427">
        <v>25</v>
      </c>
      <c r="BG427">
        <v>3</v>
      </c>
      <c r="BH427">
        <v>8</v>
      </c>
      <c r="BI427">
        <v>3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0</v>
      </c>
      <c r="BQ427">
        <v>60</v>
      </c>
      <c r="BR427">
        <v>0</v>
      </c>
      <c r="BS427">
        <v>3</v>
      </c>
      <c r="BT427" t="s">
        <v>246</v>
      </c>
      <c r="BU427" t="s">
        <v>267</v>
      </c>
      <c r="BV427" t="b">
        <v>0</v>
      </c>
      <c r="BW427" t="s">
        <v>268</v>
      </c>
    </row>
    <row r="428" spans="1:75">
      <c r="A428" t="s">
        <v>246</v>
      </c>
      <c r="B428" t="s">
        <v>252</v>
      </c>
      <c r="C428">
        <v>782</v>
      </c>
      <c r="D428" t="s">
        <v>253</v>
      </c>
      <c r="E428" t="s">
        <v>254</v>
      </c>
      <c r="F428">
        <v>5</v>
      </c>
      <c r="G428" s="13">
        <v>46266.284490740742</v>
      </c>
      <c r="H428" s="13">
        <v>46266.355127314811</v>
      </c>
      <c r="I428">
        <v>6103</v>
      </c>
      <c r="J428" t="s">
        <v>255</v>
      </c>
      <c r="K428">
        <v>6</v>
      </c>
      <c r="L428">
        <v>0.06</v>
      </c>
      <c r="M428">
        <v>0.01</v>
      </c>
      <c r="N428">
        <v>6</v>
      </c>
      <c r="O428">
        <v>0.06</v>
      </c>
      <c r="P428">
        <v>37.68</v>
      </c>
      <c r="Q428">
        <v>10.62</v>
      </c>
      <c r="R428">
        <v>8.58</v>
      </c>
      <c r="S428" t="s">
        <v>263</v>
      </c>
      <c r="T428" t="s">
        <v>257</v>
      </c>
      <c r="U428">
        <v>15</v>
      </c>
      <c r="V428">
        <v>6965.39</v>
      </c>
      <c r="W428">
        <v>4999.84</v>
      </c>
      <c r="X428">
        <v>4962.32</v>
      </c>
      <c r="Y428">
        <v>0</v>
      </c>
      <c r="Z428">
        <v>0</v>
      </c>
      <c r="AA428">
        <v>35</v>
      </c>
      <c r="AB428">
        <v>50</v>
      </c>
      <c r="AC428">
        <v>5000</v>
      </c>
      <c r="AD428">
        <v>0</v>
      </c>
      <c r="AE428">
        <v>0</v>
      </c>
      <c r="AF428">
        <v>6974.43</v>
      </c>
      <c r="AG428">
        <v>6974.43</v>
      </c>
      <c r="AH428" s="14">
        <v>46266</v>
      </c>
      <c r="AI428" t="s">
        <v>266</v>
      </c>
      <c r="AJ428" s="13">
        <v>46265.054768518516</v>
      </c>
      <c r="AK428">
        <v>6763.31</v>
      </c>
      <c r="AL428" t="s">
        <v>259</v>
      </c>
      <c r="AM428" t="s">
        <v>260</v>
      </c>
      <c r="AN428">
        <v>1400</v>
      </c>
      <c r="AO428">
        <v>0</v>
      </c>
      <c r="AP428">
        <v>35</v>
      </c>
      <c r="AQ428">
        <v>85</v>
      </c>
      <c r="AR428">
        <v>35</v>
      </c>
      <c r="AS428">
        <v>2</v>
      </c>
      <c r="AT428">
        <v>23</v>
      </c>
      <c r="AU428">
        <v>1</v>
      </c>
      <c r="AV428">
        <v>0</v>
      </c>
      <c r="AW428">
        <v>10</v>
      </c>
      <c r="AX428">
        <v>1</v>
      </c>
      <c r="AY428">
        <v>5</v>
      </c>
      <c r="AZ428">
        <v>2</v>
      </c>
      <c r="BA428">
        <v>1</v>
      </c>
      <c r="BB428">
        <v>1440</v>
      </c>
      <c r="BC428">
        <v>0</v>
      </c>
      <c r="BD428">
        <v>0</v>
      </c>
      <c r="BE428">
        <v>14</v>
      </c>
      <c r="BF428">
        <v>25</v>
      </c>
      <c r="BG428">
        <v>3</v>
      </c>
      <c r="BH428">
        <v>8</v>
      </c>
      <c r="BI428">
        <v>3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0</v>
      </c>
      <c r="BQ428">
        <v>60</v>
      </c>
      <c r="BR428">
        <v>0</v>
      </c>
      <c r="BS428">
        <v>3</v>
      </c>
      <c r="BT428" t="s">
        <v>246</v>
      </c>
      <c r="BU428" t="s">
        <v>267</v>
      </c>
      <c r="BV428" t="b">
        <v>0</v>
      </c>
      <c r="BW428" t="s">
        <v>268</v>
      </c>
    </row>
    <row r="429" spans="1:75">
      <c r="A429" t="s">
        <v>246</v>
      </c>
      <c r="B429" t="s">
        <v>252</v>
      </c>
      <c r="C429">
        <v>783</v>
      </c>
      <c r="D429" t="s">
        <v>253</v>
      </c>
      <c r="E429" t="s">
        <v>254</v>
      </c>
      <c r="F429">
        <v>5</v>
      </c>
      <c r="G429" s="13">
        <v>46266.358194444445</v>
      </c>
      <c r="H429" s="13">
        <v>46266.36041666667</v>
      </c>
      <c r="I429">
        <v>192</v>
      </c>
      <c r="J429" t="s">
        <v>255</v>
      </c>
      <c r="K429">
        <v>1</v>
      </c>
      <c r="L429">
        <v>0.01</v>
      </c>
      <c r="M429">
        <v>0.01</v>
      </c>
      <c r="N429">
        <v>1</v>
      </c>
      <c r="O429">
        <v>0.01</v>
      </c>
      <c r="P429">
        <v>1.87</v>
      </c>
      <c r="Q429">
        <v>3.04</v>
      </c>
      <c r="R429">
        <v>2.76</v>
      </c>
      <c r="S429" t="s">
        <v>256</v>
      </c>
      <c r="T429" t="s">
        <v>257</v>
      </c>
      <c r="U429">
        <v>10</v>
      </c>
      <c r="V429">
        <v>6974.26</v>
      </c>
      <c r="W429">
        <v>4999.83</v>
      </c>
      <c r="X429">
        <v>4998.13</v>
      </c>
      <c r="Y429">
        <v>0</v>
      </c>
      <c r="Z429">
        <v>0</v>
      </c>
      <c r="AA429">
        <v>35</v>
      </c>
      <c r="AB429">
        <v>50</v>
      </c>
      <c r="AC429">
        <v>5000</v>
      </c>
      <c r="AD429">
        <v>0</v>
      </c>
      <c r="AE429">
        <v>0</v>
      </c>
      <c r="AF429">
        <v>6977.11</v>
      </c>
      <c r="AG429">
        <v>6977.11</v>
      </c>
      <c r="AH429" s="14">
        <v>46266</v>
      </c>
      <c r="AI429" t="s">
        <v>266</v>
      </c>
      <c r="AJ429" s="13">
        <v>46265.054768518516</v>
      </c>
      <c r="AK429">
        <v>6763.31</v>
      </c>
      <c r="AL429" t="s">
        <v>259</v>
      </c>
      <c r="AM429" t="s">
        <v>260</v>
      </c>
      <c r="AN429">
        <v>1400</v>
      </c>
      <c r="AO429">
        <v>0</v>
      </c>
      <c r="AP429">
        <v>35</v>
      </c>
      <c r="AQ429">
        <v>85</v>
      </c>
      <c r="AR429">
        <v>35</v>
      </c>
      <c r="AS429">
        <v>2</v>
      </c>
      <c r="AT429">
        <v>23</v>
      </c>
      <c r="AU429">
        <v>1</v>
      </c>
      <c r="AV429">
        <v>0</v>
      </c>
      <c r="AW429">
        <v>10</v>
      </c>
      <c r="AX429">
        <v>1</v>
      </c>
      <c r="AY429">
        <v>5</v>
      </c>
      <c r="AZ429">
        <v>2</v>
      </c>
      <c r="BA429">
        <v>1</v>
      </c>
      <c r="BB429">
        <v>1440</v>
      </c>
      <c r="BC429">
        <v>0</v>
      </c>
      <c r="BD429">
        <v>0</v>
      </c>
      <c r="BE429">
        <v>14</v>
      </c>
      <c r="BF429">
        <v>25</v>
      </c>
      <c r="BG429">
        <v>3</v>
      </c>
      <c r="BH429">
        <v>8</v>
      </c>
      <c r="BI429">
        <v>3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0</v>
      </c>
      <c r="BQ429">
        <v>60</v>
      </c>
      <c r="BR429">
        <v>0</v>
      </c>
      <c r="BS429">
        <v>3</v>
      </c>
      <c r="BT429" t="s">
        <v>246</v>
      </c>
      <c r="BU429" t="s">
        <v>267</v>
      </c>
      <c r="BV429" t="b">
        <v>0</v>
      </c>
      <c r="BW429" t="s">
        <v>268</v>
      </c>
    </row>
    <row r="430" spans="1:75">
      <c r="A430" t="s">
        <v>246</v>
      </c>
      <c r="B430" t="s">
        <v>252</v>
      </c>
      <c r="C430">
        <v>784</v>
      </c>
      <c r="D430" t="s">
        <v>253</v>
      </c>
      <c r="E430" t="s">
        <v>254</v>
      </c>
      <c r="F430">
        <v>5</v>
      </c>
      <c r="G430" s="13">
        <v>46266.362534722219</v>
      </c>
      <c r="H430" s="13">
        <v>46266.364537037036</v>
      </c>
      <c r="I430">
        <v>173</v>
      </c>
      <c r="J430" t="s">
        <v>255</v>
      </c>
      <c r="K430">
        <v>1</v>
      </c>
      <c r="L430">
        <v>0.01</v>
      </c>
      <c r="M430">
        <v>0.01</v>
      </c>
      <c r="N430">
        <v>1</v>
      </c>
      <c r="O430">
        <v>0.01</v>
      </c>
      <c r="P430">
        <v>2.1</v>
      </c>
      <c r="Q430">
        <v>1.28</v>
      </c>
      <c r="R430">
        <v>0.92</v>
      </c>
      <c r="S430" t="s">
        <v>256</v>
      </c>
      <c r="T430" t="s">
        <v>257</v>
      </c>
      <c r="U430">
        <v>11</v>
      </c>
      <c r="V430">
        <v>6976.94</v>
      </c>
      <c r="W430">
        <v>4999.83</v>
      </c>
      <c r="X430">
        <v>4997.8999999999996</v>
      </c>
      <c r="Y430">
        <v>0</v>
      </c>
      <c r="Z430">
        <v>0</v>
      </c>
      <c r="AA430">
        <v>35</v>
      </c>
      <c r="AB430">
        <v>50</v>
      </c>
      <c r="AC430">
        <v>5000</v>
      </c>
      <c r="AD430">
        <v>0</v>
      </c>
      <c r="AE430">
        <v>0</v>
      </c>
      <c r="AF430">
        <v>6978.04</v>
      </c>
      <c r="AG430">
        <v>6978.04</v>
      </c>
      <c r="AH430" s="14">
        <v>46266</v>
      </c>
      <c r="AI430" t="s">
        <v>266</v>
      </c>
      <c r="AJ430" s="13">
        <v>46265.054768518516</v>
      </c>
      <c r="AK430">
        <v>6763.31</v>
      </c>
      <c r="AL430" t="s">
        <v>259</v>
      </c>
      <c r="AM430" t="s">
        <v>260</v>
      </c>
      <c r="AN430">
        <v>1400</v>
      </c>
      <c r="AO430">
        <v>0</v>
      </c>
      <c r="AP430">
        <v>35</v>
      </c>
      <c r="AQ430">
        <v>85</v>
      </c>
      <c r="AR430">
        <v>35</v>
      </c>
      <c r="AS430">
        <v>2</v>
      </c>
      <c r="AT430">
        <v>23</v>
      </c>
      <c r="AU430">
        <v>1</v>
      </c>
      <c r="AV430">
        <v>0</v>
      </c>
      <c r="AW430">
        <v>10</v>
      </c>
      <c r="AX430">
        <v>1</v>
      </c>
      <c r="AY430">
        <v>5</v>
      </c>
      <c r="AZ430">
        <v>2</v>
      </c>
      <c r="BA430">
        <v>1</v>
      </c>
      <c r="BB430">
        <v>1440</v>
      </c>
      <c r="BC430">
        <v>0</v>
      </c>
      <c r="BD430">
        <v>0</v>
      </c>
      <c r="BE430">
        <v>14</v>
      </c>
      <c r="BF430">
        <v>25</v>
      </c>
      <c r="BG430">
        <v>3</v>
      </c>
      <c r="BH430">
        <v>8</v>
      </c>
      <c r="BI430">
        <v>3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0</v>
      </c>
      <c r="BQ430">
        <v>60</v>
      </c>
      <c r="BR430">
        <v>0</v>
      </c>
      <c r="BS430">
        <v>3</v>
      </c>
      <c r="BT430" t="s">
        <v>246</v>
      </c>
      <c r="BU430" t="s">
        <v>267</v>
      </c>
      <c r="BV430" t="b">
        <v>0</v>
      </c>
      <c r="BW430" t="s">
        <v>268</v>
      </c>
    </row>
    <row r="431" spans="1:75">
      <c r="A431" t="s">
        <v>246</v>
      </c>
      <c r="B431" t="s">
        <v>252</v>
      </c>
      <c r="C431">
        <v>785</v>
      </c>
      <c r="D431" t="s">
        <v>253</v>
      </c>
      <c r="E431" t="s">
        <v>254</v>
      </c>
      <c r="F431">
        <v>5</v>
      </c>
      <c r="G431" s="13">
        <v>46266.366111111114</v>
      </c>
      <c r="H431" s="13">
        <v>46266.375439814816</v>
      </c>
      <c r="I431">
        <v>806</v>
      </c>
      <c r="J431" t="s">
        <v>264</v>
      </c>
      <c r="K431">
        <v>3</v>
      </c>
      <c r="L431">
        <v>0.03</v>
      </c>
      <c r="M431">
        <v>0.01</v>
      </c>
      <c r="N431">
        <v>3</v>
      </c>
      <c r="O431">
        <v>0.03</v>
      </c>
      <c r="P431">
        <v>8.33</v>
      </c>
      <c r="Q431">
        <v>8.74</v>
      </c>
      <c r="R431">
        <v>6.73</v>
      </c>
      <c r="S431" t="s">
        <v>263</v>
      </c>
      <c r="T431" t="s">
        <v>257</v>
      </c>
      <c r="U431">
        <v>11</v>
      </c>
      <c r="V431">
        <v>6977.88</v>
      </c>
      <c r="W431">
        <v>4999.84</v>
      </c>
      <c r="X431">
        <v>4991.67</v>
      </c>
      <c r="Y431">
        <v>0</v>
      </c>
      <c r="Z431">
        <v>0</v>
      </c>
      <c r="AA431">
        <v>35</v>
      </c>
      <c r="AB431">
        <v>50</v>
      </c>
      <c r="AC431">
        <v>5000</v>
      </c>
      <c r="AD431">
        <v>0</v>
      </c>
      <c r="AE431">
        <v>0</v>
      </c>
      <c r="AF431">
        <v>6984.61</v>
      </c>
      <c r="AG431">
        <v>6984.61</v>
      </c>
      <c r="AH431" s="14">
        <v>46266</v>
      </c>
      <c r="AI431" t="s">
        <v>266</v>
      </c>
      <c r="AJ431" s="13">
        <v>46265.054768518516</v>
      </c>
      <c r="AK431">
        <v>6763.31</v>
      </c>
      <c r="AL431" t="s">
        <v>259</v>
      </c>
      <c r="AM431" t="s">
        <v>260</v>
      </c>
      <c r="AN431">
        <v>1400</v>
      </c>
      <c r="AO431">
        <v>0</v>
      </c>
      <c r="AP431">
        <v>35</v>
      </c>
      <c r="AQ431">
        <v>85</v>
      </c>
      <c r="AR431">
        <v>35</v>
      </c>
      <c r="AS431">
        <v>2</v>
      </c>
      <c r="AT431">
        <v>23</v>
      </c>
      <c r="AU431">
        <v>1</v>
      </c>
      <c r="AV431">
        <v>0</v>
      </c>
      <c r="AW431">
        <v>10</v>
      </c>
      <c r="AX431">
        <v>1</v>
      </c>
      <c r="AY431">
        <v>5</v>
      </c>
      <c r="AZ431">
        <v>2</v>
      </c>
      <c r="BA431">
        <v>1</v>
      </c>
      <c r="BB431">
        <v>1440</v>
      </c>
      <c r="BC431">
        <v>0</v>
      </c>
      <c r="BD431">
        <v>0</v>
      </c>
      <c r="BE431">
        <v>14</v>
      </c>
      <c r="BF431">
        <v>25</v>
      </c>
      <c r="BG431">
        <v>3</v>
      </c>
      <c r="BH431">
        <v>8</v>
      </c>
      <c r="BI431">
        <v>3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0</v>
      </c>
      <c r="BQ431">
        <v>60</v>
      </c>
      <c r="BR431">
        <v>0</v>
      </c>
      <c r="BS431">
        <v>3</v>
      </c>
      <c r="BT431" t="s">
        <v>246</v>
      </c>
      <c r="BU431" t="s">
        <v>267</v>
      </c>
      <c r="BV431" t="b">
        <v>0</v>
      </c>
      <c r="BW431" t="s">
        <v>268</v>
      </c>
    </row>
    <row r="432" spans="1:75">
      <c r="A432" t="s">
        <v>246</v>
      </c>
      <c r="B432" t="s">
        <v>252</v>
      </c>
      <c r="C432">
        <v>786</v>
      </c>
      <c r="D432" t="s">
        <v>253</v>
      </c>
      <c r="E432" t="s">
        <v>254</v>
      </c>
      <c r="F432">
        <v>5</v>
      </c>
      <c r="G432" s="13">
        <v>46266.377430555556</v>
      </c>
      <c r="H432" s="13">
        <v>46266.37809027778</v>
      </c>
      <c r="I432">
        <v>57</v>
      </c>
      <c r="J432" t="s">
        <v>264</v>
      </c>
      <c r="K432">
        <v>1</v>
      </c>
      <c r="L432">
        <v>0.01</v>
      </c>
      <c r="M432">
        <v>0.01</v>
      </c>
      <c r="N432">
        <v>1</v>
      </c>
      <c r="O432">
        <v>0.01</v>
      </c>
      <c r="P432">
        <v>0.43</v>
      </c>
      <c r="Q432">
        <v>1.08</v>
      </c>
      <c r="R432">
        <v>1.01</v>
      </c>
      <c r="S432" t="s">
        <v>256</v>
      </c>
      <c r="T432" t="s">
        <v>257</v>
      </c>
      <c r="U432">
        <v>10</v>
      </c>
      <c r="V432">
        <v>6984.44</v>
      </c>
      <c r="W432">
        <v>4999.83</v>
      </c>
      <c r="X432">
        <v>4999.57</v>
      </c>
      <c r="Y432">
        <v>0</v>
      </c>
      <c r="Z432">
        <v>0</v>
      </c>
      <c r="AA432">
        <v>35</v>
      </c>
      <c r="AB432">
        <v>50</v>
      </c>
      <c r="AC432">
        <v>5000</v>
      </c>
      <c r="AD432">
        <v>0</v>
      </c>
      <c r="AE432">
        <v>0</v>
      </c>
      <c r="AF432">
        <v>6985.34</v>
      </c>
      <c r="AG432">
        <v>6985.34</v>
      </c>
      <c r="AH432" s="14">
        <v>46266</v>
      </c>
      <c r="AI432" t="s">
        <v>266</v>
      </c>
      <c r="AJ432" s="13">
        <v>46265.054768518516</v>
      </c>
      <c r="AK432">
        <v>6763.31</v>
      </c>
      <c r="AL432" t="s">
        <v>259</v>
      </c>
      <c r="AM432" t="s">
        <v>260</v>
      </c>
      <c r="AN432">
        <v>1400</v>
      </c>
      <c r="AO432">
        <v>0</v>
      </c>
      <c r="AP432">
        <v>35</v>
      </c>
      <c r="AQ432">
        <v>85</v>
      </c>
      <c r="AR432">
        <v>35</v>
      </c>
      <c r="AS432">
        <v>2</v>
      </c>
      <c r="AT432">
        <v>23</v>
      </c>
      <c r="AU432">
        <v>1</v>
      </c>
      <c r="AV432">
        <v>0</v>
      </c>
      <c r="AW432">
        <v>10</v>
      </c>
      <c r="AX432">
        <v>1</v>
      </c>
      <c r="AY432">
        <v>5</v>
      </c>
      <c r="AZ432">
        <v>2</v>
      </c>
      <c r="BA432">
        <v>1</v>
      </c>
      <c r="BB432">
        <v>1440</v>
      </c>
      <c r="BC432">
        <v>0</v>
      </c>
      <c r="BD432">
        <v>0</v>
      </c>
      <c r="BE432">
        <v>14</v>
      </c>
      <c r="BF432">
        <v>25</v>
      </c>
      <c r="BG432">
        <v>3</v>
      </c>
      <c r="BH432">
        <v>8</v>
      </c>
      <c r="BI432">
        <v>3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0</v>
      </c>
      <c r="BQ432">
        <v>60</v>
      </c>
      <c r="BR432">
        <v>0</v>
      </c>
      <c r="BS432">
        <v>3</v>
      </c>
      <c r="BT432" t="s">
        <v>246</v>
      </c>
      <c r="BU432" t="s">
        <v>267</v>
      </c>
      <c r="BV432" t="b">
        <v>0</v>
      </c>
      <c r="BW432" t="s">
        <v>268</v>
      </c>
    </row>
    <row r="433" spans="1:75">
      <c r="A433" t="s">
        <v>246</v>
      </c>
      <c r="B433" t="s">
        <v>252</v>
      </c>
      <c r="C433">
        <v>787</v>
      </c>
      <c r="D433" t="s">
        <v>253</v>
      </c>
      <c r="E433" t="s">
        <v>254</v>
      </c>
      <c r="F433">
        <v>5</v>
      </c>
      <c r="G433" s="13">
        <v>46266.38486111111</v>
      </c>
      <c r="H433" s="13">
        <v>46266.384976851848</v>
      </c>
      <c r="I433">
        <v>10</v>
      </c>
      <c r="J433" t="s">
        <v>264</v>
      </c>
      <c r="K433">
        <v>1</v>
      </c>
      <c r="L433">
        <v>0.01</v>
      </c>
      <c r="M433">
        <v>0.01</v>
      </c>
      <c r="N433">
        <v>1</v>
      </c>
      <c r="O433">
        <v>0.01</v>
      </c>
      <c r="P433">
        <v>0.16</v>
      </c>
      <c r="Q433">
        <v>1.03</v>
      </c>
      <c r="R433">
        <v>0.73</v>
      </c>
      <c r="S433" t="s">
        <v>256</v>
      </c>
      <c r="T433" t="s">
        <v>257</v>
      </c>
      <c r="U433">
        <v>10</v>
      </c>
      <c r="V433">
        <v>6985.18</v>
      </c>
      <c r="W433">
        <v>4999.84</v>
      </c>
      <c r="X433">
        <v>4999.84</v>
      </c>
      <c r="Y433">
        <v>0</v>
      </c>
      <c r="Z433">
        <v>0</v>
      </c>
      <c r="AA433">
        <v>35</v>
      </c>
      <c r="AB433">
        <v>50</v>
      </c>
      <c r="AC433">
        <v>5000</v>
      </c>
      <c r="AD433">
        <v>0</v>
      </c>
      <c r="AE433">
        <v>0</v>
      </c>
      <c r="AF433">
        <v>6986.02</v>
      </c>
      <c r="AG433">
        <v>6986.02</v>
      </c>
      <c r="AH433" s="14">
        <v>46266</v>
      </c>
      <c r="AI433" t="s">
        <v>266</v>
      </c>
      <c r="AJ433" s="13">
        <v>46265.054768518516</v>
      </c>
      <c r="AK433">
        <v>6763.31</v>
      </c>
      <c r="AL433" t="s">
        <v>259</v>
      </c>
      <c r="AM433" t="s">
        <v>260</v>
      </c>
      <c r="AN433">
        <v>1400</v>
      </c>
      <c r="AO433">
        <v>0</v>
      </c>
      <c r="AP433">
        <v>35</v>
      </c>
      <c r="AQ433">
        <v>85</v>
      </c>
      <c r="AR433">
        <v>35</v>
      </c>
      <c r="AS433">
        <v>2</v>
      </c>
      <c r="AT433">
        <v>23</v>
      </c>
      <c r="AU433">
        <v>1</v>
      </c>
      <c r="AV433">
        <v>0</v>
      </c>
      <c r="AW433">
        <v>10</v>
      </c>
      <c r="AX433">
        <v>1</v>
      </c>
      <c r="AY433">
        <v>5</v>
      </c>
      <c r="AZ433">
        <v>2</v>
      </c>
      <c r="BA433">
        <v>1</v>
      </c>
      <c r="BB433">
        <v>1440</v>
      </c>
      <c r="BC433">
        <v>0</v>
      </c>
      <c r="BD433">
        <v>0</v>
      </c>
      <c r="BE433">
        <v>14</v>
      </c>
      <c r="BF433">
        <v>25</v>
      </c>
      <c r="BG433">
        <v>3</v>
      </c>
      <c r="BH433">
        <v>8</v>
      </c>
      <c r="BI433">
        <v>3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0</v>
      </c>
      <c r="BQ433">
        <v>60</v>
      </c>
      <c r="BR433">
        <v>0</v>
      </c>
      <c r="BS433">
        <v>3</v>
      </c>
      <c r="BT433" t="s">
        <v>246</v>
      </c>
      <c r="BU433" t="s">
        <v>267</v>
      </c>
      <c r="BV433" t="b">
        <v>0</v>
      </c>
      <c r="BW433" t="s">
        <v>268</v>
      </c>
    </row>
    <row r="434" spans="1:75">
      <c r="A434" t="s">
        <v>246</v>
      </c>
      <c r="B434" t="s">
        <v>252</v>
      </c>
      <c r="C434">
        <v>788</v>
      </c>
      <c r="D434" t="s">
        <v>253</v>
      </c>
      <c r="E434" t="s">
        <v>254</v>
      </c>
      <c r="F434">
        <v>5</v>
      </c>
      <c r="G434" s="13">
        <v>46266.390856481485</v>
      </c>
      <c r="H434" s="13">
        <v>46266.395486111112</v>
      </c>
      <c r="I434">
        <v>400</v>
      </c>
      <c r="J434" t="s">
        <v>264</v>
      </c>
      <c r="K434">
        <v>1</v>
      </c>
      <c r="L434">
        <v>0.01</v>
      </c>
      <c r="M434">
        <v>0.01</v>
      </c>
      <c r="N434">
        <v>2</v>
      </c>
      <c r="O434">
        <v>0.02</v>
      </c>
      <c r="P434">
        <v>2.2200000000000002</v>
      </c>
      <c r="Q434">
        <v>3.1</v>
      </c>
      <c r="R434">
        <v>1</v>
      </c>
      <c r="S434" t="s">
        <v>256</v>
      </c>
      <c r="T434" t="s">
        <v>257</v>
      </c>
      <c r="U434">
        <v>10</v>
      </c>
      <c r="V434">
        <v>6985.85</v>
      </c>
      <c r="W434">
        <v>4999.83</v>
      </c>
      <c r="X434">
        <v>4997.78</v>
      </c>
      <c r="Y434">
        <v>0</v>
      </c>
      <c r="Z434">
        <v>0</v>
      </c>
      <c r="AA434">
        <v>35</v>
      </c>
      <c r="AB434">
        <v>50</v>
      </c>
      <c r="AC434">
        <v>5000</v>
      </c>
      <c r="AD434">
        <v>0</v>
      </c>
      <c r="AE434">
        <v>0</v>
      </c>
      <c r="AF434">
        <v>6988.13</v>
      </c>
      <c r="AG434">
        <v>6988.13</v>
      </c>
      <c r="AH434" s="14">
        <v>46266</v>
      </c>
      <c r="AI434" t="s">
        <v>266</v>
      </c>
      <c r="AJ434" s="13">
        <v>46265.054768518516</v>
      </c>
      <c r="AK434">
        <v>6763.31</v>
      </c>
      <c r="AL434" t="s">
        <v>259</v>
      </c>
      <c r="AM434" t="s">
        <v>260</v>
      </c>
      <c r="AN434">
        <v>1400</v>
      </c>
      <c r="AO434">
        <v>0</v>
      </c>
      <c r="AP434">
        <v>35</v>
      </c>
      <c r="AQ434">
        <v>85</v>
      </c>
      <c r="AR434">
        <v>35</v>
      </c>
      <c r="AS434">
        <v>2</v>
      </c>
      <c r="AT434">
        <v>23</v>
      </c>
      <c r="AU434">
        <v>1</v>
      </c>
      <c r="AV434">
        <v>0</v>
      </c>
      <c r="AW434">
        <v>10</v>
      </c>
      <c r="AX434">
        <v>1</v>
      </c>
      <c r="AY434">
        <v>5</v>
      </c>
      <c r="AZ434">
        <v>2</v>
      </c>
      <c r="BA434">
        <v>1</v>
      </c>
      <c r="BB434">
        <v>1440</v>
      </c>
      <c r="BC434">
        <v>0</v>
      </c>
      <c r="BD434">
        <v>0</v>
      </c>
      <c r="BE434">
        <v>14</v>
      </c>
      <c r="BF434">
        <v>25</v>
      </c>
      <c r="BG434">
        <v>3</v>
      </c>
      <c r="BH434">
        <v>8</v>
      </c>
      <c r="BI434">
        <v>3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0</v>
      </c>
      <c r="BQ434">
        <v>60</v>
      </c>
      <c r="BR434">
        <v>0</v>
      </c>
      <c r="BS434">
        <v>3</v>
      </c>
      <c r="BT434" t="s">
        <v>246</v>
      </c>
      <c r="BU434" t="s">
        <v>267</v>
      </c>
      <c r="BV434" t="b">
        <v>0</v>
      </c>
      <c r="BW434" t="s">
        <v>268</v>
      </c>
    </row>
    <row r="435" spans="1:75">
      <c r="A435" t="s">
        <v>246</v>
      </c>
      <c r="B435" t="s">
        <v>252</v>
      </c>
      <c r="C435">
        <v>789</v>
      </c>
      <c r="D435" t="s">
        <v>253</v>
      </c>
      <c r="E435" t="s">
        <v>254</v>
      </c>
      <c r="F435">
        <v>5</v>
      </c>
      <c r="G435" s="13">
        <v>46266.401736111111</v>
      </c>
      <c r="H435" s="13">
        <v>46266.402731481481</v>
      </c>
      <c r="I435">
        <v>86</v>
      </c>
      <c r="J435" t="s">
        <v>255</v>
      </c>
      <c r="K435">
        <v>1</v>
      </c>
      <c r="L435">
        <v>0.01</v>
      </c>
      <c r="M435">
        <v>0.01</v>
      </c>
      <c r="N435">
        <v>1</v>
      </c>
      <c r="O435">
        <v>0.01</v>
      </c>
      <c r="P435">
        <v>0.23</v>
      </c>
      <c r="Q435">
        <v>0.96</v>
      </c>
      <c r="R435">
        <v>0.69</v>
      </c>
      <c r="S435" t="s">
        <v>256</v>
      </c>
      <c r="T435" t="s">
        <v>257</v>
      </c>
      <c r="U435">
        <v>11</v>
      </c>
      <c r="V435">
        <v>6987.97</v>
      </c>
      <c r="W435">
        <v>4999.84</v>
      </c>
      <c r="X435">
        <v>4999.7700000000004</v>
      </c>
      <c r="Y435">
        <v>0</v>
      </c>
      <c r="Z435">
        <v>0</v>
      </c>
      <c r="AA435">
        <v>35</v>
      </c>
      <c r="AB435">
        <v>50</v>
      </c>
      <c r="AC435">
        <v>5000</v>
      </c>
      <c r="AD435">
        <v>0</v>
      </c>
      <c r="AE435">
        <v>0</v>
      </c>
      <c r="AF435">
        <v>6988.74</v>
      </c>
      <c r="AG435">
        <v>6988.74</v>
      </c>
      <c r="AH435" s="14">
        <v>46266</v>
      </c>
      <c r="AI435" t="s">
        <v>266</v>
      </c>
      <c r="AJ435" s="13">
        <v>46265.054768518516</v>
      </c>
      <c r="AK435">
        <v>6763.31</v>
      </c>
      <c r="AL435" t="s">
        <v>259</v>
      </c>
      <c r="AM435" t="s">
        <v>260</v>
      </c>
      <c r="AN435">
        <v>1400</v>
      </c>
      <c r="AO435">
        <v>0</v>
      </c>
      <c r="AP435">
        <v>35</v>
      </c>
      <c r="AQ435">
        <v>85</v>
      </c>
      <c r="AR435">
        <v>35</v>
      </c>
      <c r="AS435">
        <v>2</v>
      </c>
      <c r="AT435">
        <v>23</v>
      </c>
      <c r="AU435">
        <v>1</v>
      </c>
      <c r="AV435">
        <v>0</v>
      </c>
      <c r="AW435">
        <v>10</v>
      </c>
      <c r="AX435">
        <v>1</v>
      </c>
      <c r="AY435">
        <v>5</v>
      </c>
      <c r="AZ435">
        <v>2</v>
      </c>
      <c r="BA435">
        <v>1</v>
      </c>
      <c r="BB435">
        <v>1440</v>
      </c>
      <c r="BC435">
        <v>0</v>
      </c>
      <c r="BD435">
        <v>0</v>
      </c>
      <c r="BE435">
        <v>14</v>
      </c>
      <c r="BF435">
        <v>25</v>
      </c>
      <c r="BG435">
        <v>3</v>
      </c>
      <c r="BH435">
        <v>8</v>
      </c>
      <c r="BI435">
        <v>3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0</v>
      </c>
      <c r="BQ435">
        <v>60</v>
      </c>
      <c r="BR435">
        <v>0</v>
      </c>
      <c r="BS435">
        <v>3</v>
      </c>
      <c r="BT435" t="s">
        <v>246</v>
      </c>
      <c r="BU435" t="s">
        <v>267</v>
      </c>
      <c r="BV435" t="b">
        <v>0</v>
      </c>
      <c r="BW435" t="s">
        <v>268</v>
      </c>
    </row>
    <row r="436" spans="1:75">
      <c r="A436" t="s">
        <v>246</v>
      </c>
      <c r="B436" t="s">
        <v>252</v>
      </c>
      <c r="C436">
        <v>790</v>
      </c>
      <c r="D436" t="s">
        <v>253</v>
      </c>
      <c r="E436" t="s">
        <v>254</v>
      </c>
      <c r="F436">
        <v>5</v>
      </c>
      <c r="G436" s="13">
        <v>46266.40730324074</v>
      </c>
      <c r="H436" s="13">
        <v>46266.408206018517</v>
      </c>
      <c r="I436">
        <v>78</v>
      </c>
      <c r="J436" t="s">
        <v>264</v>
      </c>
      <c r="K436">
        <v>1</v>
      </c>
      <c r="L436">
        <v>0.01</v>
      </c>
      <c r="M436">
        <v>0.01</v>
      </c>
      <c r="N436">
        <v>1</v>
      </c>
      <c r="O436">
        <v>0.01</v>
      </c>
      <c r="P436">
        <v>0.38</v>
      </c>
      <c r="Q436">
        <v>2.44</v>
      </c>
      <c r="R436">
        <v>2.14</v>
      </c>
      <c r="S436" t="s">
        <v>256</v>
      </c>
      <c r="T436" t="s">
        <v>257</v>
      </c>
      <c r="U436">
        <v>10</v>
      </c>
      <c r="V436">
        <v>6988.57</v>
      </c>
      <c r="W436">
        <v>4999.83</v>
      </c>
      <c r="X436">
        <v>4999.62</v>
      </c>
      <c r="Y436">
        <v>0</v>
      </c>
      <c r="Z436">
        <v>0</v>
      </c>
      <c r="AA436">
        <v>35</v>
      </c>
      <c r="AB436">
        <v>50</v>
      </c>
      <c r="AC436">
        <v>5000</v>
      </c>
      <c r="AD436">
        <v>0</v>
      </c>
      <c r="AE436">
        <v>0</v>
      </c>
      <c r="AF436">
        <v>6990.83</v>
      </c>
      <c r="AG436">
        <v>6990.83</v>
      </c>
      <c r="AH436" s="14">
        <v>46266</v>
      </c>
      <c r="AI436" t="s">
        <v>266</v>
      </c>
      <c r="AJ436" s="13">
        <v>46265.054768518516</v>
      </c>
      <c r="AK436">
        <v>6763.31</v>
      </c>
      <c r="AL436" t="s">
        <v>259</v>
      </c>
      <c r="AM436" t="s">
        <v>260</v>
      </c>
      <c r="AN436">
        <v>1400</v>
      </c>
      <c r="AO436">
        <v>0</v>
      </c>
      <c r="AP436">
        <v>35</v>
      </c>
      <c r="AQ436">
        <v>85</v>
      </c>
      <c r="AR436">
        <v>35</v>
      </c>
      <c r="AS436">
        <v>2</v>
      </c>
      <c r="AT436">
        <v>23</v>
      </c>
      <c r="AU436">
        <v>1</v>
      </c>
      <c r="AV436">
        <v>0</v>
      </c>
      <c r="AW436">
        <v>10</v>
      </c>
      <c r="AX436">
        <v>1</v>
      </c>
      <c r="AY436">
        <v>5</v>
      </c>
      <c r="AZ436">
        <v>2</v>
      </c>
      <c r="BA436">
        <v>1</v>
      </c>
      <c r="BB436">
        <v>1440</v>
      </c>
      <c r="BC436">
        <v>0</v>
      </c>
      <c r="BD436">
        <v>0</v>
      </c>
      <c r="BE436">
        <v>14</v>
      </c>
      <c r="BF436">
        <v>25</v>
      </c>
      <c r="BG436">
        <v>3</v>
      </c>
      <c r="BH436">
        <v>8</v>
      </c>
      <c r="BI436">
        <v>3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0</v>
      </c>
      <c r="BQ436">
        <v>60</v>
      </c>
      <c r="BR436">
        <v>0</v>
      </c>
      <c r="BS436">
        <v>3</v>
      </c>
      <c r="BT436" t="s">
        <v>246</v>
      </c>
      <c r="BU436" t="s">
        <v>267</v>
      </c>
      <c r="BV436" t="b">
        <v>0</v>
      </c>
      <c r="BW436" t="s">
        <v>268</v>
      </c>
    </row>
    <row r="437" spans="1:75">
      <c r="A437" t="s">
        <v>246</v>
      </c>
      <c r="B437" t="s">
        <v>252</v>
      </c>
      <c r="C437">
        <v>791</v>
      </c>
      <c r="D437" t="s">
        <v>253</v>
      </c>
      <c r="E437" t="s">
        <v>254</v>
      </c>
      <c r="F437">
        <v>5</v>
      </c>
      <c r="G437" s="13">
        <v>46266.418194444443</v>
      </c>
      <c r="H437" s="13">
        <v>46266.418634259258</v>
      </c>
      <c r="I437">
        <v>38</v>
      </c>
      <c r="J437" t="s">
        <v>255</v>
      </c>
      <c r="K437">
        <v>1</v>
      </c>
      <c r="L437">
        <v>0.01</v>
      </c>
      <c r="M437">
        <v>0.01</v>
      </c>
      <c r="N437">
        <v>1</v>
      </c>
      <c r="O437">
        <v>0.01</v>
      </c>
      <c r="P437">
        <v>0.41</v>
      </c>
      <c r="Q437">
        <v>1.81</v>
      </c>
      <c r="R437">
        <v>1.56</v>
      </c>
      <c r="S437" t="s">
        <v>256</v>
      </c>
      <c r="T437" t="s">
        <v>257</v>
      </c>
      <c r="U437">
        <v>10</v>
      </c>
      <c r="V437">
        <v>6990.66</v>
      </c>
      <c r="W437">
        <v>4999.83</v>
      </c>
      <c r="X437">
        <v>4999.59</v>
      </c>
      <c r="Y437">
        <v>0</v>
      </c>
      <c r="Z437">
        <v>0</v>
      </c>
      <c r="AA437">
        <v>35</v>
      </c>
      <c r="AB437">
        <v>50</v>
      </c>
      <c r="AC437">
        <v>5000</v>
      </c>
      <c r="AD437">
        <v>0</v>
      </c>
      <c r="AE437">
        <v>0</v>
      </c>
      <c r="AF437">
        <v>6992.29</v>
      </c>
      <c r="AG437">
        <v>6992.29</v>
      </c>
      <c r="AH437" s="14">
        <v>46266</v>
      </c>
      <c r="AI437" t="s">
        <v>266</v>
      </c>
      <c r="AJ437" s="13">
        <v>46265.054768518516</v>
      </c>
      <c r="AK437">
        <v>6763.31</v>
      </c>
      <c r="AL437" t="s">
        <v>259</v>
      </c>
      <c r="AM437" t="s">
        <v>260</v>
      </c>
      <c r="AN437">
        <v>1400</v>
      </c>
      <c r="AO437">
        <v>0</v>
      </c>
      <c r="AP437">
        <v>35</v>
      </c>
      <c r="AQ437">
        <v>85</v>
      </c>
      <c r="AR437">
        <v>35</v>
      </c>
      <c r="AS437">
        <v>2</v>
      </c>
      <c r="AT437">
        <v>23</v>
      </c>
      <c r="AU437">
        <v>1</v>
      </c>
      <c r="AV437">
        <v>0</v>
      </c>
      <c r="AW437">
        <v>10</v>
      </c>
      <c r="AX437">
        <v>1</v>
      </c>
      <c r="AY437">
        <v>5</v>
      </c>
      <c r="AZ437">
        <v>2</v>
      </c>
      <c r="BA437">
        <v>1</v>
      </c>
      <c r="BB437">
        <v>1440</v>
      </c>
      <c r="BC437">
        <v>0</v>
      </c>
      <c r="BD437">
        <v>0</v>
      </c>
      <c r="BE437">
        <v>14</v>
      </c>
      <c r="BF437">
        <v>25</v>
      </c>
      <c r="BG437">
        <v>3</v>
      </c>
      <c r="BH437">
        <v>8</v>
      </c>
      <c r="BI437">
        <v>3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0</v>
      </c>
      <c r="BQ437">
        <v>60</v>
      </c>
      <c r="BR437">
        <v>0</v>
      </c>
      <c r="BS437">
        <v>3</v>
      </c>
      <c r="BT437" t="s">
        <v>246</v>
      </c>
      <c r="BU437" t="s">
        <v>267</v>
      </c>
      <c r="BV437" t="b">
        <v>0</v>
      </c>
      <c r="BW437" t="s">
        <v>268</v>
      </c>
    </row>
    <row r="438" spans="1:75">
      <c r="A438" t="s">
        <v>246</v>
      </c>
      <c r="B438" t="s">
        <v>252</v>
      </c>
      <c r="C438">
        <v>792</v>
      </c>
      <c r="D438" t="s">
        <v>253</v>
      </c>
      <c r="E438" t="s">
        <v>254</v>
      </c>
      <c r="F438">
        <v>5</v>
      </c>
      <c r="G438" s="13">
        <v>46266.421435185184</v>
      </c>
      <c r="H438" s="13">
        <v>46266.422986111109</v>
      </c>
      <c r="I438">
        <v>134</v>
      </c>
      <c r="J438" t="s">
        <v>264</v>
      </c>
      <c r="K438">
        <v>1</v>
      </c>
      <c r="L438">
        <v>0.01</v>
      </c>
      <c r="M438">
        <v>0.01</v>
      </c>
      <c r="N438">
        <v>1</v>
      </c>
      <c r="O438">
        <v>0.01</v>
      </c>
      <c r="P438">
        <v>1.68</v>
      </c>
      <c r="Q438">
        <v>0.91</v>
      </c>
      <c r="R438">
        <v>0.76</v>
      </c>
      <c r="S438" t="s">
        <v>256</v>
      </c>
      <c r="T438" t="s">
        <v>257</v>
      </c>
      <c r="U438">
        <v>11</v>
      </c>
      <c r="V438">
        <v>6992.12</v>
      </c>
      <c r="W438">
        <v>4999.83</v>
      </c>
      <c r="X438">
        <v>4998.32</v>
      </c>
      <c r="Y438">
        <v>0</v>
      </c>
      <c r="Z438">
        <v>0</v>
      </c>
      <c r="AA438">
        <v>35</v>
      </c>
      <c r="AB438">
        <v>50</v>
      </c>
      <c r="AC438">
        <v>5000</v>
      </c>
      <c r="AD438">
        <v>0</v>
      </c>
      <c r="AE438">
        <v>0</v>
      </c>
      <c r="AF438">
        <v>6992.85</v>
      </c>
      <c r="AG438">
        <v>6992.85</v>
      </c>
      <c r="AH438" s="14">
        <v>46266</v>
      </c>
      <c r="AI438" t="s">
        <v>266</v>
      </c>
      <c r="AJ438" s="13">
        <v>46265.054768518516</v>
      </c>
      <c r="AK438">
        <v>6763.31</v>
      </c>
      <c r="AL438" t="s">
        <v>259</v>
      </c>
      <c r="AM438" t="s">
        <v>260</v>
      </c>
      <c r="AN438">
        <v>1400</v>
      </c>
      <c r="AO438">
        <v>0</v>
      </c>
      <c r="AP438">
        <v>35</v>
      </c>
      <c r="AQ438">
        <v>85</v>
      </c>
      <c r="AR438">
        <v>35</v>
      </c>
      <c r="AS438">
        <v>2</v>
      </c>
      <c r="AT438">
        <v>23</v>
      </c>
      <c r="AU438">
        <v>1</v>
      </c>
      <c r="AV438">
        <v>0</v>
      </c>
      <c r="AW438">
        <v>10</v>
      </c>
      <c r="AX438">
        <v>1</v>
      </c>
      <c r="AY438">
        <v>5</v>
      </c>
      <c r="AZ438">
        <v>2</v>
      </c>
      <c r="BA438">
        <v>1</v>
      </c>
      <c r="BB438">
        <v>1440</v>
      </c>
      <c r="BC438">
        <v>0</v>
      </c>
      <c r="BD438">
        <v>0</v>
      </c>
      <c r="BE438">
        <v>14</v>
      </c>
      <c r="BF438">
        <v>25</v>
      </c>
      <c r="BG438">
        <v>3</v>
      </c>
      <c r="BH438">
        <v>8</v>
      </c>
      <c r="BI438">
        <v>3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0</v>
      </c>
      <c r="BQ438">
        <v>60</v>
      </c>
      <c r="BR438">
        <v>0</v>
      </c>
      <c r="BS438">
        <v>3</v>
      </c>
      <c r="BT438" t="s">
        <v>246</v>
      </c>
      <c r="BU438" t="s">
        <v>267</v>
      </c>
      <c r="BV438" t="b">
        <v>0</v>
      </c>
      <c r="BW438" t="s">
        <v>268</v>
      </c>
    </row>
    <row r="439" spans="1:75">
      <c r="A439" t="s">
        <v>246</v>
      </c>
      <c r="B439" t="s">
        <v>252</v>
      </c>
      <c r="C439">
        <v>793</v>
      </c>
      <c r="D439" t="s">
        <v>253</v>
      </c>
      <c r="E439" t="s">
        <v>254</v>
      </c>
      <c r="F439">
        <v>5</v>
      </c>
      <c r="G439" s="13">
        <v>46266.427037037036</v>
      </c>
      <c r="H439" s="13">
        <v>46266.615798611114</v>
      </c>
      <c r="I439">
        <v>16309</v>
      </c>
      <c r="J439" t="s">
        <v>255</v>
      </c>
      <c r="K439">
        <v>31</v>
      </c>
      <c r="L439">
        <v>0.31</v>
      </c>
      <c r="M439">
        <v>0.01</v>
      </c>
      <c r="N439">
        <v>31</v>
      </c>
      <c r="O439">
        <v>0.31</v>
      </c>
      <c r="P439">
        <v>512.66</v>
      </c>
      <c r="Q439">
        <v>5.08</v>
      </c>
      <c r="R439">
        <v>1.36</v>
      </c>
      <c r="S439" t="s">
        <v>263</v>
      </c>
      <c r="T439" t="s">
        <v>257</v>
      </c>
      <c r="U439">
        <v>10</v>
      </c>
      <c r="V439">
        <v>6992.69</v>
      </c>
      <c r="W439">
        <v>4999.84</v>
      </c>
      <c r="X439">
        <v>4487.34</v>
      </c>
      <c r="Y439">
        <v>0</v>
      </c>
      <c r="Z439">
        <v>0</v>
      </c>
      <c r="AA439">
        <v>35</v>
      </c>
      <c r="AB439">
        <v>50</v>
      </c>
      <c r="AC439">
        <v>5000</v>
      </c>
      <c r="AD439">
        <v>0</v>
      </c>
      <c r="AE439">
        <v>0</v>
      </c>
      <c r="AF439">
        <v>6985.61</v>
      </c>
      <c r="AG439">
        <v>6985.61</v>
      </c>
      <c r="AH439" s="14">
        <v>46266</v>
      </c>
      <c r="AI439" t="s">
        <v>266</v>
      </c>
      <c r="AJ439" s="13">
        <v>46265.054768518516</v>
      </c>
      <c r="AK439">
        <v>6763.31</v>
      </c>
      <c r="AL439" t="s">
        <v>259</v>
      </c>
      <c r="AM439" t="s">
        <v>260</v>
      </c>
      <c r="AN439">
        <v>1400</v>
      </c>
      <c r="AO439">
        <v>0</v>
      </c>
      <c r="AP439">
        <v>35</v>
      </c>
      <c r="AQ439">
        <v>85</v>
      </c>
      <c r="AR439">
        <v>35</v>
      </c>
      <c r="AS439">
        <v>2</v>
      </c>
      <c r="AT439">
        <v>23</v>
      </c>
      <c r="AU439">
        <v>1</v>
      </c>
      <c r="AV439">
        <v>0</v>
      </c>
      <c r="AW439">
        <v>10</v>
      </c>
      <c r="AX439">
        <v>1</v>
      </c>
      <c r="AY439">
        <v>5</v>
      </c>
      <c r="AZ439">
        <v>2</v>
      </c>
      <c r="BA439">
        <v>1</v>
      </c>
      <c r="BB439">
        <v>1440</v>
      </c>
      <c r="BC439">
        <v>0</v>
      </c>
      <c r="BD439">
        <v>0</v>
      </c>
      <c r="BE439">
        <v>14</v>
      </c>
      <c r="BF439">
        <v>25</v>
      </c>
      <c r="BG439">
        <v>3</v>
      </c>
      <c r="BH439">
        <v>8</v>
      </c>
      <c r="BI439">
        <v>3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60</v>
      </c>
      <c r="BR439">
        <v>0</v>
      </c>
      <c r="BS439">
        <v>3</v>
      </c>
      <c r="BT439" t="s">
        <v>246</v>
      </c>
      <c r="BU439" t="s">
        <v>267</v>
      </c>
      <c r="BV439" t="b">
        <v>0</v>
      </c>
      <c r="BW439" t="s">
        <v>268</v>
      </c>
    </row>
    <row r="440" spans="1:75">
      <c r="A440" t="s">
        <v>246</v>
      </c>
      <c r="B440" t="s">
        <v>252</v>
      </c>
      <c r="C440">
        <v>794</v>
      </c>
      <c r="D440" t="s">
        <v>253</v>
      </c>
      <c r="E440" t="s">
        <v>254</v>
      </c>
      <c r="F440">
        <v>5</v>
      </c>
      <c r="G440" s="13">
        <v>46266.6171412037</v>
      </c>
      <c r="H440" s="13">
        <v>46266.643784722219</v>
      </c>
      <c r="I440">
        <v>2302</v>
      </c>
      <c r="J440" t="s">
        <v>255</v>
      </c>
      <c r="K440">
        <v>5</v>
      </c>
      <c r="L440">
        <v>0.05</v>
      </c>
      <c r="M440">
        <v>0.01</v>
      </c>
      <c r="N440">
        <v>5</v>
      </c>
      <c r="O440">
        <v>0.05</v>
      </c>
      <c r="P440">
        <v>37.229999999999997</v>
      </c>
      <c r="Q440">
        <v>5.86</v>
      </c>
      <c r="R440">
        <v>3.51</v>
      </c>
      <c r="S440" t="s">
        <v>263</v>
      </c>
      <c r="T440" t="s">
        <v>257</v>
      </c>
      <c r="U440">
        <v>10</v>
      </c>
      <c r="V440">
        <v>6985.45</v>
      </c>
      <c r="W440">
        <v>4999.84</v>
      </c>
      <c r="X440">
        <v>4962.7700000000004</v>
      </c>
      <c r="Y440">
        <v>0</v>
      </c>
      <c r="Z440">
        <v>0</v>
      </c>
      <c r="AA440">
        <v>35</v>
      </c>
      <c r="AB440">
        <v>50</v>
      </c>
      <c r="AC440">
        <v>5000</v>
      </c>
      <c r="AD440">
        <v>0</v>
      </c>
      <c r="AE440">
        <v>0</v>
      </c>
      <c r="AF440">
        <v>6988.78</v>
      </c>
      <c r="AG440">
        <v>6988.78</v>
      </c>
      <c r="AH440" s="14">
        <v>46266</v>
      </c>
      <c r="AI440" t="s">
        <v>266</v>
      </c>
      <c r="AJ440" s="13">
        <v>46265.054768518516</v>
      </c>
      <c r="AK440">
        <v>6763.31</v>
      </c>
      <c r="AL440" t="s">
        <v>259</v>
      </c>
      <c r="AM440" t="s">
        <v>260</v>
      </c>
      <c r="AN440">
        <v>1400</v>
      </c>
      <c r="AO440">
        <v>0</v>
      </c>
      <c r="AP440">
        <v>35</v>
      </c>
      <c r="AQ440">
        <v>85</v>
      </c>
      <c r="AR440">
        <v>35</v>
      </c>
      <c r="AS440">
        <v>2</v>
      </c>
      <c r="AT440">
        <v>23</v>
      </c>
      <c r="AU440">
        <v>1</v>
      </c>
      <c r="AV440">
        <v>0</v>
      </c>
      <c r="AW440">
        <v>10</v>
      </c>
      <c r="AX440">
        <v>1</v>
      </c>
      <c r="AY440">
        <v>5</v>
      </c>
      <c r="AZ440">
        <v>2</v>
      </c>
      <c r="BA440">
        <v>1</v>
      </c>
      <c r="BB440">
        <v>1440</v>
      </c>
      <c r="BC440">
        <v>0</v>
      </c>
      <c r="BD440">
        <v>0</v>
      </c>
      <c r="BE440">
        <v>14</v>
      </c>
      <c r="BF440">
        <v>25</v>
      </c>
      <c r="BG440">
        <v>3</v>
      </c>
      <c r="BH440">
        <v>8</v>
      </c>
      <c r="BI440">
        <v>3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60</v>
      </c>
      <c r="BR440">
        <v>0</v>
      </c>
      <c r="BS440">
        <v>3</v>
      </c>
      <c r="BT440" t="s">
        <v>246</v>
      </c>
      <c r="BU440" t="s">
        <v>267</v>
      </c>
      <c r="BV440" t="b">
        <v>0</v>
      </c>
      <c r="BW440" t="s">
        <v>268</v>
      </c>
    </row>
    <row r="441" spans="1:75">
      <c r="A441" t="s">
        <v>246</v>
      </c>
      <c r="B441" t="s">
        <v>252</v>
      </c>
      <c r="C441">
        <v>795</v>
      </c>
      <c r="D441" t="s">
        <v>253</v>
      </c>
      <c r="E441" t="s">
        <v>254</v>
      </c>
      <c r="F441">
        <v>5</v>
      </c>
      <c r="G441" s="13">
        <v>46266.647766203707</v>
      </c>
      <c r="H441" s="13">
        <v>46266.649351851855</v>
      </c>
      <c r="I441">
        <v>137</v>
      </c>
      <c r="J441" t="s">
        <v>264</v>
      </c>
      <c r="K441">
        <v>1</v>
      </c>
      <c r="L441">
        <v>0.01</v>
      </c>
      <c r="M441">
        <v>0.01</v>
      </c>
      <c r="N441">
        <v>1</v>
      </c>
      <c r="O441">
        <v>0.01</v>
      </c>
      <c r="P441">
        <v>2.19</v>
      </c>
      <c r="Q441">
        <v>2.97</v>
      </c>
      <c r="R441">
        <v>2.97</v>
      </c>
      <c r="S441" t="s">
        <v>256</v>
      </c>
      <c r="T441" t="s">
        <v>257</v>
      </c>
      <c r="U441">
        <v>10</v>
      </c>
      <c r="V441">
        <v>6988.62</v>
      </c>
      <c r="W441">
        <v>4999.84</v>
      </c>
      <c r="X441">
        <v>4997.8100000000004</v>
      </c>
      <c r="Y441">
        <v>0</v>
      </c>
      <c r="Z441">
        <v>0</v>
      </c>
      <c r="AA441">
        <v>35</v>
      </c>
      <c r="AB441">
        <v>50</v>
      </c>
      <c r="AC441">
        <v>5000</v>
      </c>
      <c r="AD441">
        <v>0</v>
      </c>
      <c r="AE441">
        <v>0</v>
      </c>
      <c r="AF441">
        <v>6991.4</v>
      </c>
      <c r="AG441">
        <v>6991.4</v>
      </c>
      <c r="AH441" s="14">
        <v>46266</v>
      </c>
      <c r="AI441" t="s">
        <v>266</v>
      </c>
      <c r="AJ441" s="13">
        <v>46265.054768518516</v>
      </c>
      <c r="AK441">
        <v>6763.31</v>
      </c>
      <c r="AL441" t="s">
        <v>259</v>
      </c>
      <c r="AM441" t="s">
        <v>260</v>
      </c>
      <c r="AN441">
        <v>1400</v>
      </c>
      <c r="AO441">
        <v>0</v>
      </c>
      <c r="AP441">
        <v>35</v>
      </c>
      <c r="AQ441">
        <v>85</v>
      </c>
      <c r="AR441">
        <v>35</v>
      </c>
      <c r="AS441">
        <v>2</v>
      </c>
      <c r="AT441">
        <v>23</v>
      </c>
      <c r="AU441">
        <v>1</v>
      </c>
      <c r="AV441">
        <v>0</v>
      </c>
      <c r="AW441">
        <v>10</v>
      </c>
      <c r="AX441">
        <v>1</v>
      </c>
      <c r="AY441">
        <v>5</v>
      </c>
      <c r="AZ441">
        <v>2</v>
      </c>
      <c r="BA441">
        <v>1</v>
      </c>
      <c r="BB441">
        <v>1440</v>
      </c>
      <c r="BC441">
        <v>0</v>
      </c>
      <c r="BD441">
        <v>0</v>
      </c>
      <c r="BE441">
        <v>14</v>
      </c>
      <c r="BF441">
        <v>25</v>
      </c>
      <c r="BG441">
        <v>3</v>
      </c>
      <c r="BH441">
        <v>8</v>
      </c>
      <c r="BI441">
        <v>3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0</v>
      </c>
      <c r="BQ441">
        <v>60</v>
      </c>
      <c r="BR441">
        <v>0</v>
      </c>
      <c r="BS441">
        <v>3</v>
      </c>
      <c r="BT441" t="s">
        <v>246</v>
      </c>
      <c r="BU441" t="s">
        <v>267</v>
      </c>
      <c r="BV441" t="b">
        <v>0</v>
      </c>
      <c r="BW441" t="s">
        <v>268</v>
      </c>
    </row>
    <row r="442" spans="1:75">
      <c r="A442" t="s">
        <v>246</v>
      </c>
      <c r="B442" t="s">
        <v>252</v>
      </c>
      <c r="C442">
        <v>796</v>
      </c>
      <c r="D442" t="s">
        <v>253</v>
      </c>
      <c r="E442" t="s">
        <v>254</v>
      </c>
      <c r="F442">
        <v>5</v>
      </c>
      <c r="G442" s="13">
        <v>46266.650057870371</v>
      </c>
      <c r="H442" s="13">
        <v>46266.650763888887</v>
      </c>
      <c r="I442">
        <v>61</v>
      </c>
      <c r="J442" t="s">
        <v>264</v>
      </c>
      <c r="K442">
        <v>1</v>
      </c>
      <c r="L442">
        <v>0.01</v>
      </c>
      <c r="M442">
        <v>0.01</v>
      </c>
      <c r="N442">
        <v>1</v>
      </c>
      <c r="O442">
        <v>0.01</v>
      </c>
      <c r="P442">
        <v>2.0699999999999998</v>
      </c>
      <c r="Q442">
        <v>1.99</v>
      </c>
      <c r="R442">
        <v>1.67</v>
      </c>
      <c r="S442" t="s">
        <v>256</v>
      </c>
      <c r="T442" t="s">
        <v>257</v>
      </c>
      <c r="U442">
        <v>11</v>
      </c>
      <c r="V442">
        <v>6991.24</v>
      </c>
      <c r="W442">
        <v>4999.84</v>
      </c>
      <c r="X442">
        <v>4997.93</v>
      </c>
      <c r="Y442">
        <v>0</v>
      </c>
      <c r="Z442">
        <v>0</v>
      </c>
      <c r="AA442">
        <v>35</v>
      </c>
      <c r="AB442">
        <v>50</v>
      </c>
      <c r="AC442">
        <v>5000</v>
      </c>
      <c r="AD442">
        <v>0</v>
      </c>
      <c r="AE442">
        <v>0</v>
      </c>
      <c r="AF442">
        <v>6993.04</v>
      </c>
      <c r="AG442">
        <v>6993.04</v>
      </c>
      <c r="AH442" s="14">
        <v>46266</v>
      </c>
      <c r="AI442" t="s">
        <v>266</v>
      </c>
      <c r="AJ442" s="13">
        <v>46265.054768518516</v>
      </c>
      <c r="AK442">
        <v>6763.31</v>
      </c>
      <c r="AL442" t="s">
        <v>259</v>
      </c>
      <c r="AM442" t="s">
        <v>260</v>
      </c>
      <c r="AN442">
        <v>1400</v>
      </c>
      <c r="AO442">
        <v>0</v>
      </c>
      <c r="AP442">
        <v>35</v>
      </c>
      <c r="AQ442">
        <v>85</v>
      </c>
      <c r="AR442">
        <v>35</v>
      </c>
      <c r="AS442">
        <v>2</v>
      </c>
      <c r="AT442">
        <v>23</v>
      </c>
      <c r="AU442">
        <v>1</v>
      </c>
      <c r="AV442">
        <v>0</v>
      </c>
      <c r="AW442">
        <v>10</v>
      </c>
      <c r="AX442">
        <v>1</v>
      </c>
      <c r="AY442">
        <v>5</v>
      </c>
      <c r="AZ442">
        <v>2</v>
      </c>
      <c r="BA442">
        <v>1</v>
      </c>
      <c r="BB442">
        <v>1440</v>
      </c>
      <c r="BC442">
        <v>0</v>
      </c>
      <c r="BD442">
        <v>0</v>
      </c>
      <c r="BE442">
        <v>14</v>
      </c>
      <c r="BF442">
        <v>25</v>
      </c>
      <c r="BG442">
        <v>3</v>
      </c>
      <c r="BH442">
        <v>8</v>
      </c>
      <c r="BI442">
        <v>3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60</v>
      </c>
      <c r="BR442">
        <v>0</v>
      </c>
      <c r="BS442">
        <v>3</v>
      </c>
      <c r="BT442" t="s">
        <v>246</v>
      </c>
      <c r="BU442" t="s">
        <v>267</v>
      </c>
      <c r="BV442" t="b">
        <v>0</v>
      </c>
      <c r="BW442" t="s">
        <v>268</v>
      </c>
    </row>
    <row r="443" spans="1:75">
      <c r="A443" t="s">
        <v>246</v>
      </c>
      <c r="B443" t="s">
        <v>252</v>
      </c>
      <c r="C443">
        <v>797</v>
      </c>
      <c r="D443" t="s">
        <v>253</v>
      </c>
      <c r="E443" t="s">
        <v>254</v>
      </c>
      <c r="F443">
        <v>5</v>
      </c>
      <c r="G443" s="13">
        <v>46266.655046296299</v>
      </c>
      <c r="H443" s="13">
        <v>46266.655428240738</v>
      </c>
      <c r="I443">
        <v>33</v>
      </c>
      <c r="J443" t="s">
        <v>255</v>
      </c>
      <c r="K443">
        <v>1</v>
      </c>
      <c r="L443">
        <v>0.01</v>
      </c>
      <c r="M443">
        <v>0.01</v>
      </c>
      <c r="N443">
        <v>1</v>
      </c>
      <c r="O443">
        <v>0.01</v>
      </c>
      <c r="P443">
        <v>1.84</v>
      </c>
      <c r="Q443">
        <v>1.39</v>
      </c>
      <c r="R443">
        <v>1.39</v>
      </c>
      <c r="S443" t="s">
        <v>256</v>
      </c>
      <c r="T443" t="s">
        <v>257</v>
      </c>
      <c r="U443">
        <v>11</v>
      </c>
      <c r="V443">
        <v>6992.88</v>
      </c>
      <c r="W443">
        <v>4999.84</v>
      </c>
      <c r="X443">
        <v>4998.16</v>
      </c>
      <c r="Y443">
        <v>0</v>
      </c>
      <c r="Z443">
        <v>0</v>
      </c>
      <c r="AA443">
        <v>35</v>
      </c>
      <c r="AB443">
        <v>50</v>
      </c>
      <c r="AC443">
        <v>5000</v>
      </c>
      <c r="AD443">
        <v>0</v>
      </c>
      <c r="AE443">
        <v>0</v>
      </c>
      <c r="AF443">
        <v>6994.08</v>
      </c>
      <c r="AG443">
        <v>6994.08</v>
      </c>
      <c r="AH443" s="14">
        <v>46266</v>
      </c>
      <c r="AI443" t="s">
        <v>266</v>
      </c>
      <c r="AJ443" s="13">
        <v>46265.054768518516</v>
      </c>
      <c r="AK443">
        <v>6763.31</v>
      </c>
      <c r="AL443" t="s">
        <v>259</v>
      </c>
      <c r="AM443" t="s">
        <v>260</v>
      </c>
      <c r="AN443">
        <v>1400</v>
      </c>
      <c r="AO443">
        <v>0</v>
      </c>
      <c r="AP443">
        <v>35</v>
      </c>
      <c r="AQ443">
        <v>85</v>
      </c>
      <c r="AR443">
        <v>35</v>
      </c>
      <c r="AS443">
        <v>2</v>
      </c>
      <c r="AT443">
        <v>23</v>
      </c>
      <c r="AU443">
        <v>1</v>
      </c>
      <c r="AV443">
        <v>0</v>
      </c>
      <c r="AW443">
        <v>10</v>
      </c>
      <c r="AX443">
        <v>1</v>
      </c>
      <c r="AY443">
        <v>5</v>
      </c>
      <c r="AZ443">
        <v>2</v>
      </c>
      <c r="BA443">
        <v>1</v>
      </c>
      <c r="BB443">
        <v>1440</v>
      </c>
      <c r="BC443">
        <v>0</v>
      </c>
      <c r="BD443">
        <v>0</v>
      </c>
      <c r="BE443">
        <v>14</v>
      </c>
      <c r="BF443">
        <v>25</v>
      </c>
      <c r="BG443">
        <v>3</v>
      </c>
      <c r="BH443">
        <v>8</v>
      </c>
      <c r="BI443">
        <v>3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0</v>
      </c>
      <c r="BQ443">
        <v>60</v>
      </c>
      <c r="BR443">
        <v>0</v>
      </c>
      <c r="BS443">
        <v>3</v>
      </c>
      <c r="BT443" t="s">
        <v>246</v>
      </c>
      <c r="BU443" t="s">
        <v>267</v>
      </c>
      <c r="BV443" t="b">
        <v>0</v>
      </c>
      <c r="BW443" t="s">
        <v>268</v>
      </c>
    </row>
    <row r="444" spans="1:75">
      <c r="A444" t="s">
        <v>246</v>
      </c>
      <c r="B444" t="s">
        <v>252</v>
      </c>
      <c r="C444">
        <v>798</v>
      </c>
      <c r="D444" t="s">
        <v>253</v>
      </c>
      <c r="E444" t="s">
        <v>254</v>
      </c>
      <c r="F444">
        <v>5</v>
      </c>
      <c r="G444" s="13">
        <v>46266.658125000002</v>
      </c>
      <c r="H444" s="13">
        <v>46266.65829861111</v>
      </c>
      <c r="I444">
        <v>15</v>
      </c>
      <c r="J444" t="s">
        <v>255</v>
      </c>
      <c r="K444">
        <v>1</v>
      </c>
      <c r="L444">
        <v>0.01</v>
      </c>
      <c r="M444">
        <v>0.01</v>
      </c>
      <c r="N444">
        <v>1</v>
      </c>
      <c r="O444">
        <v>0.01</v>
      </c>
      <c r="P444">
        <v>0.31</v>
      </c>
      <c r="Q444">
        <v>0.85</v>
      </c>
      <c r="R444">
        <v>0.85</v>
      </c>
      <c r="S444" t="s">
        <v>256</v>
      </c>
      <c r="T444" t="s">
        <v>257</v>
      </c>
      <c r="U444">
        <v>10</v>
      </c>
      <c r="V444">
        <v>6993.92</v>
      </c>
      <c r="W444">
        <v>4999.84</v>
      </c>
      <c r="X444">
        <v>4999.6899999999996</v>
      </c>
      <c r="Y444">
        <v>0</v>
      </c>
      <c r="Z444">
        <v>0</v>
      </c>
      <c r="AA444">
        <v>35</v>
      </c>
      <c r="AB444">
        <v>50</v>
      </c>
      <c r="AC444">
        <v>5000</v>
      </c>
      <c r="AD444">
        <v>0</v>
      </c>
      <c r="AE444">
        <v>0</v>
      </c>
      <c r="AF444">
        <v>6994.58</v>
      </c>
      <c r="AG444">
        <v>6994.58</v>
      </c>
      <c r="AH444" s="14">
        <v>46266</v>
      </c>
      <c r="AI444" t="s">
        <v>266</v>
      </c>
      <c r="AJ444" s="13">
        <v>46265.054768518516</v>
      </c>
      <c r="AK444">
        <v>6763.31</v>
      </c>
      <c r="AL444" t="s">
        <v>259</v>
      </c>
      <c r="AM444" t="s">
        <v>260</v>
      </c>
      <c r="AN444">
        <v>1400</v>
      </c>
      <c r="AO444">
        <v>0</v>
      </c>
      <c r="AP444">
        <v>35</v>
      </c>
      <c r="AQ444">
        <v>85</v>
      </c>
      <c r="AR444">
        <v>35</v>
      </c>
      <c r="AS444">
        <v>2</v>
      </c>
      <c r="AT444">
        <v>23</v>
      </c>
      <c r="AU444">
        <v>1</v>
      </c>
      <c r="AV444">
        <v>0</v>
      </c>
      <c r="AW444">
        <v>10</v>
      </c>
      <c r="AX444">
        <v>1</v>
      </c>
      <c r="AY444">
        <v>5</v>
      </c>
      <c r="AZ444">
        <v>2</v>
      </c>
      <c r="BA444">
        <v>1</v>
      </c>
      <c r="BB444">
        <v>1440</v>
      </c>
      <c r="BC444">
        <v>0</v>
      </c>
      <c r="BD444">
        <v>0</v>
      </c>
      <c r="BE444">
        <v>14</v>
      </c>
      <c r="BF444">
        <v>25</v>
      </c>
      <c r="BG444">
        <v>3</v>
      </c>
      <c r="BH444">
        <v>8</v>
      </c>
      <c r="BI444">
        <v>3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60</v>
      </c>
      <c r="BR444">
        <v>0</v>
      </c>
      <c r="BS444">
        <v>3</v>
      </c>
      <c r="BT444" t="s">
        <v>246</v>
      </c>
      <c r="BU444" t="s">
        <v>267</v>
      </c>
      <c r="BV444" t="b">
        <v>0</v>
      </c>
      <c r="BW444" t="s">
        <v>268</v>
      </c>
    </row>
    <row r="445" spans="1:75">
      <c r="A445" t="s">
        <v>246</v>
      </c>
      <c r="B445" t="s">
        <v>252</v>
      </c>
      <c r="C445">
        <v>799</v>
      </c>
      <c r="D445" t="s">
        <v>253</v>
      </c>
      <c r="E445" t="s">
        <v>254</v>
      </c>
      <c r="F445">
        <v>5</v>
      </c>
      <c r="G445" s="13">
        <v>46266.664027777777</v>
      </c>
      <c r="H445" s="13">
        <v>46266.66615740741</v>
      </c>
      <c r="I445">
        <v>184</v>
      </c>
      <c r="J445" t="s">
        <v>264</v>
      </c>
      <c r="K445">
        <v>1</v>
      </c>
      <c r="L445">
        <v>0.01</v>
      </c>
      <c r="M445">
        <v>0.01</v>
      </c>
      <c r="N445">
        <v>1</v>
      </c>
      <c r="O445">
        <v>0.01</v>
      </c>
      <c r="P445">
        <v>3</v>
      </c>
      <c r="Q445">
        <v>2</v>
      </c>
      <c r="R445">
        <v>1.81</v>
      </c>
      <c r="S445" t="s">
        <v>256</v>
      </c>
      <c r="T445" t="s">
        <v>257</v>
      </c>
      <c r="U445">
        <v>11</v>
      </c>
      <c r="V445">
        <v>6994.42</v>
      </c>
      <c r="W445">
        <v>4999.84</v>
      </c>
      <c r="X445">
        <v>4997</v>
      </c>
      <c r="Y445">
        <v>0</v>
      </c>
      <c r="Z445">
        <v>0</v>
      </c>
      <c r="AA445">
        <v>35</v>
      </c>
      <c r="AB445">
        <v>50</v>
      </c>
      <c r="AC445">
        <v>5000</v>
      </c>
      <c r="AD445">
        <v>0</v>
      </c>
      <c r="AE445">
        <v>0</v>
      </c>
      <c r="AF445">
        <v>6996.23</v>
      </c>
      <c r="AG445">
        <v>6996.23</v>
      </c>
      <c r="AH445" s="14">
        <v>46266</v>
      </c>
      <c r="AI445" t="s">
        <v>266</v>
      </c>
      <c r="AJ445" s="13">
        <v>46265.054768518516</v>
      </c>
      <c r="AK445">
        <v>6763.31</v>
      </c>
      <c r="AL445" t="s">
        <v>259</v>
      </c>
      <c r="AM445" t="s">
        <v>260</v>
      </c>
      <c r="AN445">
        <v>1400</v>
      </c>
      <c r="AO445">
        <v>0</v>
      </c>
      <c r="AP445">
        <v>35</v>
      </c>
      <c r="AQ445">
        <v>85</v>
      </c>
      <c r="AR445">
        <v>35</v>
      </c>
      <c r="AS445">
        <v>2</v>
      </c>
      <c r="AT445">
        <v>23</v>
      </c>
      <c r="AU445">
        <v>1</v>
      </c>
      <c r="AV445">
        <v>0</v>
      </c>
      <c r="AW445">
        <v>10</v>
      </c>
      <c r="AX445">
        <v>1</v>
      </c>
      <c r="AY445">
        <v>5</v>
      </c>
      <c r="AZ445">
        <v>2</v>
      </c>
      <c r="BA445">
        <v>1</v>
      </c>
      <c r="BB445">
        <v>1440</v>
      </c>
      <c r="BC445">
        <v>0</v>
      </c>
      <c r="BD445">
        <v>0</v>
      </c>
      <c r="BE445">
        <v>14</v>
      </c>
      <c r="BF445">
        <v>25</v>
      </c>
      <c r="BG445">
        <v>3</v>
      </c>
      <c r="BH445">
        <v>8</v>
      </c>
      <c r="BI445">
        <v>3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60</v>
      </c>
      <c r="BR445">
        <v>0</v>
      </c>
      <c r="BS445">
        <v>3</v>
      </c>
      <c r="BT445" t="s">
        <v>246</v>
      </c>
      <c r="BU445" t="s">
        <v>267</v>
      </c>
      <c r="BV445" t="b">
        <v>0</v>
      </c>
      <c r="BW445" t="s">
        <v>268</v>
      </c>
    </row>
    <row r="446" spans="1:75">
      <c r="A446" t="s">
        <v>246</v>
      </c>
      <c r="B446" t="s">
        <v>252</v>
      </c>
      <c r="C446">
        <v>800</v>
      </c>
      <c r="D446" t="s">
        <v>253</v>
      </c>
      <c r="E446" t="s">
        <v>254</v>
      </c>
      <c r="F446">
        <v>5</v>
      </c>
      <c r="G446" s="13">
        <v>46266.667129629626</v>
      </c>
      <c r="H446" s="13">
        <v>46266.669432870367</v>
      </c>
      <c r="I446">
        <v>199</v>
      </c>
      <c r="J446" t="s">
        <v>264</v>
      </c>
      <c r="K446">
        <v>1</v>
      </c>
      <c r="L446">
        <v>0.01</v>
      </c>
      <c r="M446">
        <v>0.01</v>
      </c>
      <c r="N446">
        <v>1</v>
      </c>
      <c r="O446">
        <v>0.01</v>
      </c>
      <c r="P446">
        <v>0.19</v>
      </c>
      <c r="Q446">
        <v>14</v>
      </c>
      <c r="R446">
        <v>14</v>
      </c>
      <c r="S446" t="s">
        <v>256</v>
      </c>
      <c r="T446" t="s">
        <v>257</v>
      </c>
      <c r="U446">
        <v>10</v>
      </c>
      <c r="V446">
        <v>6996.07</v>
      </c>
      <c r="W446">
        <v>4999.84</v>
      </c>
      <c r="X446">
        <v>4999.8100000000004</v>
      </c>
      <c r="Y446">
        <v>0</v>
      </c>
      <c r="Z446">
        <v>0</v>
      </c>
      <c r="AA446">
        <v>35</v>
      </c>
      <c r="AB446">
        <v>50</v>
      </c>
      <c r="AC446">
        <v>5000</v>
      </c>
      <c r="AD446">
        <v>0</v>
      </c>
      <c r="AE446">
        <v>0</v>
      </c>
      <c r="AF446">
        <v>7009.88</v>
      </c>
      <c r="AG446">
        <v>7009.88</v>
      </c>
      <c r="AH446" s="14">
        <v>46266</v>
      </c>
      <c r="AI446" t="s">
        <v>266</v>
      </c>
      <c r="AJ446" s="13">
        <v>46265.054768518516</v>
      </c>
      <c r="AK446">
        <v>6763.31</v>
      </c>
      <c r="AL446" t="s">
        <v>259</v>
      </c>
      <c r="AM446" t="s">
        <v>260</v>
      </c>
      <c r="AN446">
        <v>1400</v>
      </c>
      <c r="AO446">
        <v>0</v>
      </c>
      <c r="AP446">
        <v>35</v>
      </c>
      <c r="AQ446">
        <v>85</v>
      </c>
      <c r="AR446">
        <v>35</v>
      </c>
      <c r="AS446">
        <v>2</v>
      </c>
      <c r="AT446">
        <v>23</v>
      </c>
      <c r="AU446">
        <v>1</v>
      </c>
      <c r="AV446">
        <v>0</v>
      </c>
      <c r="AW446">
        <v>10</v>
      </c>
      <c r="AX446">
        <v>1</v>
      </c>
      <c r="AY446">
        <v>5</v>
      </c>
      <c r="AZ446">
        <v>2</v>
      </c>
      <c r="BA446">
        <v>1</v>
      </c>
      <c r="BB446">
        <v>1440</v>
      </c>
      <c r="BC446">
        <v>0</v>
      </c>
      <c r="BD446">
        <v>0</v>
      </c>
      <c r="BE446">
        <v>14</v>
      </c>
      <c r="BF446">
        <v>25</v>
      </c>
      <c r="BG446">
        <v>3</v>
      </c>
      <c r="BH446">
        <v>8</v>
      </c>
      <c r="BI446">
        <v>3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60</v>
      </c>
      <c r="BR446">
        <v>0</v>
      </c>
      <c r="BS446">
        <v>3</v>
      </c>
      <c r="BT446" t="s">
        <v>246</v>
      </c>
      <c r="BU446" t="s">
        <v>267</v>
      </c>
      <c r="BV446" t="b">
        <v>0</v>
      </c>
      <c r="BW446" t="s">
        <v>268</v>
      </c>
    </row>
    <row r="447" spans="1:75">
      <c r="A447" t="s">
        <v>246</v>
      </c>
      <c r="B447" t="s">
        <v>252</v>
      </c>
      <c r="C447">
        <v>801</v>
      </c>
      <c r="D447" t="s">
        <v>253</v>
      </c>
      <c r="E447" t="s">
        <v>254</v>
      </c>
      <c r="F447">
        <v>5</v>
      </c>
      <c r="G447" s="13">
        <v>46266.670439814814</v>
      </c>
      <c r="H447" s="13">
        <v>46266.67328703704</v>
      </c>
      <c r="I447">
        <v>246</v>
      </c>
      <c r="J447" t="s">
        <v>264</v>
      </c>
      <c r="K447">
        <v>1</v>
      </c>
      <c r="L447">
        <v>0.01</v>
      </c>
      <c r="M447">
        <v>0.01</v>
      </c>
      <c r="N447">
        <v>1</v>
      </c>
      <c r="O447">
        <v>0.01</v>
      </c>
      <c r="P447">
        <v>7.16</v>
      </c>
      <c r="Q447">
        <v>1.34</v>
      </c>
      <c r="R447">
        <v>1.34</v>
      </c>
      <c r="S447" t="s">
        <v>256</v>
      </c>
      <c r="T447" t="s">
        <v>257</v>
      </c>
      <c r="U447">
        <v>10</v>
      </c>
      <c r="V447">
        <v>7009.72</v>
      </c>
      <c r="W447">
        <v>4999.84</v>
      </c>
      <c r="X447">
        <v>4992.84</v>
      </c>
      <c r="Y447">
        <v>0</v>
      </c>
      <c r="Z447">
        <v>0</v>
      </c>
      <c r="AA447">
        <v>35</v>
      </c>
      <c r="AB447">
        <v>50</v>
      </c>
      <c r="AC447">
        <v>5000</v>
      </c>
      <c r="AD447">
        <v>0</v>
      </c>
      <c r="AE447">
        <v>0</v>
      </c>
      <c r="AF447">
        <v>7010.87</v>
      </c>
      <c r="AG447">
        <v>7010.87</v>
      </c>
      <c r="AH447" s="14">
        <v>46266</v>
      </c>
      <c r="AI447" t="s">
        <v>266</v>
      </c>
      <c r="AJ447" s="13">
        <v>46265.054768518516</v>
      </c>
      <c r="AK447">
        <v>6763.31</v>
      </c>
      <c r="AL447" t="s">
        <v>259</v>
      </c>
      <c r="AM447" t="s">
        <v>260</v>
      </c>
      <c r="AN447">
        <v>1400</v>
      </c>
      <c r="AO447">
        <v>0</v>
      </c>
      <c r="AP447">
        <v>35</v>
      </c>
      <c r="AQ447">
        <v>85</v>
      </c>
      <c r="AR447">
        <v>35</v>
      </c>
      <c r="AS447">
        <v>2</v>
      </c>
      <c r="AT447">
        <v>23</v>
      </c>
      <c r="AU447">
        <v>1</v>
      </c>
      <c r="AV447">
        <v>0</v>
      </c>
      <c r="AW447">
        <v>10</v>
      </c>
      <c r="AX447">
        <v>1</v>
      </c>
      <c r="AY447">
        <v>5</v>
      </c>
      <c r="AZ447">
        <v>2</v>
      </c>
      <c r="BA447">
        <v>1</v>
      </c>
      <c r="BB447">
        <v>1440</v>
      </c>
      <c r="BC447">
        <v>0</v>
      </c>
      <c r="BD447">
        <v>0</v>
      </c>
      <c r="BE447">
        <v>14</v>
      </c>
      <c r="BF447">
        <v>25</v>
      </c>
      <c r="BG447">
        <v>3</v>
      </c>
      <c r="BH447">
        <v>8</v>
      </c>
      <c r="BI447">
        <v>3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0</v>
      </c>
      <c r="BQ447">
        <v>60</v>
      </c>
      <c r="BR447">
        <v>0</v>
      </c>
      <c r="BS447">
        <v>3</v>
      </c>
      <c r="BT447" t="s">
        <v>246</v>
      </c>
      <c r="BU447" t="s">
        <v>267</v>
      </c>
      <c r="BV447" t="b">
        <v>0</v>
      </c>
      <c r="BW447" t="s">
        <v>268</v>
      </c>
    </row>
    <row r="448" spans="1:75">
      <c r="A448" t="s">
        <v>246</v>
      </c>
      <c r="B448" t="s">
        <v>252</v>
      </c>
      <c r="C448">
        <v>802</v>
      </c>
      <c r="D448" t="s">
        <v>253</v>
      </c>
      <c r="E448" t="s">
        <v>254</v>
      </c>
      <c r="F448">
        <v>5</v>
      </c>
      <c r="G448" s="13">
        <v>46266.674803240741</v>
      </c>
      <c r="H448" s="13">
        <v>46266.67528935185</v>
      </c>
      <c r="I448">
        <v>42</v>
      </c>
      <c r="J448" t="s">
        <v>264</v>
      </c>
      <c r="K448">
        <v>1</v>
      </c>
      <c r="L448">
        <v>0.01</v>
      </c>
      <c r="M448">
        <v>0.01</v>
      </c>
      <c r="N448">
        <v>1</v>
      </c>
      <c r="O448">
        <v>0.01</v>
      </c>
      <c r="P448">
        <v>0.72</v>
      </c>
      <c r="Q448">
        <v>2.33</v>
      </c>
      <c r="R448">
        <v>2.33</v>
      </c>
      <c r="S448" t="s">
        <v>256</v>
      </c>
      <c r="T448" t="s">
        <v>257</v>
      </c>
      <c r="U448">
        <v>11</v>
      </c>
      <c r="V448">
        <v>7010.71</v>
      </c>
      <c r="W448">
        <v>4999.84</v>
      </c>
      <c r="X448">
        <v>4999.28</v>
      </c>
      <c r="Y448">
        <v>0</v>
      </c>
      <c r="Z448">
        <v>0</v>
      </c>
      <c r="AA448">
        <v>35</v>
      </c>
      <c r="AB448">
        <v>50</v>
      </c>
      <c r="AC448">
        <v>5000</v>
      </c>
      <c r="AD448">
        <v>0</v>
      </c>
      <c r="AE448">
        <v>0</v>
      </c>
      <c r="AF448">
        <v>7012.85</v>
      </c>
      <c r="AG448">
        <v>7012.85</v>
      </c>
      <c r="AH448" s="14">
        <v>46266</v>
      </c>
      <c r="AI448" t="s">
        <v>266</v>
      </c>
      <c r="AJ448" s="13">
        <v>46265.054768518516</v>
      </c>
      <c r="AK448">
        <v>6763.31</v>
      </c>
      <c r="AL448" t="s">
        <v>259</v>
      </c>
      <c r="AM448" t="s">
        <v>260</v>
      </c>
      <c r="AN448">
        <v>1400</v>
      </c>
      <c r="AO448">
        <v>0</v>
      </c>
      <c r="AP448">
        <v>35</v>
      </c>
      <c r="AQ448">
        <v>85</v>
      </c>
      <c r="AR448">
        <v>35</v>
      </c>
      <c r="AS448">
        <v>2</v>
      </c>
      <c r="AT448">
        <v>23</v>
      </c>
      <c r="AU448">
        <v>1</v>
      </c>
      <c r="AV448">
        <v>0</v>
      </c>
      <c r="AW448">
        <v>10</v>
      </c>
      <c r="AX448">
        <v>1</v>
      </c>
      <c r="AY448">
        <v>5</v>
      </c>
      <c r="AZ448">
        <v>2</v>
      </c>
      <c r="BA448">
        <v>1</v>
      </c>
      <c r="BB448">
        <v>1440</v>
      </c>
      <c r="BC448">
        <v>0</v>
      </c>
      <c r="BD448">
        <v>0</v>
      </c>
      <c r="BE448">
        <v>14</v>
      </c>
      <c r="BF448">
        <v>25</v>
      </c>
      <c r="BG448">
        <v>3</v>
      </c>
      <c r="BH448">
        <v>8</v>
      </c>
      <c r="BI448">
        <v>3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0</v>
      </c>
      <c r="BQ448">
        <v>60</v>
      </c>
      <c r="BR448">
        <v>0</v>
      </c>
      <c r="BS448">
        <v>3</v>
      </c>
      <c r="BT448" t="s">
        <v>246</v>
      </c>
      <c r="BU448" t="s">
        <v>267</v>
      </c>
      <c r="BV448" t="b">
        <v>0</v>
      </c>
      <c r="BW448" t="s">
        <v>268</v>
      </c>
    </row>
    <row r="449" spans="1:75">
      <c r="A449" t="s">
        <v>246</v>
      </c>
      <c r="B449" t="s">
        <v>252</v>
      </c>
      <c r="C449">
        <v>803</v>
      </c>
      <c r="D449" t="s">
        <v>253</v>
      </c>
      <c r="E449" t="s">
        <v>254</v>
      </c>
      <c r="F449">
        <v>5</v>
      </c>
      <c r="G449" s="13">
        <v>46266.677569444444</v>
      </c>
      <c r="H449" s="13">
        <v>46266.678368055553</v>
      </c>
      <c r="I449">
        <v>69</v>
      </c>
      <c r="J449" t="s">
        <v>255</v>
      </c>
      <c r="K449">
        <v>1</v>
      </c>
      <c r="L449">
        <v>0.01</v>
      </c>
      <c r="M449">
        <v>0.01</v>
      </c>
      <c r="N449">
        <v>1</v>
      </c>
      <c r="O449">
        <v>0.01</v>
      </c>
      <c r="P449">
        <v>2.62</v>
      </c>
      <c r="Q449">
        <v>0.81</v>
      </c>
      <c r="R449">
        <v>0.75</v>
      </c>
      <c r="S449" t="s">
        <v>256</v>
      </c>
      <c r="T449" t="s">
        <v>257</v>
      </c>
      <c r="U449">
        <v>10</v>
      </c>
      <c r="V449">
        <v>7012.68</v>
      </c>
      <c r="W449">
        <v>4999.83</v>
      </c>
      <c r="X449">
        <v>4997.38</v>
      </c>
      <c r="Y449">
        <v>0</v>
      </c>
      <c r="Z449">
        <v>0</v>
      </c>
      <c r="AA449">
        <v>35</v>
      </c>
      <c r="AB449">
        <v>50</v>
      </c>
      <c r="AC449">
        <v>5000</v>
      </c>
      <c r="AD449">
        <v>0</v>
      </c>
      <c r="AE449">
        <v>0</v>
      </c>
      <c r="AF449">
        <v>7013.31</v>
      </c>
      <c r="AG449">
        <v>7013.31</v>
      </c>
      <c r="AH449" s="14">
        <v>46266</v>
      </c>
      <c r="AI449" t="s">
        <v>266</v>
      </c>
      <c r="AJ449" s="13">
        <v>46265.054768518516</v>
      </c>
      <c r="AK449">
        <v>6763.31</v>
      </c>
      <c r="AL449" t="s">
        <v>259</v>
      </c>
      <c r="AM449" t="s">
        <v>260</v>
      </c>
      <c r="AN449">
        <v>1400</v>
      </c>
      <c r="AO449">
        <v>0</v>
      </c>
      <c r="AP449">
        <v>35</v>
      </c>
      <c r="AQ449">
        <v>85</v>
      </c>
      <c r="AR449">
        <v>35</v>
      </c>
      <c r="AS449">
        <v>2</v>
      </c>
      <c r="AT449">
        <v>23</v>
      </c>
      <c r="AU449">
        <v>1</v>
      </c>
      <c r="AV449">
        <v>0</v>
      </c>
      <c r="AW449">
        <v>10</v>
      </c>
      <c r="AX449">
        <v>1</v>
      </c>
      <c r="AY449">
        <v>5</v>
      </c>
      <c r="AZ449">
        <v>2</v>
      </c>
      <c r="BA449">
        <v>1</v>
      </c>
      <c r="BB449">
        <v>1440</v>
      </c>
      <c r="BC449">
        <v>0</v>
      </c>
      <c r="BD449">
        <v>0</v>
      </c>
      <c r="BE449">
        <v>14</v>
      </c>
      <c r="BF449">
        <v>25</v>
      </c>
      <c r="BG449">
        <v>3</v>
      </c>
      <c r="BH449">
        <v>8</v>
      </c>
      <c r="BI449">
        <v>3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0</v>
      </c>
      <c r="BQ449">
        <v>60</v>
      </c>
      <c r="BR449">
        <v>0</v>
      </c>
      <c r="BS449">
        <v>3</v>
      </c>
      <c r="BT449" t="s">
        <v>246</v>
      </c>
      <c r="BU449" t="s">
        <v>267</v>
      </c>
      <c r="BV449" t="b">
        <v>0</v>
      </c>
      <c r="BW449" t="s">
        <v>268</v>
      </c>
    </row>
    <row r="450" spans="1:75">
      <c r="A450" t="s">
        <v>246</v>
      </c>
      <c r="B450" t="s">
        <v>252</v>
      </c>
      <c r="C450">
        <v>804</v>
      </c>
      <c r="D450" t="s">
        <v>253</v>
      </c>
      <c r="E450" t="s">
        <v>254</v>
      </c>
      <c r="F450">
        <v>5</v>
      </c>
      <c r="G450" s="13">
        <v>46266.681643518517</v>
      </c>
      <c r="H450" s="13">
        <v>46266.683055555557</v>
      </c>
      <c r="I450">
        <v>122</v>
      </c>
      <c r="J450" t="s">
        <v>255</v>
      </c>
      <c r="K450">
        <v>1</v>
      </c>
      <c r="L450">
        <v>0.01</v>
      </c>
      <c r="M450">
        <v>0.01</v>
      </c>
      <c r="N450">
        <v>1</v>
      </c>
      <c r="O450">
        <v>0.01</v>
      </c>
      <c r="P450">
        <v>2.99</v>
      </c>
      <c r="Q450">
        <v>0.86</v>
      </c>
      <c r="R450">
        <v>0.71</v>
      </c>
      <c r="S450" t="s">
        <v>256</v>
      </c>
      <c r="T450" t="s">
        <v>257</v>
      </c>
      <c r="U450">
        <v>11</v>
      </c>
      <c r="V450">
        <v>7013.15</v>
      </c>
      <c r="W450">
        <v>4999.84</v>
      </c>
      <c r="X450">
        <v>4997.01</v>
      </c>
      <c r="Y450">
        <v>0</v>
      </c>
      <c r="Z450">
        <v>0</v>
      </c>
      <c r="AA450">
        <v>35</v>
      </c>
      <c r="AB450">
        <v>50</v>
      </c>
      <c r="AC450">
        <v>5000</v>
      </c>
      <c r="AD450">
        <v>0</v>
      </c>
      <c r="AE450">
        <v>0</v>
      </c>
      <c r="AF450">
        <v>7013.82</v>
      </c>
      <c r="AG450">
        <v>7013.82</v>
      </c>
      <c r="AH450" s="14">
        <v>46266</v>
      </c>
      <c r="AI450" t="s">
        <v>266</v>
      </c>
      <c r="AJ450" s="13">
        <v>46265.054768518516</v>
      </c>
      <c r="AK450">
        <v>6763.31</v>
      </c>
      <c r="AL450" t="s">
        <v>259</v>
      </c>
      <c r="AM450" t="s">
        <v>260</v>
      </c>
      <c r="AN450">
        <v>1400</v>
      </c>
      <c r="AO450">
        <v>0</v>
      </c>
      <c r="AP450">
        <v>35</v>
      </c>
      <c r="AQ450">
        <v>85</v>
      </c>
      <c r="AR450">
        <v>35</v>
      </c>
      <c r="AS450">
        <v>2</v>
      </c>
      <c r="AT450">
        <v>23</v>
      </c>
      <c r="AU450">
        <v>1</v>
      </c>
      <c r="AV450">
        <v>0</v>
      </c>
      <c r="AW450">
        <v>10</v>
      </c>
      <c r="AX450">
        <v>1</v>
      </c>
      <c r="AY450">
        <v>5</v>
      </c>
      <c r="AZ450">
        <v>2</v>
      </c>
      <c r="BA450">
        <v>1</v>
      </c>
      <c r="BB450">
        <v>1440</v>
      </c>
      <c r="BC450">
        <v>0</v>
      </c>
      <c r="BD450">
        <v>0</v>
      </c>
      <c r="BE450">
        <v>14</v>
      </c>
      <c r="BF450">
        <v>25</v>
      </c>
      <c r="BG450">
        <v>3</v>
      </c>
      <c r="BH450">
        <v>8</v>
      </c>
      <c r="BI450">
        <v>3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0</v>
      </c>
      <c r="BQ450">
        <v>60</v>
      </c>
      <c r="BR450">
        <v>0</v>
      </c>
      <c r="BS450">
        <v>3</v>
      </c>
      <c r="BT450" t="s">
        <v>246</v>
      </c>
      <c r="BU450" t="s">
        <v>267</v>
      </c>
      <c r="BV450" t="b">
        <v>0</v>
      </c>
      <c r="BW450" t="s">
        <v>268</v>
      </c>
    </row>
    <row r="451" spans="1:75">
      <c r="A451" t="s">
        <v>246</v>
      </c>
      <c r="B451" t="s">
        <v>252</v>
      </c>
      <c r="C451">
        <v>805</v>
      </c>
      <c r="D451" t="s">
        <v>253</v>
      </c>
      <c r="E451" t="s">
        <v>254</v>
      </c>
      <c r="F451">
        <v>5</v>
      </c>
      <c r="G451" s="13">
        <v>46266.684699074074</v>
      </c>
      <c r="H451" s="13">
        <v>46266.68482638889</v>
      </c>
      <c r="I451">
        <v>11</v>
      </c>
      <c r="J451" t="s">
        <v>255</v>
      </c>
      <c r="K451">
        <v>1</v>
      </c>
      <c r="L451">
        <v>0.01</v>
      </c>
      <c r="M451">
        <v>0.01</v>
      </c>
      <c r="N451">
        <v>1</v>
      </c>
      <c r="O451">
        <v>0.01</v>
      </c>
      <c r="P451">
        <v>0.37</v>
      </c>
      <c r="Q451">
        <v>1.01</v>
      </c>
      <c r="R451">
        <v>1.01</v>
      </c>
      <c r="S451" t="s">
        <v>256</v>
      </c>
      <c r="T451" t="s">
        <v>257</v>
      </c>
      <c r="U451">
        <v>10</v>
      </c>
      <c r="V451">
        <v>7013.66</v>
      </c>
      <c r="W451">
        <v>4999.84</v>
      </c>
      <c r="X451">
        <v>4999.63</v>
      </c>
      <c r="Y451">
        <v>0</v>
      </c>
      <c r="Z451">
        <v>0</v>
      </c>
      <c r="AA451">
        <v>35</v>
      </c>
      <c r="AB451">
        <v>50</v>
      </c>
      <c r="AC451">
        <v>5000</v>
      </c>
      <c r="AD451">
        <v>0</v>
      </c>
      <c r="AE451">
        <v>0</v>
      </c>
      <c r="AF451">
        <v>7014.48</v>
      </c>
      <c r="AG451">
        <v>7014.48</v>
      </c>
      <c r="AH451" s="14">
        <v>46266</v>
      </c>
      <c r="AI451" t="s">
        <v>266</v>
      </c>
      <c r="AJ451" s="13">
        <v>46265.054768518516</v>
      </c>
      <c r="AK451">
        <v>6763.31</v>
      </c>
      <c r="AL451" t="s">
        <v>259</v>
      </c>
      <c r="AM451" t="s">
        <v>260</v>
      </c>
      <c r="AN451">
        <v>1400</v>
      </c>
      <c r="AO451">
        <v>0</v>
      </c>
      <c r="AP451">
        <v>35</v>
      </c>
      <c r="AQ451">
        <v>85</v>
      </c>
      <c r="AR451">
        <v>35</v>
      </c>
      <c r="AS451">
        <v>2</v>
      </c>
      <c r="AT451">
        <v>23</v>
      </c>
      <c r="AU451">
        <v>1</v>
      </c>
      <c r="AV451">
        <v>0</v>
      </c>
      <c r="AW451">
        <v>10</v>
      </c>
      <c r="AX451">
        <v>1</v>
      </c>
      <c r="AY451">
        <v>5</v>
      </c>
      <c r="AZ451">
        <v>2</v>
      </c>
      <c r="BA451">
        <v>1</v>
      </c>
      <c r="BB451">
        <v>1440</v>
      </c>
      <c r="BC451">
        <v>0</v>
      </c>
      <c r="BD451">
        <v>0</v>
      </c>
      <c r="BE451">
        <v>14</v>
      </c>
      <c r="BF451">
        <v>25</v>
      </c>
      <c r="BG451">
        <v>3</v>
      </c>
      <c r="BH451">
        <v>8</v>
      </c>
      <c r="BI451">
        <v>3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0</v>
      </c>
      <c r="BQ451">
        <v>60</v>
      </c>
      <c r="BR451">
        <v>0</v>
      </c>
      <c r="BS451">
        <v>3</v>
      </c>
      <c r="BT451" t="s">
        <v>246</v>
      </c>
      <c r="BU451" t="s">
        <v>267</v>
      </c>
      <c r="BV451" t="b">
        <v>0</v>
      </c>
      <c r="BW451" t="s">
        <v>268</v>
      </c>
    </row>
    <row r="452" spans="1:75">
      <c r="A452" t="s">
        <v>246</v>
      </c>
      <c r="B452" t="s">
        <v>252</v>
      </c>
      <c r="C452">
        <v>806</v>
      </c>
      <c r="D452" t="s">
        <v>253</v>
      </c>
      <c r="E452" t="s">
        <v>254</v>
      </c>
      <c r="F452">
        <v>5</v>
      </c>
      <c r="G452" s="13">
        <v>46266.68849537037</v>
      </c>
      <c r="H452" s="13">
        <v>46266.694305555553</v>
      </c>
      <c r="I452">
        <v>502</v>
      </c>
      <c r="J452" t="s">
        <v>255</v>
      </c>
      <c r="K452">
        <v>1</v>
      </c>
      <c r="L452">
        <v>0.01</v>
      </c>
      <c r="M452">
        <v>0.01</v>
      </c>
      <c r="N452">
        <v>1</v>
      </c>
      <c r="O452">
        <v>0.01</v>
      </c>
      <c r="P452">
        <v>0.16</v>
      </c>
      <c r="Q452">
        <v>1.54</v>
      </c>
      <c r="R452">
        <v>1.54</v>
      </c>
      <c r="S452" t="s">
        <v>256</v>
      </c>
      <c r="T452" t="s">
        <v>257</v>
      </c>
      <c r="U452">
        <v>10</v>
      </c>
      <c r="V452">
        <v>7014.32</v>
      </c>
      <c r="W452">
        <v>4999.84</v>
      </c>
      <c r="X452">
        <v>4999.84</v>
      </c>
      <c r="Y452">
        <v>0</v>
      </c>
      <c r="Z452">
        <v>0</v>
      </c>
      <c r="AA452">
        <v>35</v>
      </c>
      <c r="AB452">
        <v>50</v>
      </c>
      <c r="AC452">
        <v>5000</v>
      </c>
      <c r="AD452">
        <v>0</v>
      </c>
      <c r="AE452">
        <v>0</v>
      </c>
      <c r="AF452">
        <v>7015.67</v>
      </c>
      <c r="AG452">
        <v>7015.67</v>
      </c>
      <c r="AH452" s="14">
        <v>46266</v>
      </c>
      <c r="AI452" t="s">
        <v>266</v>
      </c>
      <c r="AJ452" s="13">
        <v>46265.054768518516</v>
      </c>
      <c r="AK452">
        <v>6763.31</v>
      </c>
      <c r="AL452" t="s">
        <v>259</v>
      </c>
      <c r="AM452" t="s">
        <v>260</v>
      </c>
      <c r="AN452">
        <v>1400</v>
      </c>
      <c r="AO452">
        <v>0</v>
      </c>
      <c r="AP452">
        <v>35</v>
      </c>
      <c r="AQ452">
        <v>85</v>
      </c>
      <c r="AR452">
        <v>35</v>
      </c>
      <c r="AS452">
        <v>2</v>
      </c>
      <c r="AT452">
        <v>23</v>
      </c>
      <c r="AU452">
        <v>1</v>
      </c>
      <c r="AV452">
        <v>0</v>
      </c>
      <c r="AW452">
        <v>10</v>
      </c>
      <c r="AX452">
        <v>1</v>
      </c>
      <c r="AY452">
        <v>5</v>
      </c>
      <c r="AZ452">
        <v>2</v>
      </c>
      <c r="BA452">
        <v>1</v>
      </c>
      <c r="BB452">
        <v>1440</v>
      </c>
      <c r="BC452">
        <v>0</v>
      </c>
      <c r="BD452">
        <v>0</v>
      </c>
      <c r="BE452">
        <v>14</v>
      </c>
      <c r="BF452">
        <v>25</v>
      </c>
      <c r="BG452">
        <v>3</v>
      </c>
      <c r="BH452">
        <v>8</v>
      </c>
      <c r="BI452">
        <v>3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60</v>
      </c>
      <c r="BR452">
        <v>0</v>
      </c>
      <c r="BS452">
        <v>3</v>
      </c>
      <c r="BT452" t="s">
        <v>246</v>
      </c>
      <c r="BU452" t="s">
        <v>267</v>
      </c>
      <c r="BV452" t="b">
        <v>0</v>
      </c>
      <c r="BW452" t="s">
        <v>268</v>
      </c>
    </row>
    <row r="453" spans="1:75">
      <c r="A453" t="s">
        <v>246</v>
      </c>
      <c r="B453" t="s">
        <v>252</v>
      </c>
      <c r="C453">
        <v>807</v>
      </c>
      <c r="D453" t="s">
        <v>253</v>
      </c>
      <c r="E453" t="s">
        <v>254</v>
      </c>
      <c r="F453">
        <v>5</v>
      </c>
      <c r="G453" s="13">
        <v>46266.694305555553</v>
      </c>
      <c r="H453" s="13">
        <v>46266.701249999998</v>
      </c>
      <c r="I453">
        <v>600</v>
      </c>
      <c r="J453" t="s">
        <v>255</v>
      </c>
      <c r="K453">
        <v>3</v>
      </c>
      <c r="L453">
        <v>0.03</v>
      </c>
      <c r="M453">
        <v>0.01</v>
      </c>
      <c r="N453">
        <v>3</v>
      </c>
      <c r="O453">
        <v>0.03</v>
      </c>
      <c r="P453">
        <v>1.2</v>
      </c>
      <c r="Q453">
        <v>11.23</v>
      </c>
      <c r="R453">
        <v>8.14</v>
      </c>
      <c r="S453" t="s">
        <v>263</v>
      </c>
      <c r="T453" t="s">
        <v>257</v>
      </c>
      <c r="U453">
        <v>11</v>
      </c>
      <c r="V453">
        <v>7015.5</v>
      </c>
      <c r="W453">
        <v>4999.83</v>
      </c>
      <c r="X453">
        <v>4998.8</v>
      </c>
      <c r="Y453">
        <v>0</v>
      </c>
      <c r="Z453">
        <v>0</v>
      </c>
      <c r="AA453">
        <v>35</v>
      </c>
      <c r="AB453">
        <v>50</v>
      </c>
      <c r="AC453">
        <v>5000</v>
      </c>
      <c r="AD453">
        <v>0</v>
      </c>
      <c r="AE453">
        <v>0</v>
      </c>
      <c r="AF453">
        <v>7023.86</v>
      </c>
      <c r="AG453">
        <v>7023.86</v>
      </c>
      <c r="AH453" s="14">
        <v>46266</v>
      </c>
      <c r="AI453" t="s">
        <v>266</v>
      </c>
      <c r="AJ453" s="13">
        <v>46265.054768518516</v>
      </c>
      <c r="AK453">
        <v>6763.31</v>
      </c>
      <c r="AL453" t="s">
        <v>259</v>
      </c>
      <c r="AM453" t="s">
        <v>260</v>
      </c>
      <c r="AN453">
        <v>1400</v>
      </c>
      <c r="AO453">
        <v>0</v>
      </c>
      <c r="AP453">
        <v>35</v>
      </c>
      <c r="AQ453">
        <v>85</v>
      </c>
      <c r="AR453">
        <v>35</v>
      </c>
      <c r="AS453">
        <v>2</v>
      </c>
      <c r="AT453">
        <v>23</v>
      </c>
      <c r="AU453">
        <v>1</v>
      </c>
      <c r="AV453">
        <v>0</v>
      </c>
      <c r="AW453">
        <v>10</v>
      </c>
      <c r="AX453">
        <v>1</v>
      </c>
      <c r="AY453">
        <v>5</v>
      </c>
      <c r="AZ453">
        <v>2</v>
      </c>
      <c r="BA453">
        <v>1</v>
      </c>
      <c r="BB453">
        <v>1440</v>
      </c>
      <c r="BC453">
        <v>0</v>
      </c>
      <c r="BD453">
        <v>0</v>
      </c>
      <c r="BE453">
        <v>14</v>
      </c>
      <c r="BF453">
        <v>25</v>
      </c>
      <c r="BG453">
        <v>3</v>
      </c>
      <c r="BH453">
        <v>8</v>
      </c>
      <c r="BI453">
        <v>3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0</v>
      </c>
      <c r="BQ453">
        <v>60</v>
      </c>
      <c r="BR453">
        <v>0</v>
      </c>
      <c r="BS453">
        <v>3</v>
      </c>
      <c r="BT453" t="s">
        <v>246</v>
      </c>
      <c r="BU453" t="s">
        <v>267</v>
      </c>
      <c r="BV453" t="b">
        <v>0</v>
      </c>
      <c r="BW453" t="s">
        <v>268</v>
      </c>
    </row>
    <row r="454" spans="1:75">
      <c r="A454" t="s">
        <v>246</v>
      </c>
      <c r="B454" t="s">
        <v>252</v>
      </c>
      <c r="C454">
        <v>808</v>
      </c>
      <c r="D454" t="s">
        <v>253</v>
      </c>
      <c r="E454" t="s">
        <v>254</v>
      </c>
      <c r="F454">
        <v>5</v>
      </c>
      <c r="G454" s="13">
        <v>46266.704039351855</v>
      </c>
      <c r="H454" s="13">
        <v>46266.708298611113</v>
      </c>
      <c r="I454">
        <v>368</v>
      </c>
      <c r="J454" t="s">
        <v>255</v>
      </c>
      <c r="K454">
        <v>2</v>
      </c>
      <c r="L454">
        <v>0.02</v>
      </c>
      <c r="M454">
        <v>0.01</v>
      </c>
      <c r="N454">
        <v>2</v>
      </c>
      <c r="O454">
        <v>0.02</v>
      </c>
      <c r="P454">
        <v>6.31</v>
      </c>
      <c r="Q454">
        <v>9.39</v>
      </c>
      <c r="R454">
        <v>6.93</v>
      </c>
      <c r="S454" t="s">
        <v>263</v>
      </c>
      <c r="T454" t="s">
        <v>257</v>
      </c>
      <c r="U454">
        <v>10</v>
      </c>
      <c r="V454">
        <v>7023.69</v>
      </c>
      <c r="W454">
        <v>4999.83</v>
      </c>
      <c r="X454">
        <v>4993.6899999999996</v>
      </c>
      <c r="Y454">
        <v>0</v>
      </c>
      <c r="Z454">
        <v>0</v>
      </c>
      <c r="AA454">
        <v>35</v>
      </c>
      <c r="AB454">
        <v>50</v>
      </c>
      <c r="AC454">
        <v>5000</v>
      </c>
      <c r="AD454">
        <v>0</v>
      </c>
      <c r="AE454">
        <v>0</v>
      </c>
      <c r="AF454">
        <v>7030.78</v>
      </c>
      <c r="AG454">
        <v>7030.78</v>
      </c>
      <c r="AH454" s="14">
        <v>46266</v>
      </c>
      <c r="AI454" t="s">
        <v>266</v>
      </c>
      <c r="AJ454" s="13">
        <v>46265.054768518516</v>
      </c>
      <c r="AK454">
        <v>6763.31</v>
      </c>
      <c r="AL454" t="s">
        <v>259</v>
      </c>
      <c r="AM454" t="s">
        <v>260</v>
      </c>
      <c r="AN454">
        <v>1400</v>
      </c>
      <c r="AO454">
        <v>0</v>
      </c>
      <c r="AP454">
        <v>35</v>
      </c>
      <c r="AQ454">
        <v>85</v>
      </c>
      <c r="AR454">
        <v>35</v>
      </c>
      <c r="AS454">
        <v>2</v>
      </c>
      <c r="AT454">
        <v>23</v>
      </c>
      <c r="AU454">
        <v>1</v>
      </c>
      <c r="AV454">
        <v>0</v>
      </c>
      <c r="AW454">
        <v>10</v>
      </c>
      <c r="AX454">
        <v>1</v>
      </c>
      <c r="AY454">
        <v>5</v>
      </c>
      <c r="AZ454">
        <v>2</v>
      </c>
      <c r="BA454">
        <v>1</v>
      </c>
      <c r="BB454">
        <v>1440</v>
      </c>
      <c r="BC454">
        <v>0</v>
      </c>
      <c r="BD454">
        <v>0</v>
      </c>
      <c r="BE454">
        <v>14</v>
      </c>
      <c r="BF454">
        <v>25</v>
      </c>
      <c r="BG454">
        <v>3</v>
      </c>
      <c r="BH454">
        <v>8</v>
      </c>
      <c r="BI454">
        <v>3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0</v>
      </c>
      <c r="BQ454">
        <v>60</v>
      </c>
      <c r="BR454">
        <v>0</v>
      </c>
      <c r="BS454">
        <v>3</v>
      </c>
      <c r="BT454" t="s">
        <v>246</v>
      </c>
      <c r="BU454" t="s">
        <v>267</v>
      </c>
      <c r="BV454" t="b">
        <v>0</v>
      </c>
      <c r="BW454" t="s">
        <v>268</v>
      </c>
    </row>
    <row r="455" spans="1:75">
      <c r="A455" t="s">
        <v>246</v>
      </c>
      <c r="B455" t="s">
        <v>252</v>
      </c>
      <c r="C455">
        <v>809</v>
      </c>
      <c r="D455" t="s">
        <v>253</v>
      </c>
      <c r="E455" t="s">
        <v>254</v>
      </c>
      <c r="F455">
        <v>5</v>
      </c>
      <c r="G455" s="13">
        <v>46266.710381944446</v>
      </c>
      <c r="H455" s="13">
        <v>46266.737442129626</v>
      </c>
      <c r="I455">
        <v>2338</v>
      </c>
      <c r="J455" t="s">
        <v>264</v>
      </c>
      <c r="K455">
        <v>5</v>
      </c>
      <c r="L455">
        <v>0.05</v>
      </c>
      <c r="M455">
        <v>0.01</v>
      </c>
      <c r="N455">
        <v>5</v>
      </c>
      <c r="O455">
        <v>0.05</v>
      </c>
      <c r="P455">
        <v>35.200000000000003</v>
      </c>
      <c r="Q455">
        <v>9.41</v>
      </c>
      <c r="R455">
        <v>5.81</v>
      </c>
      <c r="S455" t="s">
        <v>263</v>
      </c>
      <c r="T455" t="s">
        <v>257</v>
      </c>
      <c r="U455">
        <v>11</v>
      </c>
      <c r="V455">
        <v>7030.61</v>
      </c>
      <c r="W455">
        <v>4999.83</v>
      </c>
      <c r="X455">
        <v>4964.8</v>
      </c>
      <c r="Y455">
        <v>0</v>
      </c>
      <c r="Z455">
        <v>0</v>
      </c>
      <c r="AA455">
        <v>35</v>
      </c>
      <c r="AB455">
        <v>50</v>
      </c>
      <c r="AC455">
        <v>5000</v>
      </c>
      <c r="AD455">
        <v>0</v>
      </c>
      <c r="AE455">
        <v>0</v>
      </c>
      <c r="AF455">
        <v>7036.48</v>
      </c>
      <c r="AG455">
        <v>7036.48</v>
      </c>
      <c r="AH455" s="14">
        <v>46266</v>
      </c>
      <c r="AI455" t="s">
        <v>266</v>
      </c>
      <c r="AJ455" s="13">
        <v>46265.054768518516</v>
      </c>
      <c r="AK455">
        <v>6763.31</v>
      </c>
      <c r="AL455" t="s">
        <v>259</v>
      </c>
      <c r="AM455" t="s">
        <v>260</v>
      </c>
      <c r="AN455">
        <v>1400</v>
      </c>
      <c r="AO455">
        <v>0</v>
      </c>
      <c r="AP455">
        <v>35</v>
      </c>
      <c r="AQ455">
        <v>85</v>
      </c>
      <c r="AR455">
        <v>35</v>
      </c>
      <c r="AS455">
        <v>2</v>
      </c>
      <c r="AT455">
        <v>23</v>
      </c>
      <c r="AU455">
        <v>1</v>
      </c>
      <c r="AV455">
        <v>0</v>
      </c>
      <c r="AW455">
        <v>10</v>
      </c>
      <c r="AX455">
        <v>1</v>
      </c>
      <c r="AY455">
        <v>5</v>
      </c>
      <c r="AZ455">
        <v>2</v>
      </c>
      <c r="BA455">
        <v>1</v>
      </c>
      <c r="BB455">
        <v>1440</v>
      </c>
      <c r="BC455">
        <v>0</v>
      </c>
      <c r="BD455">
        <v>0</v>
      </c>
      <c r="BE455">
        <v>14</v>
      </c>
      <c r="BF455">
        <v>25</v>
      </c>
      <c r="BG455">
        <v>3</v>
      </c>
      <c r="BH455">
        <v>8</v>
      </c>
      <c r="BI455">
        <v>3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0</v>
      </c>
      <c r="BQ455">
        <v>60</v>
      </c>
      <c r="BR455">
        <v>0</v>
      </c>
      <c r="BS455">
        <v>3</v>
      </c>
      <c r="BT455" t="s">
        <v>246</v>
      </c>
      <c r="BU455" t="s">
        <v>267</v>
      </c>
      <c r="BV455" t="b">
        <v>0</v>
      </c>
      <c r="BW455" t="s">
        <v>268</v>
      </c>
    </row>
    <row r="456" spans="1:75">
      <c r="A456" t="s">
        <v>246</v>
      </c>
      <c r="B456" t="s">
        <v>252</v>
      </c>
      <c r="C456">
        <v>810</v>
      </c>
      <c r="D456" t="s">
        <v>253</v>
      </c>
      <c r="E456" t="s">
        <v>254</v>
      </c>
      <c r="F456">
        <v>5</v>
      </c>
      <c r="G456" s="13">
        <v>46266.740474537037</v>
      </c>
      <c r="H456" s="13">
        <v>46266.742951388886</v>
      </c>
      <c r="I456">
        <v>214</v>
      </c>
      <c r="J456" t="s">
        <v>264</v>
      </c>
      <c r="K456">
        <v>1</v>
      </c>
      <c r="L456">
        <v>0.01</v>
      </c>
      <c r="M456">
        <v>0.01</v>
      </c>
      <c r="N456">
        <v>1</v>
      </c>
      <c r="O456">
        <v>0.01</v>
      </c>
      <c r="P456">
        <v>4.88</v>
      </c>
      <c r="Q456">
        <v>3.57</v>
      </c>
      <c r="R456">
        <v>3.25</v>
      </c>
      <c r="S456" t="s">
        <v>256</v>
      </c>
      <c r="T456" t="s">
        <v>257</v>
      </c>
      <c r="U456">
        <v>11</v>
      </c>
      <c r="V456">
        <v>7036.31</v>
      </c>
      <c r="W456">
        <v>4999.83</v>
      </c>
      <c r="X456">
        <v>4995.12</v>
      </c>
      <c r="Y456">
        <v>0</v>
      </c>
      <c r="Z456">
        <v>0</v>
      </c>
      <c r="AA456">
        <v>35</v>
      </c>
      <c r="AB456">
        <v>50</v>
      </c>
      <c r="AC456">
        <v>5000</v>
      </c>
      <c r="AD456">
        <v>0</v>
      </c>
      <c r="AE456">
        <v>0</v>
      </c>
      <c r="AF456">
        <v>7039.7</v>
      </c>
      <c r="AG456">
        <v>7039.7</v>
      </c>
      <c r="AH456" s="14">
        <v>46266</v>
      </c>
      <c r="AI456" t="s">
        <v>266</v>
      </c>
      <c r="AJ456" s="13">
        <v>46265.054768518516</v>
      </c>
      <c r="AK456">
        <v>6763.31</v>
      </c>
      <c r="AL456" t="s">
        <v>259</v>
      </c>
      <c r="AM456" t="s">
        <v>260</v>
      </c>
      <c r="AN456">
        <v>1400</v>
      </c>
      <c r="AO456">
        <v>0</v>
      </c>
      <c r="AP456">
        <v>35</v>
      </c>
      <c r="AQ456">
        <v>85</v>
      </c>
      <c r="AR456">
        <v>35</v>
      </c>
      <c r="AS456">
        <v>2</v>
      </c>
      <c r="AT456">
        <v>23</v>
      </c>
      <c r="AU456">
        <v>1</v>
      </c>
      <c r="AV456">
        <v>0</v>
      </c>
      <c r="AW456">
        <v>10</v>
      </c>
      <c r="AX456">
        <v>1</v>
      </c>
      <c r="AY456">
        <v>5</v>
      </c>
      <c r="AZ456">
        <v>2</v>
      </c>
      <c r="BA456">
        <v>1</v>
      </c>
      <c r="BB456">
        <v>1440</v>
      </c>
      <c r="BC456">
        <v>0</v>
      </c>
      <c r="BD456">
        <v>0</v>
      </c>
      <c r="BE456">
        <v>14</v>
      </c>
      <c r="BF456">
        <v>25</v>
      </c>
      <c r="BG456">
        <v>3</v>
      </c>
      <c r="BH456">
        <v>8</v>
      </c>
      <c r="BI456">
        <v>3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0</v>
      </c>
      <c r="BQ456">
        <v>60</v>
      </c>
      <c r="BR456">
        <v>0</v>
      </c>
      <c r="BS456">
        <v>3</v>
      </c>
      <c r="BT456" t="s">
        <v>246</v>
      </c>
      <c r="BU456" t="s">
        <v>267</v>
      </c>
      <c r="BV456" t="b">
        <v>0</v>
      </c>
      <c r="BW456" t="s">
        <v>268</v>
      </c>
    </row>
    <row r="457" spans="1:75">
      <c r="A457" t="s">
        <v>246</v>
      </c>
      <c r="B457" t="s">
        <v>252</v>
      </c>
      <c r="C457">
        <v>811</v>
      </c>
      <c r="D457" t="s">
        <v>253</v>
      </c>
      <c r="E457" t="s">
        <v>254</v>
      </c>
      <c r="F457">
        <v>5</v>
      </c>
      <c r="G457" s="13">
        <v>46266.743888888886</v>
      </c>
      <c r="H457" s="13">
        <v>46266.744155092594</v>
      </c>
      <c r="I457">
        <v>23</v>
      </c>
      <c r="J457" t="s">
        <v>255</v>
      </c>
      <c r="K457">
        <v>1</v>
      </c>
      <c r="L457">
        <v>0.01</v>
      </c>
      <c r="M457">
        <v>0.01</v>
      </c>
      <c r="N457">
        <v>1</v>
      </c>
      <c r="O457">
        <v>0.01</v>
      </c>
      <c r="P457">
        <v>0.17</v>
      </c>
      <c r="Q457">
        <v>2.75</v>
      </c>
      <c r="R457">
        <v>2.5</v>
      </c>
      <c r="S457" t="s">
        <v>256</v>
      </c>
      <c r="T457" t="s">
        <v>257</v>
      </c>
      <c r="U457">
        <v>11</v>
      </c>
      <c r="V457">
        <v>7039.53</v>
      </c>
      <c r="W457">
        <v>4999.83</v>
      </c>
      <c r="X457">
        <v>4999.83</v>
      </c>
      <c r="Y457">
        <v>0</v>
      </c>
      <c r="Z457">
        <v>0</v>
      </c>
      <c r="AA457">
        <v>35</v>
      </c>
      <c r="AB457">
        <v>50</v>
      </c>
      <c r="AC457">
        <v>5000</v>
      </c>
      <c r="AD457">
        <v>0</v>
      </c>
      <c r="AE457">
        <v>0</v>
      </c>
      <c r="AF457">
        <v>7042.1</v>
      </c>
      <c r="AG457">
        <v>7042.1</v>
      </c>
      <c r="AH457" s="14">
        <v>46266</v>
      </c>
      <c r="AI457" t="s">
        <v>266</v>
      </c>
      <c r="AJ457" s="13">
        <v>46265.054768518516</v>
      </c>
      <c r="AK457">
        <v>6763.31</v>
      </c>
      <c r="AL457" t="s">
        <v>259</v>
      </c>
      <c r="AM457" t="s">
        <v>260</v>
      </c>
      <c r="AN457">
        <v>1400</v>
      </c>
      <c r="AO457">
        <v>0</v>
      </c>
      <c r="AP457">
        <v>35</v>
      </c>
      <c r="AQ457">
        <v>85</v>
      </c>
      <c r="AR457">
        <v>35</v>
      </c>
      <c r="AS457">
        <v>2</v>
      </c>
      <c r="AT457">
        <v>23</v>
      </c>
      <c r="AU457">
        <v>1</v>
      </c>
      <c r="AV457">
        <v>0</v>
      </c>
      <c r="AW457">
        <v>10</v>
      </c>
      <c r="AX457">
        <v>1</v>
      </c>
      <c r="AY457">
        <v>5</v>
      </c>
      <c r="AZ457">
        <v>2</v>
      </c>
      <c r="BA457">
        <v>1</v>
      </c>
      <c r="BB457">
        <v>1440</v>
      </c>
      <c r="BC457">
        <v>0</v>
      </c>
      <c r="BD457">
        <v>0</v>
      </c>
      <c r="BE457">
        <v>14</v>
      </c>
      <c r="BF457">
        <v>25</v>
      </c>
      <c r="BG457">
        <v>3</v>
      </c>
      <c r="BH457">
        <v>8</v>
      </c>
      <c r="BI457">
        <v>3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0</v>
      </c>
      <c r="BQ457">
        <v>60</v>
      </c>
      <c r="BR457">
        <v>0</v>
      </c>
      <c r="BS457">
        <v>3</v>
      </c>
      <c r="BT457" t="s">
        <v>246</v>
      </c>
      <c r="BU457" t="s">
        <v>267</v>
      </c>
      <c r="BV457" t="b">
        <v>0</v>
      </c>
      <c r="BW457" t="s">
        <v>268</v>
      </c>
    </row>
    <row r="458" spans="1:75">
      <c r="A458" t="s">
        <v>246</v>
      </c>
      <c r="B458" t="s">
        <v>252</v>
      </c>
      <c r="C458">
        <v>812</v>
      </c>
      <c r="D458" t="s">
        <v>253</v>
      </c>
      <c r="E458" t="s">
        <v>254</v>
      </c>
      <c r="F458">
        <v>5</v>
      </c>
      <c r="G458" s="13">
        <v>46266.747870370367</v>
      </c>
      <c r="H458" s="13">
        <v>46266.804016203707</v>
      </c>
      <c r="I458">
        <v>4851</v>
      </c>
      <c r="J458" t="s">
        <v>264</v>
      </c>
      <c r="K458">
        <v>8</v>
      </c>
      <c r="L458">
        <v>0.08</v>
      </c>
      <c r="M458">
        <v>0.01</v>
      </c>
      <c r="N458">
        <v>8</v>
      </c>
      <c r="O458">
        <v>0.08</v>
      </c>
      <c r="P458">
        <v>76.150000000000006</v>
      </c>
      <c r="Q458">
        <v>7.64</v>
      </c>
      <c r="R458">
        <v>2.92</v>
      </c>
      <c r="S458" t="s">
        <v>263</v>
      </c>
      <c r="T458" t="s">
        <v>257</v>
      </c>
      <c r="U458">
        <v>11</v>
      </c>
      <c r="V458">
        <v>7041.93</v>
      </c>
      <c r="W458">
        <v>4999.83</v>
      </c>
      <c r="X458">
        <v>4923.8500000000004</v>
      </c>
      <c r="Y458">
        <v>0</v>
      </c>
      <c r="Z458">
        <v>0</v>
      </c>
      <c r="AA458">
        <v>35</v>
      </c>
      <c r="AB458">
        <v>50</v>
      </c>
      <c r="AC458">
        <v>5000</v>
      </c>
      <c r="AD458">
        <v>0</v>
      </c>
      <c r="AE458">
        <v>0</v>
      </c>
      <c r="AF458">
        <v>7044.62</v>
      </c>
      <c r="AG458">
        <v>7044.62</v>
      </c>
      <c r="AH458" s="14">
        <v>46266</v>
      </c>
      <c r="AI458" t="s">
        <v>266</v>
      </c>
      <c r="AJ458" s="13">
        <v>46265.054768518516</v>
      </c>
      <c r="AK458">
        <v>6763.31</v>
      </c>
      <c r="AL458" t="s">
        <v>259</v>
      </c>
      <c r="AM458" t="s">
        <v>260</v>
      </c>
      <c r="AN458">
        <v>1400</v>
      </c>
      <c r="AO458">
        <v>0</v>
      </c>
      <c r="AP458">
        <v>35</v>
      </c>
      <c r="AQ458">
        <v>85</v>
      </c>
      <c r="AR458">
        <v>35</v>
      </c>
      <c r="AS458">
        <v>2</v>
      </c>
      <c r="AT458">
        <v>23</v>
      </c>
      <c r="AU458">
        <v>1</v>
      </c>
      <c r="AV458">
        <v>0</v>
      </c>
      <c r="AW458">
        <v>10</v>
      </c>
      <c r="AX458">
        <v>1</v>
      </c>
      <c r="AY458">
        <v>5</v>
      </c>
      <c r="AZ458">
        <v>2</v>
      </c>
      <c r="BA458">
        <v>1</v>
      </c>
      <c r="BB458">
        <v>1440</v>
      </c>
      <c r="BC458">
        <v>0</v>
      </c>
      <c r="BD458">
        <v>0</v>
      </c>
      <c r="BE458">
        <v>14</v>
      </c>
      <c r="BF458">
        <v>25</v>
      </c>
      <c r="BG458">
        <v>3</v>
      </c>
      <c r="BH458">
        <v>8</v>
      </c>
      <c r="BI458">
        <v>3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0</v>
      </c>
      <c r="BQ458">
        <v>60</v>
      </c>
      <c r="BR458">
        <v>0</v>
      </c>
      <c r="BS458">
        <v>3</v>
      </c>
      <c r="BT458" t="s">
        <v>246</v>
      </c>
      <c r="BU458" t="s">
        <v>267</v>
      </c>
      <c r="BV458" t="b">
        <v>0</v>
      </c>
      <c r="BW458" t="s">
        <v>268</v>
      </c>
    </row>
    <row r="459" spans="1:75">
      <c r="A459" t="s">
        <v>246</v>
      </c>
      <c r="B459" t="s">
        <v>252</v>
      </c>
      <c r="C459">
        <v>813</v>
      </c>
      <c r="D459" t="s">
        <v>253</v>
      </c>
      <c r="E459" t="s">
        <v>254</v>
      </c>
      <c r="F459">
        <v>5</v>
      </c>
      <c r="G459" s="13">
        <v>46266.810601851852</v>
      </c>
      <c r="H459" s="13">
        <v>46266.811030092591</v>
      </c>
      <c r="I459">
        <v>37</v>
      </c>
      <c r="J459" t="s">
        <v>264</v>
      </c>
      <c r="K459">
        <v>1</v>
      </c>
      <c r="L459">
        <v>0.01</v>
      </c>
      <c r="M459">
        <v>0.01</v>
      </c>
      <c r="N459">
        <v>1</v>
      </c>
      <c r="O459">
        <v>0.01</v>
      </c>
      <c r="P459">
        <v>0.16</v>
      </c>
      <c r="Q459">
        <v>1.26</v>
      </c>
      <c r="R459">
        <v>1.26</v>
      </c>
      <c r="S459" t="s">
        <v>256</v>
      </c>
      <c r="T459" t="s">
        <v>257</v>
      </c>
      <c r="U459">
        <v>11</v>
      </c>
      <c r="V459">
        <v>7044.46</v>
      </c>
      <c r="W459">
        <v>4999.84</v>
      </c>
      <c r="X459">
        <v>4999.84</v>
      </c>
      <c r="Y459">
        <v>0</v>
      </c>
      <c r="Z459">
        <v>0</v>
      </c>
      <c r="AA459">
        <v>35</v>
      </c>
      <c r="AB459">
        <v>50</v>
      </c>
      <c r="AC459">
        <v>5000</v>
      </c>
      <c r="AD459">
        <v>0</v>
      </c>
      <c r="AE459">
        <v>0</v>
      </c>
      <c r="AF459">
        <v>7045.52</v>
      </c>
      <c r="AG459">
        <v>7045.52</v>
      </c>
      <c r="AH459" s="14">
        <v>46266</v>
      </c>
      <c r="AI459" t="s">
        <v>266</v>
      </c>
      <c r="AJ459" s="13">
        <v>46265.054768518516</v>
      </c>
      <c r="AK459">
        <v>6763.31</v>
      </c>
      <c r="AL459" t="s">
        <v>259</v>
      </c>
      <c r="AM459" t="s">
        <v>260</v>
      </c>
      <c r="AN459">
        <v>1400</v>
      </c>
      <c r="AO459">
        <v>0</v>
      </c>
      <c r="AP459">
        <v>35</v>
      </c>
      <c r="AQ459">
        <v>85</v>
      </c>
      <c r="AR459">
        <v>35</v>
      </c>
      <c r="AS459">
        <v>2</v>
      </c>
      <c r="AT459">
        <v>23</v>
      </c>
      <c r="AU459">
        <v>1</v>
      </c>
      <c r="AV459">
        <v>0</v>
      </c>
      <c r="AW459">
        <v>10</v>
      </c>
      <c r="AX459">
        <v>1</v>
      </c>
      <c r="AY459">
        <v>5</v>
      </c>
      <c r="AZ459">
        <v>2</v>
      </c>
      <c r="BA459">
        <v>1</v>
      </c>
      <c r="BB459">
        <v>1440</v>
      </c>
      <c r="BC459">
        <v>0</v>
      </c>
      <c r="BD459">
        <v>0</v>
      </c>
      <c r="BE459">
        <v>14</v>
      </c>
      <c r="BF459">
        <v>25</v>
      </c>
      <c r="BG459">
        <v>3</v>
      </c>
      <c r="BH459">
        <v>8</v>
      </c>
      <c r="BI459">
        <v>3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0</v>
      </c>
      <c r="BQ459">
        <v>60</v>
      </c>
      <c r="BR459">
        <v>0</v>
      </c>
      <c r="BS459">
        <v>3</v>
      </c>
      <c r="BT459" t="s">
        <v>246</v>
      </c>
      <c r="BU459" t="s">
        <v>267</v>
      </c>
      <c r="BV459" t="b">
        <v>0</v>
      </c>
      <c r="BW459" t="s">
        <v>268</v>
      </c>
    </row>
    <row r="460" spans="1:75">
      <c r="A460" t="s">
        <v>246</v>
      </c>
      <c r="B460" t="s">
        <v>252</v>
      </c>
      <c r="C460">
        <v>814</v>
      </c>
      <c r="D460" t="s">
        <v>253</v>
      </c>
      <c r="E460" t="s">
        <v>254</v>
      </c>
      <c r="F460">
        <v>5</v>
      </c>
      <c r="G460" s="13">
        <v>46266.813414351855</v>
      </c>
      <c r="H460" s="13">
        <v>46266.816932870373</v>
      </c>
      <c r="I460">
        <v>304</v>
      </c>
      <c r="J460" t="s">
        <v>264</v>
      </c>
      <c r="K460">
        <v>1</v>
      </c>
      <c r="L460">
        <v>0.01</v>
      </c>
      <c r="M460">
        <v>0.01</v>
      </c>
      <c r="N460">
        <v>1</v>
      </c>
      <c r="O460">
        <v>0.01</v>
      </c>
      <c r="P460">
        <v>2.0299999999999998</v>
      </c>
      <c r="Q460">
        <v>1.48</v>
      </c>
      <c r="R460">
        <v>1.31</v>
      </c>
      <c r="S460" t="s">
        <v>256</v>
      </c>
      <c r="T460" t="s">
        <v>257</v>
      </c>
      <c r="U460">
        <v>10</v>
      </c>
      <c r="V460">
        <v>7045.35</v>
      </c>
      <c r="W460">
        <v>4999.83</v>
      </c>
      <c r="X460">
        <v>4997.97</v>
      </c>
      <c r="Y460">
        <v>0</v>
      </c>
      <c r="Z460">
        <v>0</v>
      </c>
      <c r="AA460">
        <v>35</v>
      </c>
      <c r="AB460">
        <v>50</v>
      </c>
      <c r="AC460">
        <v>5000</v>
      </c>
      <c r="AD460">
        <v>0</v>
      </c>
      <c r="AE460">
        <v>0</v>
      </c>
      <c r="AF460">
        <v>7046.65</v>
      </c>
      <c r="AG460">
        <v>7046.65</v>
      </c>
      <c r="AH460" s="14">
        <v>46266</v>
      </c>
      <c r="AI460" t="s">
        <v>266</v>
      </c>
      <c r="AJ460" s="13">
        <v>46265.054768518516</v>
      </c>
      <c r="AK460">
        <v>6763.31</v>
      </c>
      <c r="AL460" t="s">
        <v>259</v>
      </c>
      <c r="AM460" t="s">
        <v>260</v>
      </c>
      <c r="AN460">
        <v>1400</v>
      </c>
      <c r="AO460">
        <v>0</v>
      </c>
      <c r="AP460">
        <v>35</v>
      </c>
      <c r="AQ460">
        <v>85</v>
      </c>
      <c r="AR460">
        <v>35</v>
      </c>
      <c r="AS460">
        <v>2</v>
      </c>
      <c r="AT460">
        <v>23</v>
      </c>
      <c r="AU460">
        <v>1</v>
      </c>
      <c r="AV460">
        <v>0</v>
      </c>
      <c r="AW460">
        <v>10</v>
      </c>
      <c r="AX460">
        <v>1</v>
      </c>
      <c r="AY460">
        <v>5</v>
      </c>
      <c r="AZ460">
        <v>2</v>
      </c>
      <c r="BA460">
        <v>1</v>
      </c>
      <c r="BB460">
        <v>1440</v>
      </c>
      <c r="BC460">
        <v>0</v>
      </c>
      <c r="BD460">
        <v>0</v>
      </c>
      <c r="BE460">
        <v>14</v>
      </c>
      <c r="BF460">
        <v>25</v>
      </c>
      <c r="BG460">
        <v>3</v>
      </c>
      <c r="BH460">
        <v>8</v>
      </c>
      <c r="BI460">
        <v>3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0</v>
      </c>
      <c r="BQ460">
        <v>60</v>
      </c>
      <c r="BR460">
        <v>0</v>
      </c>
      <c r="BS460">
        <v>3</v>
      </c>
      <c r="BT460" t="s">
        <v>246</v>
      </c>
      <c r="BU460" t="s">
        <v>267</v>
      </c>
      <c r="BV460" t="b">
        <v>0</v>
      </c>
      <c r="BW460" t="s">
        <v>268</v>
      </c>
    </row>
    <row r="461" spans="1:75">
      <c r="A461" t="s">
        <v>246</v>
      </c>
      <c r="B461" t="s">
        <v>252</v>
      </c>
      <c r="C461">
        <v>815</v>
      </c>
      <c r="D461" t="s">
        <v>253</v>
      </c>
      <c r="E461" t="s">
        <v>254</v>
      </c>
      <c r="F461">
        <v>5</v>
      </c>
      <c r="G461" s="13">
        <v>46266.817071759258</v>
      </c>
      <c r="H461" s="13">
        <v>46266.817175925928</v>
      </c>
      <c r="I461">
        <v>9</v>
      </c>
      <c r="J461" t="s">
        <v>255</v>
      </c>
      <c r="K461">
        <v>1</v>
      </c>
      <c r="L461">
        <v>0.01</v>
      </c>
      <c r="M461">
        <v>0.01</v>
      </c>
      <c r="N461">
        <v>1</v>
      </c>
      <c r="O461">
        <v>0.01</v>
      </c>
      <c r="P461">
        <v>0.26</v>
      </c>
      <c r="Q461">
        <v>1.1000000000000001</v>
      </c>
      <c r="R461">
        <v>1.1000000000000001</v>
      </c>
      <c r="S461" t="s">
        <v>256</v>
      </c>
      <c r="T461" t="s">
        <v>257</v>
      </c>
      <c r="U461">
        <v>11</v>
      </c>
      <c r="V461">
        <v>7046.48</v>
      </c>
      <c r="W461">
        <v>4999.83</v>
      </c>
      <c r="X461">
        <v>4999.74</v>
      </c>
      <c r="Y461">
        <v>0</v>
      </c>
      <c r="Z461">
        <v>0</v>
      </c>
      <c r="AA461">
        <v>35</v>
      </c>
      <c r="AB461">
        <v>50</v>
      </c>
      <c r="AC461">
        <v>5000</v>
      </c>
      <c r="AD461">
        <v>0</v>
      </c>
      <c r="AE461">
        <v>0</v>
      </c>
      <c r="AF461">
        <v>7047.4</v>
      </c>
      <c r="AG461">
        <v>7047.4</v>
      </c>
      <c r="AH461" s="14">
        <v>46266</v>
      </c>
      <c r="AI461" t="s">
        <v>266</v>
      </c>
      <c r="AJ461" s="13">
        <v>46265.054768518516</v>
      </c>
      <c r="AK461">
        <v>6763.31</v>
      </c>
      <c r="AL461" t="s">
        <v>259</v>
      </c>
      <c r="AM461" t="s">
        <v>260</v>
      </c>
      <c r="AN461">
        <v>1400</v>
      </c>
      <c r="AO461">
        <v>0</v>
      </c>
      <c r="AP461">
        <v>35</v>
      </c>
      <c r="AQ461">
        <v>85</v>
      </c>
      <c r="AR461">
        <v>35</v>
      </c>
      <c r="AS461">
        <v>2</v>
      </c>
      <c r="AT461">
        <v>23</v>
      </c>
      <c r="AU461">
        <v>1</v>
      </c>
      <c r="AV461">
        <v>0</v>
      </c>
      <c r="AW461">
        <v>10</v>
      </c>
      <c r="AX461">
        <v>1</v>
      </c>
      <c r="AY461">
        <v>5</v>
      </c>
      <c r="AZ461">
        <v>2</v>
      </c>
      <c r="BA461">
        <v>1</v>
      </c>
      <c r="BB461">
        <v>1440</v>
      </c>
      <c r="BC461">
        <v>0</v>
      </c>
      <c r="BD461">
        <v>0</v>
      </c>
      <c r="BE461">
        <v>14</v>
      </c>
      <c r="BF461">
        <v>25</v>
      </c>
      <c r="BG461">
        <v>3</v>
      </c>
      <c r="BH461">
        <v>8</v>
      </c>
      <c r="BI461">
        <v>3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0</v>
      </c>
      <c r="BQ461">
        <v>60</v>
      </c>
      <c r="BR461">
        <v>0</v>
      </c>
      <c r="BS461">
        <v>3</v>
      </c>
      <c r="BT461" t="s">
        <v>246</v>
      </c>
      <c r="BU461" t="s">
        <v>267</v>
      </c>
      <c r="BV461" t="b">
        <v>0</v>
      </c>
      <c r="BW461" t="s">
        <v>268</v>
      </c>
    </row>
    <row r="462" spans="1:75">
      <c r="A462" t="s">
        <v>246</v>
      </c>
      <c r="B462" t="s">
        <v>252</v>
      </c>
      <c r="C462">
        <v>816</v>
      </c>
      <c r="D462" t="s">
        <v>253</v>
      </c>
      <c r="E462" t="s">
        <v>254</v>
      </c>
      <c r="F462">
        <v>5</v>
      </c>
      <c r="G462" s="13">
        <v>46266.821250000001</v>
      </c>
      <c r="H462" s="13">
        <v>46266.821597222224</v>
      </c>
      <c r="I462">
        <v>30</v>
      </c>
      <c r="J462" t="s">
        <v>264</v>
      </c>
      <c r="K462">
        <v>1</v>
      </c>
      <c r="L462">
        <v>0.01</v>
      </c>
      <c r="M462">
        <v>0.01</v>
      </c>
      <c r="N462">
        <v>1</v>
      </c>
      <c r="O462">
        <v>0.01</v>
      </c>
      <c r="P462">
        <v>0.25</v>
      </c>
      <c r="Q462">
        <v>1.75</v>
      </c>
      <c r="R462">
        <v>1.56</v>
      </c>
      <c r="S462" t="s">
        <v>256</v>
      </c>
      <c r="T462" t="s">
        <v>257</v>
      </c>
      <c r="U462">
        <v>10</v>
      </c>
      <c r="V462">
        <v>7047.24</v>
      </c>
      <c r="W462">
        <v>4999.84</v>
      </c>
      <c r="X462">
        <v>4999.75</v>
      </c>
      <c r="Y462">
        <v>0</v>
      </c>
      <c r="Z462">
        <v>0</v>
      </c>
      <c r="AA462">
        <v>35</v>
      </c>
      <c r="AB462">
        <v>50</v>
      </c>
      <c r="AC462">
        <v>5000</v>
      </c>
      <c r="AD462">
        <v>0</v>
      </c>
      <c r="AE462">
        <v>0</v>
      </c>
      <c r="AF462">
        <v>7048.83</v>
      </c>
      <c r="AG462">
        <v>7048.83</v>
      </c>
      <c r="AH462" s="14">
        <v>46266</v>
      </c>
      <c r="AI462" t="s">
        <v>266</v>
      </c>
      <c r="AJ462" s="13">
        <v>46265.054768518516</v>
      </c>
      <c r="AK462">
        <v>6763.31</v>
      </c>
      <c r="AL462" t="s">
        <v>259</v>
      </c>
      <c r="AM462" t="s">
        <v>260</v>
      </c>
      <c r="AN462">
        <v>1400</v>
      </c>
      <c r="AO462">
        <v>0</v>
      </c>
      <c r="AP462">
        <v>35</v>
      </c>
      <c r="AQ462">
        <v>85</v>
      </c>
      <c r="AR462">
        <v>35</v>
      </c>
      <c r="AS462">
        <v>2</v>
      </c>
      <c r="AT462">
        <v>23</v>
      </c>
      <c r="AU462">
        <v>1</v>
      </c>
      <c r="AV462">
        <v>0</v>
      </c>
      <c r="AW462">
        <v>10</v>
      </c>
      <c r="AX462">
        <v>1</v>
      </c>
      <c r="AY462">
        <v>5</v>
      </c>
      <c r="AZ462">
        <v>2</v>
      </c>
      <c r="BA462">
        <v>1</v>
      </c>
      <c r="BB462">
        <v>1440</v>
      </c>
      <c r="BC462">
        <v>0</v>
      </c>
      <c r="BD462">
        <v>0</v>
      </c>
      <c r="BE462">
        <v>14</v>
      </c>
      <c r="BF462">
        <v>25</v>
      </c>
      <c r="BG462">
        <v>3</v>
      </c>
      <c r="BH462">
        <v>8</v>
      </c>
      <c r="BI462">
        <v>3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0</v>
      </c>
      <c r="BQ462">
        <v>60</v>
      </c>
      <c r="BR462">
        <v>0</v>
      </c>
      <c r="BS462">
        <v>3</v>
      </c>
      <c r="BT462" t="s">
        <v>246</v>
      </c>
      <c r="BU462" t="s">
        <v>267</v>
      </c>
      <c r="BV462" t="b">
        <v>0</v>
      </c>
      <c r="BW462" t="s">
        <v>268</v>
      </c>
    </row>
    <row r="463" spans="1:75">
      <c r="A463" t="s">
        <v>246</v>
      </c>
      <c r="B463" t="s">
        <v>252</v>
      </c>
      <c r="C463">
        <v>817</v>
      </c>
      <c r="D463" t="s">
        <v>253</v>
      </c>
      <c r="E463" t="s">
        <v>254</v>
      </c>
      <c r="F463">
        <v>5</v>
      </c>
      <c r="G463" s="13">
        <v>46266.824560185189</v>
      </c>
      <c r="H463" s="13">
        <v>46267.11010416667</v>
      </c>
      <c r="I463">
        <v>24671</v>
      </c>
      <c r="J463" t="s">
        <v>255</v>
      </c>
      <c r="K463">
        <v>14</v>
      </c>
      <c r="L463">
        <v>0.14000000000000001</v>
      </c>
      <c r="M463">
        <v>0.01</v>
      </c>
      <c r="N463">
        <v>14</v>
      </c>
      <c r="O463">
        <v>0.14000000000000001</v>
      </c>
      <c r="P463">
        <v>123.83</v>
      </c>
      <c r="Q463">
        <v>7.96</v>
      </c>
      <c r="R463">
        <v>2.5</v>
      </c>
      <c r="S463" t="s">
        <v>263</v>
      </c>
      <c r="T463" t="s">
        <v>257</v>
      </c>
      <c r="U463">
        <v>11</v>
      </c>
      <c r="V463">
        <v>7048.66</v>
      </c>
      <c r="W463">
        <v>4999.83</v>
      </c>
      <c r="X463">
        <v>4876.17</v>
      </c>
      <c r="Y463">
        <v>0</v>
      </c>
      <c r="Z463">
        <v>0</v>
      </c>
      <c r="AA463">
        <v>35</v>
      </c>
      <c r="AB463">
        <v>50</v>
      </c>
      <c r="AC463">
        <v>5000</v>
      </c>
      <c r="AD463">
        <v>0</v>
      </c>
      <c r="AE463">
        <v>0</v>
      </c>
      <c r="AF463">
        <v>7051.54</v>
      </c>
      <c r="AG463">
        <v>7051.54</v>
      </c>
      <c r="AH463" s="14">
        <v>46266</v>
      </c>
      <c r="AI463" t="s">
        <v>266</v>
      </c>
      <c r="AJ463" s="13">
        <v>46265.054768518516</v>
      </c>
      <c r="AK463">
        <v>6763.31</v>
      </c>
      <c r="AL463" t="s">
        <v>259</v>
      </c>
      <c r="AM463" t="s">
        <v>260</v>
      </c>
      <c r="AN463">
        <v>1400</v>
      </c>
      <c r="AO463">
        <v>0</v>
      </c>
      <c r="AP463">
        <v>35</v>
      </c>
      <c r="AQ463">
        <v>85</v>
      </c>
      <c r="AR463">
        <v>35</v>
      </c>
      <c r="AS463">
        <v>2</v>
      </c>
      <c r="AT463">
        <v>23</v>
      </c>
      <c r="AU463">
        <v>1</v>
      </c>
      <c r="AV463">
        <v>0</v>
      </c>
      <c r="AW463">
        <v>10</v>
      </c>
      <c r="AX463">
        <v>1</v>
      </c>
      <c r="AY463">
        <v>5</v>
      </c>
      <c r="AZ463">
        <v>2</v>
      </c>
      <c r="BA463">
        <v>1</v>
      </c>
      <c r="BB463">
        <v>1440</v>
      </c>
      <c r="BC463">
        <v>0</v>
      </c>
      <c r="BD463">
        <v>0</v>
      </c>
      <c r="BE463">
        <v>14</v>
      </c>
      <c r="BF463">
        <v>25</v>
      </c>
      <c r="BG463">
        <v>3</v>
      </c>
      <c r="BH463">
        <v>8</v>
      </c>
      <c r="BI463">
        <v>3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0</v>
      </c>
      <c r="BQ463">
        <v>60</v>
      </c>
      <c r="BR463">
        <v>0</v>
      </c>
      <c r="BS463">
        <v>3</v>
      </c>
      <c r="BT463" t="s">
        <v>246</v>
      </c>
      <c r="BU463" t="s">
        <v>267</v>
      </c>
      <c r="BV463" t="b">
        <v>0</v>
      </c>
      <c r="BW463" t="s">
        <v>268</v>
      </c>
    </row>
    <row r="464" spans="1:75">
      <c r="A464" t="s">
        <v>246</v>
      </c>
      <c r="B464" t="s">
        <v>252</v>
      </c>
      <c r="C464">
        <v>818</v>
      </c>
      <c r="D464" t="s">
        <v>253</v>
      </c>
      <c r="E464" t="s">
        <v>254</v>
      </c>
      <c r="F464">
        <v>5</v>
      </c>
      <c r="G464" s="13">
        <v>46267.121076388888</v>
      </c>
      <c r="H464" s="13">
        <v>46267.12164351852</v>
      </c>
      <c r="I464">
        <v>49</v>
      </c>
      <c r="J464" t="s">
        <v>264</v>
      </c>
      <c r="K464">
        <v>1</v>
      </c>
      <c r="L464">
        <v>0.01</v>
      </c>
      <c r="M464">
        <v>0.01</v>
      </c>
      <c r="N464">
        <v>1</v>
      </c>
      <c r="O464">
        <v>0.01</v>
      </c>
      <c r="P464">
        <v>0.73</v>
      </c>
      <c r="Q464">
        <v>1.77</v>
      </c>
      <c r="R464">
        <v>1.76</v>
      </c>
      <c r="S464" t="s">
        <v>256</v>
      </c>
      <c r="T464" t="s">
        <v>257</v>
      </c>
      <c r="U464">
        <v>11</v>
      </c>
      <c r="V464">
        <v>7051.38</v>
      </c>
      <c r="W464">
        <v>4999.84</v>
      </c>
      <c r="X464">
        <v>4999.2700000000004</v>
      </c>
      <c r="Y464">
        <v>0</v>
      </c>
      <c r="Z464">
        <v>0</v>
      </c>
      <c r="AA464">
        <v>35</v>
      </c>
      <c r="AB464">
        <v>50</v>
      </c>
      <c r="AC464">
        <v>5000</v>
      </c>
      <c r="AD464">
        <v>0</v>
      </c>
      <c r="AE464">
        <v>0</v>
      </c>
      <c r="AF464">
        <v>7052.95</v>
      </c>
      <c r="AG464">
        <v>7052.95</v>
      </c>
      <c r="AH464" s="14">
        <v>46267</v>
      </c>
      <c r="AI464" t="s">
        <v>266</v>
      </c>
      <c r="AJ464" s="13">
        <v>46265.054768518516</v>
      </c>
      <c r="AK464">
        <v>6763.31</v>
      </c>
      <c r="AL464" t="s">
        <v>259</v>
      </c>
      <c r="AM464" t="s">
        <v>260</v>
      </c>
      <c r="AN464">
        <v>1400</v>
      </c>
      <c r="AO464">
        <v>0</v>
      </c>
      <c r="AP464">
        <v>35</v>
      </c>
      <c r="AQ464">
        <v>85</v>
      </c>
      <c r="AR464">
        <v>35</v>
      </c>
      <c r="AS464">
        <v>2</v>
      </c>
      <c r="AT464">
        <v>23</v>
      </c>
      <c r="AU464">
        <v>1</v>
      </c>
      <c r="AV464">
        <v>0</v>
      </c>
      <c r="AW464">
        <v>10</v>
      </c>
      <c r="AX464">
        <v>1</v>
      </c>
      <c r="AY464">
        <v>5</v>
      </c>
      <c r="AZ464">
        <v>2</v>
      </c>
      <c r="BA464">
        <v>1</v>
      </c>
      <c r="BB464">
        <v>1440</v>
      </c>
      <c r="BC464">
        <v>0</v>
      </c>
      <c r="BD464">
        <v>0</v>
      </c>
      <c r="BE464">
        <v>14</v>
      </c>
      <c r="BF464">
        <v>25</v>
      </c>
      <c r="BG464">
        <v>3</v>
      </c>
      <c r="BH464">
        <v>8</v>
      </c>
      <c r="BI464">
        <v>3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0</v>
      </c>
      <c r="BQ464">
        <v>60</v>
      </c>
      <c r="BR464">
        <v>0</v>
      </c>
      <c r="BS464">
        <v>3</v>
      </c>
      <c r="BT464" t="s">
        <v>246</v>
      </c>
      <c r="BU464" t="s">
        <v>267</v>
      </c>
      <c r="BV464" t="b">
        <v>0</v>
      </c>
      <c r="BW464" t="s">
        <v>268</v>
      </c>
    </row>
    <row r="465" spans="1:75">
      <c r="A465" t="s">
        <v>246</v>
      </c>
      <c r="B465" t="s">
        <v>252</v>
      </c>
      <c r="C465">
        <v>819</v>
      </c>
      <c r="D465" t="s">
        <v>253</v>
      </c>
      <c r="E465" t="s">
        <v>254</v>
      </c>
      <c r="F465">
        <v>5</v>
      </c>
      <c r="G465" s="13">
        <v>46267.124814814815</v>
      </c>
      <c r="H465" s="13">
        <v>46267.1252662037</v>
      </c>
      <c r="I465">
        <v>39</v>
      </c>
      <c r="J465" t="s">
        <v>264</v>
      </c>
      <c r="K465">
        <v>1</v>
      </c>
      <c r="L465">
        <v>0.01</v>
      </c>
      <c r="M465">
        <v>0.01</v>
      </c>
      <c r="N465">
        <v>1</v>
      </c>
      <c r="O465">
        <v>0.01</v>
      </c>
      <c r="P465">
        <v>1.32</v>
      </c>
      <c r="Q465">
        <v>0.84</v>
      </c>
      <c r="R465">
        <v>0.57999999999999996</v>
      </c>
      <c r="S465" t="s">
        <v>256</v>
      </c>
      <c r="T465" t="s">
        <v>257</v>
      </c>
      <c r="U465">
        <v>10</v>
      </c>
      <c r="V465">
        <v>7052.74</v>
      </c>
      <c r="W465">
        <v>4999.79</v>
      </c>
      <c r="X465">
        <v>4998.68</v>
      </c>
      <c r="Y465">
        <v>0</v>
      </c>
      <c r="Z465">
        <v>0</v>
      </c>
      <c r="AA465">
        <v>35</v>
      </c>
      <c r="AB465">
        <v>50</v>
      </c>
      <c r="AC465">
        <v>5000</v>
      </c>
      <c r="AD465">
        <v>0</v>
      </c>
      <c r="AE465">
        <v>0</v>
      </c>
      <c r="AF465">
        <v>7053.44</v>
      </c>
      <c r="AG465">
        <v>7053.44</v>
      </c>
      <c r="AH465" s="14">
        <v>46267</v>
      </c>
      <c r="AI465" t="s">
        <v>266</v>
      </c>
      <c r="AJ465" s="13">
        <v>46265.054768518516</v>
      </c>
      <c r="AK465">
        <v>6763.31</v>
      </c>
      <c r="AL465" t="s">
        <v>259</v>
      </c>
      <c r="AM465" t="s">
        <v>260</v>
      </c>
      <c r="AN465">
        <v>1400</v>
      </c>
      <c r="AO465">
        <v>0</v>
      </c>
      <c r="AP465">
        <v>35</v>
      </c>
      <c r="AQ465">
        <v>85</v>
      </c>
      <c r="AR465">
        <v>35</v>
      </c>
      <c r="AS465">
        <v>2</v>
      </c>
      <c r="AT465">
        <v>23</v>
      </c>
      <c r="AU465">
        <v>1</v>
      </c>
      <c r="AV465">
        <v>0</v>
      </c>
      <c r="AW465">
        <v>10</v>
      </c>
      <c r="AX465">
        <v>1</v>
      </c>
      <c r="AY465">
        <v>5</v>
      </c>
      <c r="AZ465">
        <v>2</v>
      </c>
      <c r="BA465">
        <v>1</v>
      </c>
      <c r="BB465">
        <v>1440</v>
      </c>
      <c r="BC465">
        <v>0</v>
      </c>
      <c r="BD465">
        <v>0</v>
      </c>
      <c r="BE465">
        <v>14</v>
      </c>
      <c r="BF465">
        <v>25</v>
      </c>
      <c r="BG465">
        <v>3</v>
      </c>
      <c r="BH465">
        <v>8</v>
      </c>
      <c r="BI465">
        <v>3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0</v>
      </c>
      <c r="BQ465">
        <v>60</v>
      </c>
      <c r="BR465">
        <v>0</v>
      </c>
      <c r="BS465">
        <v>3</v>
      </c>
      <c r="BT465" t="s">
        <v>246</v>
      </c>
      <c r="BU465" t="s">
        <v>267</v>
      </c>
      <c r="BV465" t="b">
        <v>0</v>
      </c>
      <c r="BW465" t="s">
        <v>268</v>
      </c>
    </row>
    <row r="466" spans="1:75">
      <c r="A466" t="s">
        <v>246</v>
      </c>
      <c r="B466" t="s">
        <v>252</v>
      </c>
      <c r="C466">
        <v>820</v>
      </c>
      <c r="D466" t="s">
        <v>253</v>
      </c>
      <c r="E466" t="s">
        <v>254</v>
      </c>
      <c r="F466">
        <v>5</v>
      </c>
      <c r="G466" s="13">
        <v>46267.125740740739</v>
      </c>
      <c r="H466" s="13">
        <v>46267.126493055555</v>
      </c>
      <c r="I466">
        <v>65</v>
      </c>
      <c r="J466" t="s">
        <v>264</v>
      </c>
      <c r="K466">
        <v>1</v>
      </c>
      <c r="L466">
        <v>0.01</v>
      </c>
      <c r="M466">
        <v>0.01</v>
      </c>
      <c r="N466">
        <v>1</v>
      </c>
      <c r="O466">
        <v>0.01</v>
      </c>
      <c r="P466">
        <v>0.16</v>
      </c>
      <c r="Q466">
        <v>1.34</v>
      </c>
      <c r="R466">
        <v>1.33</v>
      </c>
      <c r="S466" t="s">
        <v>256</v>
      </c>
      <c r="T466" t="s">
        <v>257</v>
      </c>
      <c r="U466">
        <v>11</v>
      </c>
      <c r="V466">
        <v>7053.28</v>
      </c>
      <c r="W466">
        <v>4999.84</v>
      </c>
      <c r="X466">
        <v>4999.84</v>
      </c>
      <c r="Y466">
        <v>0</v>
      </c>
      <c r="Z466">
        <v>0</v>
      </c>
      <c r="AA466">
        <v>35</v>
      </c>
      <c r="AB466">
        <v>50</v>
      </c>
      <c r="AC466">
        <v>5000</v>
      </c>
      <c r="AD466">
        <v>0</v>
      </c>
      <c r="AE466">
        <v>0</v>
      </c>
      <c r="AF466">
        <v>7054.43</v>
      </c>
      <c r="AG466">
        <v>7054.43</v>
      </c>
      <c r="AH466" s="14">
        <v>46267</v>
      </c>
      <c r="AI466" t="s">
        <v>266</v>
      </c>
      <c r="AJ466" s="13">
        <v>46265.054768518516</v>
      </c>
      <c r="AK466">
        <v>6763.31</v>
      </c>
      <c r="AL466" t="s">
        <v>259</v>
      </c>
      <c r="AM466" t="s">
        <v>260</v>
      </c>
      <c r="AN466">
        <v>1400</v>
      </c>
      <c r="AO466">
        <v>0</v>
      </c>
      <c r="AP466">
        <v>35</v>
      </c>
      <c r="AQ466">
        <v>85</v>
      </c>
      <c r="AR466">
        <v>35</v>
      </c>
      <c r="AS466">
        <v>2</v>
      </c>
      <c r="AT466">
        <v>23</v>
      </c>
      <c r="AU466">
        <v>1</v>
      </c>
      <c r="AV466">
        <v>0</v>
      </c>
      <c r="AW466">
        <v>10</v>
      </c>
      <c r="AX466">
        <v>1</v>
      </c>
      <c r="AY466">
        <v>5</v>
      </c>
      <c r="AZ466">
        <v>2</v>
      </c>
      <c r="BA466">
        <v>1</v>
      </c>
      <c r="BB466">
        <v>1440</v>
      </c>
      <c r="BC466">
        <v>0</v>
      </c>
      <c r="BD466">
        <v>0</v>
      </c>
      <c r="BE466">
        <v>14</v>
      </c>
      <c r="BF466">
        <v>25</v>
      </c>
      <c r="BG466">
        <v>3</v>
      </c>
      <c r="BH466">
        <v>8</v>
      </c>
      <c r="BI466">
        <v>3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0</v>
      </c>
      <c r="BQ466">
        <v>60</v>
      </c>
      <c r="BR466">
        <v>0</v>
      </c>
      <c r="BS466">
        <v>3</v>
      </c>
      <c r="BT466" t="s">
        <v>246</v>
      </c>
      <c r="BU466" t="s">
        <v>267</v>
      </c>
      <c r="BV466" t="b">
        <v>0</v>
      </c>
      <c r="BW466" t="s">
        <v>268</v>
      </c>
    </row>
    <row r="467" spans="1:75">
      <c r="A467" t="s">
        <v>246</v>
      </c>
      <c r="B467" t="s">
        <v>252</v>
      </c>
      <c r="C467">
        <v>821</v>
      </c>
      <c r="D467" t="s">
        <v>253</v>
      </c>
      <c r="E467" t="s">
        <v>254</v>
      </c>
      <c r="F467">
        <v>5</v>
      </c>
      <c r="G467" s="13">
        <v>46267.128796296296</v>
      </c>
      <c r="H467" s="13">
        <v>46267.129131944443</v>
      </c>
      <c r="I467">
        <v>29</v>
      </c>
      <c r="J467" t="s">
        <v>264</v>
      </c>
      <c r="K467">
        <v>1</v>
      </c>
      <c r="L467">
        <v>0.01</v>
      </c>
      <c r="M467">
        <v>0.01</v>
      </c>
      <c r="N467">
        <v>1</v>
      </c>
      <c r="O467">
        <v>0.01</v>
      </c>
      <c r="P467">
        <v>2.33</v>
      </c>
      <c r="Q467">
        <v>1.48</v>
      </c>
      <c r="R467">
        <v>1.32</v>
      </c>
      <c r="S467" t="s">
        <v>256</v>
      </c>
      <c r="T467" t="s">
        <v>257</v>
      </c>
      <c r="U467">
        <v>11</v>
      </c>
      <c r="V467">
        <v>7054.26</v>
      </c>
      <c r="W467">
        <v>4999.83</v>
      </c>
      <c r="X467">
        <v>4997.67</v>
      </c>
      <c r="Y467">
        <v>0</v>
      </c>
      <c r="Z467">
        <v>0</v>
      </c>
      <c r="AA467">
        <v>35</v>
      </c>
      <c r="AB467">
        <v>50</v>
      </c>
      <c r="AC467">
        <v>5000</v>
      </c>
      <c r="AD467">
        <v>0</v>
      </c>
      <c r="AE467">
        <v>0</v>
      </c>
      <c r="AF467">
        <v>7055.56</v>
      </c>
      <c r="AG467">
        <v>7055.56</v>
      </c>
      <c r="AH467" s="14">
        <v>46267</v>
      </c>
      <c r="AI467" t="s">
        <v>266</v>
      </c>
      <c r="AJ467" s="13">
        <v>46265.054768518516</v>
      </c>
      <c r="AK467">
        <v>6763.31</v>
      </c>
      <c r="AL467" t="s">
        <v>259</v>
      </c>
      <c r="AM467" t="s">
        <v>260</v>
      </c>
      <c r="AN467">
        <v>1400</v>
      </c>
      <c r="AO467">
        <v>0</v>
      </c>
      <c r="AP467">
        <v>35</v>
      </c>
      <c r="AQ467">
        <v>85</v>
      </c>
      <c r="AR467">
        <v>35</v>
      </c>
      <c r="AS467">
        <v>2</v>
      </c>
      <c r="AT467">
        <v>23</v>
      </c>
      <c r="AU467">
        <v>1</v>
      </c>
      <c r="AV467">
        <v>0</v>
      </c>
      <c r="AW467">
        <v>10</v>
      </c>
      <c r="AX467">
        <v>1</v>
      </c>
      <c r="AY467">
        <v>5</v>
      </c>
      <c r="AZ467">
        <v>2</v>
      </c>
      <c r="BA467">
        <v>1</v>
      </c>
      <c r="BB467">
        <v>1440</v>
      </c>
      <c r="BC467">
        <v>0</v>
      </c>
      <c r="BD467">
        <v>0</v>
      </c>
      <c r="BE467">
        <v>14</v>
      </c>
      <c r="BF467">
        <v>25</v>
      </c>
      <c r="BG467">
        <v>3</v>
      </c>
      <c r="BH467">
        <v>8</v>
      </c>
      <c r="BI467">
        <v>3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0</v>
      </c>
      <c r="BQ467">
        <v>60</v>
      </c>
      <c r="BR467">
        <v>0</v>
      </c>
      <c r="BS467">
        <v>3</v>
      </c>
      <c r="BT467" t="s">
        <v>246</v>
      </c>
      <c r="BU467" t="s">
        <v>267</v>
      </c>
      <c r="BV467" t="b">
        <v>0</v>
      </c>
      <c r="BW467" t="s">
        <v>268</v>
      </c>
    </row>
    <row r="468" spans="1:75">
      <c r="A468" t="s">
        <v>246</v>
      </c>
      <c r="B468" t="s">
        <v>252</v>
      </c>
      <c r="C468">
        <v>822</v>
      </c>
      <c r="D468" t="s">
        <v>253</v>
      </c>
      <c r="E468" t="s">
        <v>254</v>
      </c>
      <c r="F468">
        <v>5</v>
      </c>
      <c r="G468" s="13">
        <v>46267.132777777777</v>
      </c>
      <c r="H468" s="13">
        <v>46267.133460648147</v>
      </c>
      <c r="I468">
        <v>59</v>
      </c>
      <c r="J468" t="s">
        <v>264</v>
      </c>
      <c r="K468">
        <v>1</v>
      </c>
      <c r="L468">
        <v>0.01</v>
      </c>
      <c r="M468">
        <v>0.01</v>
      </c>
      <c r="N468">
        <v>1</v>
      </c>
      <c r="O468">
        <v>0.01</v>
      </c>
      <c r="P468">
        <v>2.81</v>
      </c>
      <c r="Q468">
        <v>1.1299999999999999</v>
      </c>
      <c r="R468">
        <v>0.86</v>
      </c>
      <c r="S468" t="s">
        <v>256</v>
      </c>
      <c r="T468" t="s">
        <v>257</v>
      </c>
      <c r="U468">
        <v>11</v>
      </c>
      <c r="V468">
        <v>7055.4</v>
      </c>
      <c r="W468">
        <v>4999.84</v>
      </c>
      <c r="X468">
        <v>4997.1899999999996</v>
      </c>
      <c r="Y468">
        <v>0</v>
      </c>
      <c r="Z468">
        <v>0</v>
      </c>
      <c r="AA468">
        <v>35</v>
      </c>
      <c r="AB468">
        <v>50</v>
      </c>
      <c r="AC468">
        <v>5000</v>
      </c>
      <c r="AD468">
        <v>0</v>
      </c>
      <c r="AE468">
        <v>0</v>
      </c>
      <c r="AF468">
        <v>7056.34</v>
      </c>
      <c r="AG468">
        <v>7056.34</v>
      </c>
      <c r="AH468" s="14">
        <v>46267</v>
      </c>
      <c r="AI468" t="s">
        <v>266</v>
      </c>
      <c r="AJ468" s="13">
        <v>46265.054768518516</v>
      </c>
      <c r="AK468">
        <v>6763.31</v>
      </c>
      <c r="AL468" t="s">
        <v>259</v>
      </c>
      <c r="AM468" t="s">
        <v>260</v>
      </c>
      <c r="AN468">
        <v>1400</v>
      </c>
      <c r="AO468">
        <v>0</v>
      </c>
      <c r="AP468">
        <v>35</v>
      </c>
      <c r="AQ468">
        <v>85</v>
      </c>
      <c r="AR468">
        <v>35</v>
      </c>
      <c r="AS468">
        <v>2</v>
      </c>
      <c r="AT468">
        <v>23</v>
      </c>
      <c r="AU468">
        <v>1</v>
      </c>
      <c r="AV468">
        <v>0</v>
      </c>
      <c r="AW468">
        <v>10</v>
      </c>
      <c r="AX468">
        <v>1</v>
      </c>
      <c r="AY468">
        <v>5</v>
      </c>
      <c r="AZ468">
        <v>2</v>
      </c>
      <c r="BA468">
        <v>1</v>
      </c>
      <c r="BB468">
        <v>1440</v>
      </c>
      <c r="BC468">
        <v>0</v>
      </c>
      <c r="BD468">
        <v>0</v>
      </c>
      <c r="BE468">
        <v>14</v>
      </c>
      <c r="BF468">
        <v>25</v>
      </c>
      <c r="BG468">
        <v>3</v>
      </c>
      <c r="BH468">
        <v>8</v>
      </c>
      <c r="BI468">
        <v>3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0</v>
      </c>
      <c r="BQ468">
        <v>60</v>
      </c>
      <c r="BR468">
        <v>0</v>
      </c>
      <c r="BS468">
        <v>3</v>
      </c>
      <c r="BT468" t="s">
        <v>246</v>
      </c>
      <c r="BU468" t="s">
        <v>267</v>
      </c>
      <c r="BV468" t="b">
        <v>0</v>
      </c>
      <c r="BW468" t="s">
        <v>268</v>
      </c>
    </row>
    <row r="469" spans="1:75">
      <c r="A469" t="s">
        <v>246</v>
      </c>
      <c r="B469" t="s">
        <v>252</v>
      </c>
      <c r="C469">
        <v>823</v>
      </c>
      <c r="D469" t="s">
        <v>253</v>
      </c>
      <c r="E469" t="s">
        <v>254</v>
      </c>
      <c r="F469">
        <v>5</v>
      </c>
      <c r="G469" s="13">
        <v>46267.13685185185</v>
      </c>
      <c r="H469" s="13">
        <v>46267.137060185189</v>
      </c>
      <c r="I469">
        <v>18</v>
      </c>
      <c r="J469" t="s">
        <v>255</v>
      </c>
      <c r="K469">
        <v>1</v>
      </c>
      <c r="L469">
        <v>0.01</v>
      </c>
      <c r="M469">
        <v>0.01</v>
      </c>
      <c r="N469">
        <v>1</v>
      </c>
      <c r="O469">
        <v>0.01</v>
      </c>
      <c r="P469">
        <v>0.24</v>
      </c>
      <c r="Q469">
        <v>0.94</v>
      </c>
      <c r="R469">
        <v>0.62</v>
      </c>
      <c r="S469" t="s">
        <v>256</v>
      </c>
      <c r="T469" t="s">
        <v>257</v>
      </c>
      <c r="U469">
        <v>11</v>
      </c>
      <c r="V469">
        <v>7056.17</v>
      </c>
      <c r="W469">
        <v>4999.83</v>
      </c>
      <c r="X469">
        <v>4999.76</v>
      </c>
      <c r="Y469">
        <v>0</v>
      </c>
      <c r="Z469">
        <v>0</v>
      </c>
      <c r="AA469">
        <v>35</v>
      </c>
      <c r="AB469">
        <v>50</v>
      </c>
      <c r="AC469">
        <v>5000</v>
      </c>
      <c r="AD469">
        <v>0</v>
      </c>
      <c r="AE469">
        <v>0</v>
      </c>
      <c r="AF469">
        <v>7056.93</v>
      </c>
      <c r="AG469">
        <v>7056.93</v>
      </c>
      <c r="AH469" s="14">
        <v>46267</v>
      </c>
      <c r="AI469" t="s">
        <v>266</v>
      </c>
      <c r="AJ469" s="13">
        <v>46265.054768518516</v>
      </c>
      <c r="AK469">
        <v>6763.31</v>
      </c>
      <c r="AL469" t="s">
        <v>259</v>
      </c>
      <c r="AM469" t="s">
        <v>260</v>
      </c>
      <c r="AN469">
        <v>1400</v>
      </c>
      <c r="AO469">
        <v>0</v>
      </c>
      <c r="AP469">
        <v>35</v>
      </c>
      <c r="AQ469">
        <v>85</v>
      </c>
      <c r="AR469">
        <v>35</v>
      </c>
      <c r="AS469">
        <v>2</v>
      </c>
      <c r="AT469">
        <v>23</v>
      </c>
      <c r="AU469">
        <v>1</v>
      </c>
      <c r="AV469">
        <v>0</v>
      </c>
      <c r="AW469">
        <v>10</v>
      </c>
      <c r="AX469">
        <v>1</v>
      </c>
      <c r="AY469">
        <v>5</v>
      </c>
      <c r="AZ469">
        <v>2</v>
      </c>
      <c r="BA469">
        <v>1</v>
      </c>
      <c r="BB469">
        <v>1440</v>
      </c>
      <c r="BC469">
        <v>0</v>
      </c>
      <c r="BD469">
        <v>0</v>
      </c>
      <c r="BE469">
        <v>14</v>
      </c>
      <c r="BF469">
        <v>25</v>
      </c>
      <c r="BG469">
        <v>3</v>
      </c>
      <c r="BH469">
        <v>8</v>
      </c>
      <c r="BI469">
        <v>3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0</v>
      </c>
      <c r="BQ469">
        <v>60</v>
      </c>
      <c r="BR469">
        <v>0</v>
      </c>
      <c r="BS469">
        <v>3</v>
      </c>
      <c r="BT469" t="s">
        <v>246</v>
      </c>
      <c r="BU469" t="s">
        <v>267</v>
      </c>
      <c r="BV469" t="b">
        <v>0</v>
      </c>
      <c r="BW469" t="s">
        <v>268</v>
      </c>
    </row>
    <row r="470" spans="1:75">
      <c r="A470" t="s">
        <v>246</v>
      </c>
      <c r="B470" t="s">
        <v>252</v>
      </c>
      <c r="C470">
        <v>824</v>
      </c>
      <c r="D470" t="s">
        <v>253</v>
      </c>
      <c r="E470" t="s">
        <v>254</v>
      </c>
      <c r="F470">
        <v>5</v>
      </c>
      <c r="G470" s="13">
        <v>46267.139594907407</v>
      </c>
      <c r="H470" s="13">
        <v>46267.144594907404</v>
      </c>
      <c r="I470">
        <v>432</v>
      </c>
      <c r="J470" t="s">
        <v>264</v>
      </c>
      <c r="K470">
        <v>2</v>
      </c>
      <c r="L470">
        <v>0.02</v>
      </c>
      <c r="M470">
        <v>0.01</v>
      </c>
      <c r="N470">
        <v>2</v>
      </c>
      <c r="O470">
        <v>0.02</v>
      </c>
      <c r="P470">
        <v>7.55</v>
      </c>
      <c r="Q470">
        <v>6.12</v>
      </c>
      <c r="R470">
        <v>3.7</v>
      </c>
      <c r="S470" t="s">
        <v>263</v>
      </c>
      <c r="T470" t="s">
        <v>257</v>
      </c>
      <c r="U470">
        <v>11</v>
      </c>
      <c r="V470">
        <v>7056.76</v>
      </c>
      <c r="W470">
        <v>4999.83</v>
      </c>
      <c r="X470">
        <v>4992.45</v>
      </c>
      <c r="Y470">
        <v>0</v>
      </c>
      <c r="Z470">
        <v>0</v>
      </c>
      <c r="AA470">
        <v>35</v>
      </c>
      <c r="AB470">
        <v>50</v>
      </c>
      <c r="AC470">
        <v>5000</v>
      </c>
      <c r="AD470">
        <v>0</v>
      </c>
      <c r="AE470">
        <v>0</v>
      </c>
      <c r="AF470">
        <v>7060.54</v>
      </c>
      <c r="AG470">
        <v>7060.54</v>
      </c>
      <c r="AH470" s="14">
        <v>46267</v>
      </c>
      <c r="AI470" t="s">
        <v>266</v>
      </c>
      <c r="AJ470" s="13">
        <v>46265.054768518516</v>
      </c>
      <c r="AK470">
        <v>6763.31</v>
      </c>
      <c r="AL470" t="s">
        <v>259</v>
      </c>
      <c r="AM470" t="s">
        <v>260</v>
      </c>
      <c r="AN470">
        <v>1400</v>
      </c>
      <c r="AO470">
        <v>0</v>
      </c>
      <c r="AP470">
        <v>35</v>
      </c>
      <c r="AQ470">
        <v>85</v>
      </c>
      <c r="AR470">
        <v>35</v>
      </c>
      <c r="AS470">
        <v>2</v>
      </c>
      <c r="AT470">
        <v>23</v>
      </c>
      <c r="AU470">
        <v>1</v>
      </c>
      <c r="AV470">
        <v>0</v>
      </c>
      <c r="AW470">
        <v>10</v>
      </c>
      <c r="AX470">
        <v>1</v>
      </c>
      <c r="AY470">
        <v>5</v>
      </c>
      <c r="AZ470">
        <v>2</v>
      </c>
      <c r="BA470">
        <v>1</v>
      </c>
      <c r="BB470">
        <v>1440</v>
      </c>
      <c r="BC470">
        <v>0</v>
      </c>
      <c r="BD470">
        <v>0</v>
      </c>
      <c r="BE470">
        <v>14</v>
      </c>
      <c r="BF470">
        <v>25</v>
      </c>
      <c r="BG470">
        <v>3</v>
      </c>
      <c r="BH470">
        <v>8</v>
      </c>
      <c r="BI470">
        <v>3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0</v>
      </c>
      <c r="BQ470">
        <v>60</v>
      </c>
      <c r="BR470">
        <v>0</v>
      </c>
      <c r="BS470">
        <v>3</v>
      </c>
      <c r="BT470" t="s">
        <v>246</v>
      </c>
      <c r="BU470" t="s">
        <v>267</v>
      </c>
      <c r="BV470" t="b">
        <v>0</v>
      </c>
      <c r="BW470" t="s">
        <v>268</v>
      </c>
    </row>
    <row r="471" spans="1:75">
      <c r="A471" t="s">
        <v>246</v>
      </c>
      <c r="B471" t="s">
        <v>252</v>
      </c>
      <c r="C471">
        <v>825</v>
      </c>
      <c r="D471" t="s">
        <v>253</v>
      </c>
      <c r="E471" t="s">
        <v>254</v>
      </c>
      <c r="F471">
        <v>5</v>
      </c>
      <c r="G471" s="13">
        <v>46267.146689814814</v>
      </c>
      <c r="H471" s="13">
        <v>46267.148553240739</v>
      </c>
      <c r="I471">
        <v>161</v>
      </c>
      <c r="J471" t="s">
        <v>264</v>
      </c>
      <c r="K471">
        <v>1</v>
      </c>
      <c r="L471">
        <v>0.01</v>
      </c>
      <c r="M471">
        <v>0.01</v>
      </c>
      <c r="N471">
        <v>1</v>
      </c>
      <c r="O471">
        <v>0.01</v>
      </c>
      <c r="P471">
        <v>2.94</v>
      </c>
      <c r="Q471">
        <v>0.8</v>
      </c>
      <c r="R471">
        <v>0.49</v>
      </c>
      <c r="S471" t="s">
        <v>256</v>
      </c>
      <c r="T471" t="s">
        <v>257</v>
      </c>
      <c r="U471">
        <v>10</v>
      </c>
      <c r="V471">
        <v>7060.38</v>
      </c>
      <c r="W471">
        <v>4999.84</v>
      </c>
      <c r="X471">
        <v>4997.0600000000004</v>
      </c>
      <c r="Y471">
        <v>0</v>
      </c>
      <c r="Z471">
        <v>0</v>
      </c>
      <c r="AA471">
        <v>35</v>
      </c>
      <c r="AB471">
        <v>50</v>
      </c>
      <c r="AC471">
        <v>5000</v>
      </c>
      <c r="AD471">
        <v>0</v>
      </c>
      <c r="AE471">
        <v>0</v>
      </c>
      <c r="AF471">
        <v>7060.99</v>
      </c>
      <c r="AG471">
        <v>7060.99</v>
      </c>
      <c r="AH471" s="14">
        <v>46267</v>
      </c>
      <c r="AI471" t="s">
        <v>266</v>
      </c>
      <c r="AJ471" s="13">
        <v>46265.054768518516</v>
      </c>
      <c r="AK471">
        <v>6763.31</v>
      </c>
      <c r="AL471" t="s">
        <v>259</v>
      </c>
      <c r="AM471" t="s">
        <v>260</v>
      </c>
      <c r="AN471">
        <v>1400</v>
      </c>
      <c r="AO471">
        <v>0</v>
      </c>
      <c r="AP471">
        <v>35</v>
      </c>
      <c r="AQ471">
        <v>85</v>
      </c>
      <c r="AR471">
        <v>35</v>
      </c>
      <c r="AS471">
        <v>2</v>
      </c>
      <c r="AT471">
        <v>23</v>
      </c>
      <c r="AU471">
        <v>1</v>
      </c>
      <c r="AV471">
        <v>0</v>
      </c>
      <c r="AW471">
        <v>10</v>
      </c>
      <c r="AX471">
        <v>1</v>
      </c>
      <c r="AY471">
        <v>5</v>
      </c>
      <c r="AZ471">
        <v>2</v>
      </c>
      <c r="BA471">
        <v>1</v>
      </c>
      <c r="BB471">
        <v>1440</v>
      </c>
      <c r="BC471">
        <v>0</v>
      </c>
      <c r="BD471">
        <v>0</v>
      </c>
      <c r="BE471">
        <v>14</v>
      </c>
      <c r="BF471">
        <v>25</v>
      </c>
      <c r="BG471">
        <v>3</v>
      </c>
      <c r="BH471">
        <v>8</v>
      </c>
      <c r="BI471">
        <v>3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0</v>
      </c>
      <c r="BQ471">
        <v>60</v>
      </c>
      <c r="BR471">
        <v>0</v>
      </c>
      <c r="BS471">
        <v>3</v>
      </c>
      <c r="BT471" t="s">
        <v>246</v>
      </c>
      <c r="BU471" t="s">
        <v>267</v>
      </c>
      <c r="BV471" t="b">
        <v>0</v>
      </c>
      <c r="BW471" t="s">
        <v>268</v>
      </c>
    </row>
    <row r="472" spans="1:75">
      <c r="A472" t="s">
        <v>246</v>
      </c>
      <c r="B472" t="s">
        <v>252</v>
      </c>
      <c r="C472">
        <v>826</v>
      </c>
      <c r="D472" t="s">
        <v>253</v>
      </c>
      <c r="E472" t="s">
        <v>254</v>
      </c>
      <c r="F472">
        <v>5</v>
      </c>
      <c r="G472" s="13">
        <v>46267.14984953704</v>
      </c>
      <c r="H472" s="13">
        <v>46267.150208333333</v>
      </c>
      <c r="I472">
        <v>31</v>
      </c>
      <c r="J472" t="s">
        <v>255</v>
      </c>
      <c r="K472">
        <v>1</v>
      </c>
      <c r="L472">
        <v>0.01</v>
      </c>
      <c r="M472">
        <v>0.01</v>
      </c>
      <c r="N472">
        <v>1</v>
      </c>
      <c r="O472">
        <v>0.01</v>
      </c>
      <c r="P472">
        <v>0.18</v>
      </c>
      <c r="Q472">
        <v>1.93</v>
      </c>
      <c r="R472">
        <v>1.69</v>
      </c>
      <c r="S472" t="s">
        <v>256</v>
      </c>
      <c r="T472" t="s">
        <v>257</v>
      </c>
      <c r="U472">
        <v>11</v>
      </c>
      <c r="V472">
        <v>7060.82</v>
      </c>
      <c r="W472">
        <v>4999.83</v>
      </c>
      <c r="X472">
        <v>4999.82</v>
      </c>
      <c r="Y472">
        <v>0</v>
      </c>
      <c r="Z472">
        <v>0</v>
      </c>
      <c r="AA472">
        <v>35</v>
      </c>
      <c r="AB472">
        <v>50</v>
      </c>
      <c r="AC472">
        <v>5000</v>
      </c>
      <c r="AD472">
        <v>0</v>
      </c>
      <c r="AE472">
        <v>0</v>
      </c>
      <c r="AF472">
        <v>7062.57</v>
      </c>
      <c r="AG472">
        <v>7062.57</v>
      </c>
      <c r="AH472" s="14">
        <v>46267</v>
      </c>
      <c r="AI472" t="s">
        <v>266</v>
      </c>
      <c r="AJ472" s="13">
        <v>46265.054768518516</v>
      </c>
      <c r="AK472">
        <v>6763.31</v>
      </c>
      <c r="AL472" t="s">
        <v>259</v>
      </c>
      <c r="AM472" t="s">
        <v>260</v>
      </c>
      <c r="AN472">
        <v>1400</v>
      </c>
      <c r="AO472">
        <v>0</v>
      </c>
      <c r="AP472">
        <v>35</v>
      </c>
      <c r="AQ472">
        <v>85</v>
      </c>
      <c r="AR472">
        <v>35</v>
      </c>
      <c r="AS472">
        <v>2</v>
      </c>
      <c r="AT472">
        <v>23</v>
      </c>
      <c r="AU472">
        <v>1</v>
      </c>
      <c r="AV472">
        <v>0</v>
      </c>
      <c r="AW472">
        <v>10</v>
      </c>
      <c r="AX472">
        <v>1</v>
      </c>
      <c r="AY472">
        <v>5</v>
      </c>
      <c r="AZ472">
        <v>2</v>
      </c>
      <c r="BA472">
        <v>1</v>
      </c>
      <c r="BB472">
        <v>1440</v>
      </c>
      <c r="BC472">
        <v>0</v>
      </c>
      <c r="BD472">
        <v>0</v>
      </c>
      <c r="BE472">
        <v>14</v>
      </c>
      <c r="BF472">
        <v>25</v>
      </c>
      <c r="BG472">
        <v>3</v>
      </c>
      <c r="BH472">
        <v>8</v>
      </c>
      <c r="BI472">
        <v>3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0</v>
      </c>
      <c r="BQ472">
        <v>60</v>
      </c>
      <c r="BR472">
        <v>0</v>
      </c>
      <c r="BS472">
        <v>3</v>
      </c>
      <c r="BT472" t="s">
        <v>246</v>
      </c>
      <c r="BU472" t="s">
        <v>267</v>
      </c>
      <c r="BV472" t="b">
        <v>0</v>
      </c>
      <c r="BW472" t="s">
        <v>268</v>
      </c>
    </row>
    <row r="473" spans="1:75">
      <c r="A473" t="s">
        <v>246</v>
      </c>
      <c r="B473" t="s">
        <v>252</v>
      </c>
      <c r="C473">
        <v>827</v>
      </c>
      <c r="D473" t="s">
        <v>253</v>
      </c>
      <c r="E473" t="s">
        <v>254</v>
      </c>
      <c r="F473">
        <v>5</v>
      </c>
      <c r="G473" s="13">
        <v>46267.155300925922</v>
      </c>
      <c r="H473" s="13">
        <v>46267.156064814815</v>
      </c>
      <c r="I473">
        <v>66</v>
      </c>
      <c r="J473" t="s">
        <v>255</v>
      </c>
      <c r="K473">
        <v>1</v>
      </c>
      <c r="L473">
        <v>0.01</v>
      </c>
      <c r="M473">
        <v>0.01</v>
      </c>
      <c r="N473">
        <v>1</v>
      </c>
      <c r="O473">
        <v>0.01</v>
      </c>
      <c r="P473">
        <v>0.97</v>
      </c>
      <c r="Q473">
        <v>4.01</v>
      </c>
      <c r="R473">
        <v>4.01</v>
      </c>
      <c r="S473" t="s">
        <v>256</v>
      </c>
      <c r="T473" t="s">
        <v>257</v>
      </c>
      <c r="U473">
        <v>10</v>
      </c>
      <c r="V473">
        <v>7062.4</v>
      </c>
      <c r="W473">
        <v>4999.83</v>
      </c>
      <c r="X473">
        <v>4999.03</v>
      </c>
      <c r="Y473">
        <v>0</v>
      </c>
      <c r="Z473">
        <v>0</v>
      </c>
      <c r="AA473">
        <v>35</v>
      </c>
      <c r="AB473">
        <v>50</v>
      </c>
      <c r="AC473">
        <v>5000</v>
      </c>
      <c r="AD473">
        <v>0</v>
      </c>
      <c r="AE473">
        <v>0</v>
      </c>
      <c r="AF473">
        <v>7066.23</v>
      </c>
      <c r="AG473">
        <v>7066.23</v>
      </c>
      <c r="AH473" s="14">
        <v>46267</v>
      </c>
      <c r="AI473" t="s">
        <v>266</v>
      </c>
      <c r="AJ473" s="13">
        <v>46265.054768518516</v>
      </c>
      <c r="AK473">
        <v>6763.31</v>
      </c>
      <c r="AL473" t="s">
        <v>259</v>
      </c>
      <c r="AM473" t="s">
        <v>260</v>
      </c>
      <c r="AN473">
        <v>1400</v>
      </c>
      <c r="AO473">
        <v>0</v>
      </c>
      <c r="AP473">
        <v>35</v>
      </c>
      <c r="AQ473">
        <v>85</v>
      </c>
      <c r="AR473">
        <v>35</v>
      </c>
      <c r="AS473">
        <v>2</v>
      </c>
      <c r="AT473">
        <v>23</v>
      </c>
      <c r="AU473">
        <v>1</v>
      </c>
      <c r="AV473">
        <v>0</v>
      </c>
      <c r="AW473">
        <v>10</v>
      </c>
      <c r="AX473">
        <v>1</v>
      </c>
      <c r="AY473">
        <v>5</v>
      </c>
      <c r="AZ473">
        <v>2</v>
      </c>
      <c r="BA473">
        <v>1</v>
      </c>
      <c r="BB473">
        <v>1440</v>
      </c>
      <c r="BC473">
        <v>0</v>
      </c>
      <c r="BD473">
        <v>0</v>
      </c>
      <c r="BE473">
        <v>14</v>
      </c>
      <c r="BF473">
        <v>25</v>
      </c>
      <c r="BG473">
        <v>3</v>
      </c>
      <c r="BH473">
        <v>8</v>
      </c>
      <c r="BI473">
        <v>3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0</v>
      </c>
      <c r="BQ473">
        <v>60</v>
      </c>
      <c r="BR473">
        <v>0</v>
      </c>
      <c r="BS473">
        <v>3</v>
      </c>
      <c r="BT473" t="s">
        <v>246</v>
      </c>
      <c r="BU473" t="s">
        <v>267</v>
      </c>
      <c r="BV473" t="b">
        <v>0</v>
      </c>
      <c r="BW473" t="s">
        <v>268</v>
      </c>
    </row>
    <row r="474" spans="1:75">
      <c r="A474" t="s">
        <v>246</v>
      </c>
      <c r="B474" t="s">
        <v>252</v>
      </c>
      <c r="C474">
        <v>828</v>
      </c>
      <c r="D474" t="s">
        <v>253</v>
      </c>
      <c r="E474" t="s">
        <v>254</v>
      </c>
      <c r="F474">
        <v>5</v>
      </c>
      <c r="G474" s="13">
        <v>46267.157754629632</v>
      </c>
      <c r="H474" s="13">
        <v>46267.158275462964</v>
      </c>
      <c r="I474">
        <v>45</v>
      </c>
      <c r="J474" t="s">
        <v>264</v>
      </c>
      <c r="K474">
        <v>1</v>
      </c>
      <c r="L474">
        <v>0.01</v>
      </c>
      <c r="M474">
        <v>0.01</v>
      </c>
      <c r="N474">
        <v>1</v>
      </c>
      <c r="O474">
        <v>0.01</v>
      </c>
      <c r="P474">
        <v>0.86</v>
      </c>
      <c r="Q474">
        <v>1.07</v>
      </c>
      <c r="R474">
        <v>0.96</v>
      </c>
      <c r="S474" t="s">
        <v>256</v>
      </c>
      <c r="T474" t="s">
        <v>257</v>
      </c>
      <c r="U474">
        <v>10</v>
      </c>
      <c r="V474">
        <v>7066.07</v>
      </c>
      <c r="W474">
        <v>4999.84</v>
      </c>
      <c r="X474">
        <v>4999.1400000000003</v>
      </c>
      <c r="Y474">
        <v>0</v>
      </c>
      <c r="Z474">
        <v>0</v>
      </c>
      <c r="AA474">
        <v>35</v>
      </c>
      <c r="AB474">
        <v>50</v>
      </c>
      <c r="AC474">
        <v>5000</v>
      </c>
      <c r="AD474">
        <v>0</v>
      </c>
      <c r="AE474">
        <v>0</v>
      </c>
      <c r="AF474">
        <v>7066.94</v>
      </c>
      <c r="AG474">
        <v>7066.94</v>
      </c>
      <c r="AH474" s="14">
        <v>46267</v>
      </c>
      <c r="AI474" t="s">
        <v>266</v>
      </c>
      <c r="AJ474" s="13">
        <v>46265.054768518516</v>
      </c>
      <c r="AK474">
        <v>6763.31</v>
      </c>
      <c r="AL474" t="s">
        <v>259</v>
      </c>
      <c r="AM474" t="s">
        <v>260</v>
      </c>
      <c r="AN474">
        <v>1400</v>
      </c>
      <c r="AO474">
        <v>0</v>
      </c>
      <c r="AP474">
        <v>35</v>
      </c>
      <c r="AQ474">
        <v>85</v>
      </c>
      <c r="AR474">
        <v>35</v>
      </c>
      <c r="AS474">
        <v>2</v>
      </c>
      <c r="AT474">
        <v>23</v>
      </c>
      <c r="AU474">
        <v>1</v>
      </c>
      <c r="AV474">
        <v>0</v>
      </c>
      <c r="AW474">
        <v>10</v>
      </c>
      <c r="AX474">
        <v>1</v>
      </c>
      <c r="AY474">
        <v>5</v>
      </c>
      <c r="AZ474">
        <v>2</v>
      </c>
      <c r="BA474">
        <v>1</v>
      </c>
      <c r="BB474">
        <v>1440</v>
      </c>
      <c r="BC474">
        <v>0</v>
      </c>
      <c r="BD474">
        <v>0</v>
      </c>
      <c r="BE474">
        <v>14</v>
      </c>
      <c r="BF474">
        <v>25</v>
      </c>
      <c r="BG474">
        <v>3</v>
      </c>
      <c r="BH474">
        <v>8</v>
      </c>
      <c r="BI474">
        <v>3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0</v>
      </c>
      <c r="BQ474">
        <v>60</v>
      </c>
      <c r="BR474">
        <v>0</v>
      </c>
      <c r="BS474">
        <v>3</v>
      </c>
      <c r="BT474" t="s">
        <v>246</v>
      </c>
      <c r="BU474" t="s">
        <v>267</v>
      </c>
      <c r="BV474" t="b">
        <v>0</v>
      </c>
      <c r="BW474" t="s">
        <v>268</v>
      </c>
    </row>
    <row r="475" spans="1:75">
      <c r="A475" t="s">
        <v>246</v>
      </c>
      <c r="B475" t="s">
        <v>252</v>
      </c>
      <c r="C475">
        <v>829</v>
      </c>
      <c r="D475" t="s">
        <v>253</v>
      </c>
      <c r="E475" t="s">
        <v>254</v>
      </c>
      <c r="F475">
        <v>5</v>
      </c>
      <c r="G475" s="13">
        <v>46267.162175925929</v>
      </c>
      <c r="H475" s="13">
        <v>46267.162766203706</v>
      </c>
      <c r="I475">
        <v>51</v>
      </c>
      <c r="J475" t="s">
        <v>264</v>
      </c>
      <c r="K475">
        <v>1</v>
      </c>
      <c r="L475">
        <v>0.01</v>
      </c>
      <c r="M475">
        <v>0.01</v>
      </c>
      <c r="N475">
        <v>1</v>
      </c>
      <c r="O475">
        <v>0.01</v>
      </c>
      <c r="P475">
        <v>1.1000000000000001</v>
      </c>
      <c r="Q475">
        <v>1.2</v>
      </c>
      <c r="R475">
        <v>1.06</v>
      </c>
      <c r="S475" t="s">
        <v>256</v>
      </c>
      <c r="T475" t="s">
        <v>257</v>
      </c>
      <c r="U475">
        <v>10</v>
      </c>
      <c r="V475">
        <v>7066.77</v>
      </c>
      <c r="W475">
        <v>4999.83</v>
      </c>
      <c r="X475">
        <v>4998.8999999999996</v>
      </c>
      <c r="Y475">
        <v>0</v>
      </c>
      <c r="Z475">
        <v>0</v>
      </c>
      <c r="AA475">
        <v>35</v>
      </c>
      <c r="AB475">
        <v>50</v>
      </c>
      <c r="AC475">
        <v>5000</v>
      </c>
      <c r="AD475">
        <v>0</v>
      </c>
      <c r="AE475">
        <v>0</v>
      </c>
      <c r="AF475">
        <v>7067.78</v>
      </c>
      <c r="AG475">
        <v>7067.78</v>
      </c>
      <c r="AH475" s="14">
        <v>46267</v>
      </c>
      <c r="AI475" t="s">
        <v>266</v>
      </c>
      <c r="AJ475" s="13">
        <v>46265.054768518516</v>
      </c>
      <c r="AK475">
        <v>6763.31</v>
      </c>
      <c r="AL475" t="s">
        <v>259</v>
      </c>
      <c r="AM475" t="s">
        <v>260</v>
      </c>
      <c r="AN475">
        <v>1400</v>
      </c>
      <c r="AO475">
        <v>0</v>
      </c>
      <c r="AP475">
        <v>35</v>
      </c>
      <c r="AQ475">
        <v>85</v>
      </c>
      <c r="AR475">
        <v>35</v>
      </c>
      <c r="AS475">
        <v>2</v>
      </c>
      <c r="AT475">
        <v>23</v>
      </c>
      <c r="AU475">
        <v>1</v>
      </c>
      <c r="AV475">
        <v>0</v>
      </c>
      <c r="AW475">
        <v>10</v>
      </c>
      <c r="AX475">
        <v>1</v>
      </c>
      <c r="AY475">
        <v>5</v>
      </c>
      <c r="AZ475">
        <v>2</v>
      </c>
      <c r="BA475">
        <v>1</v>
      </c>
      <c r="BB475">
        <v>1440</v>
      </c>
      <c r="BC475">
        <v>0</v>
      </c>
      <c r="BD475">
        <v>0</v>
      </c>
      <c r="BE475">
        <v>14</v>
      </c>
      <c r="BF475">
        <v>25</v>
      </c>
      <c r="BG475">
        <v>3</v>
      </c>
      <c r="BH475">
        <v>8</v>
      </c>
      <c r="BI475">
        <v>3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0</v>
      </c>
      <c r="BQ475">
        <v>60</v>
      </c>
      <c r="BR475">
        <v>0</v>
      </c>
      <c r="BS475">
        <v>3</v>
      </c>
      <c r="BT475" t="s">
        <v>246</v>
      </c>
      <c r="BU475" t="s">
        <v>267</v>
      </c>
      <c r="BV475" t="b">
        <v>0</v>
      </c>
      <c r="BW475" t="s">
        <v>268</v>
      </c>
    </row>
    <row r="476" spans="1:75">
      <c r="A476" t="s">
        <v>246</v>
      </c>
      <c r="B476" t="s">
        <v>252</v>
      </c>
      <c r="C476">
        <v>830</v>
      </c>
      <c r="D476" t="s">
        <v>253</v>
      </c>
      <c r="E476" t="s">
        <v>254</v>
      </c>
      <c r="F476">
        <v>5</v>
      </c>
      <c r="G476" s="13">
        <v>46267.163993055554</v>
      </c>
      <c r="H476" s="13">
        <v>46267.165416666663</v>
      </c>
      <c r="I476">
        <v>123</v>
      </c>
      <c r="J476" t="s">
        <v>255</v>
      </c>
      <c r="K476">
        <v>1</v>
      </c>
      <c r="L476">
        <v>0.01</v>
      </c>
      <c r="M476">
        <v>0.01</v>
      </c>
      <c r="N476">
        <v>1</v>
      </c>
      <c r="O476">
        <v>0.01</v>
      </c>
      <c r="P476">
        <v>2.2200000000000002</v>
      </c>
      <c r="Q476">
        <v>1.88</v>
      </c>
      <c r="R476">
        <v>1.7</v>
      </c>
      <c r="S476" t="s">
        <v>256</v>
      </c>
      <c r="T476" t="s">
        <v>257</v>
      </c>
      <c r="U476">
        <v>10</v>
      </c>
      <c r="V476">
        <v>7067.61</v>
      </c>
      <c r="W476">
        <v>4999.83</v>
      </c>
      <c r="X476">
        <v>4997.78</v>
      </c>
      <c r="Y476">
        <v>0</v>
      </c>
      <c r="Z476">
        <v>0</v>
      </c>
      <c r="AA476">
        <v>35</v>
      </c>
      <c r="AB476">
        <v>50</v>
      </c>
      <c r="AC476">
        <v>5000</v>
      </c>
      <c r="AD476">
        <v>0</v>
      </c>
      <c r="AE476">
        <v>0</v>
      </c>
      <c r="AF476">
        <v>7069.31</v>
      </c>
      <c r="AG476">
        <v>7069.31</v>
      </c>
      <c r="AH476" s="14">
        <v>46267</v>
      </c>
      <c r="AI476" t="s">
        <v>266</v>
      </c>
      <c r="AJ476" s="13">
        <v>46265.054768518516</v>
      </c>
      <c r="AK476">
        <v>6763.31</v>
      </c>
      <c r="AL476" t="s">
        <v>259</v>
      </c>
      <c r="AM476" t="s">
        <v>260</v>
      </c>
      <c r="AN476">
        <v>1400</v>
      </c>
      <c r="AO476">
        <v>0</v>
      </c>
      <c r="AP476">
        <v>35</v>
      </c>
      <c r="AQ476">
        <v>85</v>
      </c>
      <c r="AR476">
        <v>35</v>
      </c>
      <c r="AS476">
        <v>2</v>
      </c>
      <c r="AT476">
        <v>23</v>
      </c>
      <c r="AU476">
        <v>1</v>
      </c>
      <c r="AV476">
        <v>0</v>
      </c>
      <c r="AW476">
        <v>10</v>
      </c>
      <c r="AX476">
        <v>1</v>
      </c>
      <c r="AY476">
        <v>5</v>
      </c>
      <c r="AZ476">
        <v>2</v>
      </c>
      <c r="BA476">
        <v>1</v>
      </c>
      <c r="BB476">
        <v>1440</v>
      </c>
      <c r="BC476">
        <v>0</v>
      </c>
      <c r="BD476">
        <v>0</v>
      </c>
      <c r="BE476">
        <v>14</v>
      </c>
      <c r="BF476">
        <v>25</v>
      </c>
      <c r="BG476">
        <v>3</v>
      </c>
      <c r="BH476">
        <v>8</v>
      </c>
      <c r="BI476">
        <v>3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0</v>
      </c>
      <c r="BQ476">
        <v>60</v>
      </c>
      <c r="BR476">
        <v>0</v>
      </c>
      <c r="BS476">
        <v>3</v>
      </c>
      <c r="BT476" t="s">
        <v>246</v>
      </c>
      <c r="BU476" t="s">
        <v>267</v>
      </c>
      <c r="BV476" t="b">
        <v>0</v>
      </c>
      <c r="BW476" t="s">
        <v>268</v>
      </c>
    </row>
    <row r="477" spans="1:75">
      <c r="A477" t="s">
        <v>246</v>
      </c>
      <c r="B477" t="s">
        <v>252</v>
      </c>
      <c r="C477">
        <v>831</v>
      </c>
      <c r="D477" t="s">
        <v>253</v>
      </c>
      <c r="E477" t="s">
        <v>254</v>
      </c>
      <c r="F477">
        <v>5</v>
      </c>
      <c r="G477" s="13">
        <v>46267.167233796295</v>
      </c>
      <c r="H477" s="13">
        <v>46267.174328703702</v>
      </c>
      <c r="I477">
        <v>613</v>
      </c>
      <c r="J477" t="s">
        <v>255</v>
      </c>
      <c r="K477">
        <v>3</v>
      </c>
      <c r="L477">
        <v>0.03</v>
      </c>
      <c r="M477">
        <v>0.01</v>
      </c>
      <c r="N477">
        <v>3</v>
      </c>
      <c r="O477">
        <v>0.03</v>
      </c>
      <c r="P477">
        <v>13.96</v>
      </c>
      <c r="Q477">
        <v>5.75</v>
      </c>
      <c r="R477">
        <v>3.26</v>
      </c>
      <c r="S477" t="s">
        <v>263</v>
      </c>
      <c r="T477" t="s">
        <v>257</v>
      </c>
      <c r="U477">
        <v>10</v>
      </c>
      <c r="V477">
        <v>7069.14</v>
      </c>
      <c r="W477">
        <v>4999.83</v>
      </c>
      <c r="X477">
        <v>4986.04</v>
      </c>
      <c r="Y477">
        <v>0</v>
      </c>
      <c r="Z477">
        <v>0</v>
      </c>
      <c r="AA477">
        <v>35</v>
      </c>
      <c r="AB477">
        <v>50</v>
      </c>
      <c r="AC477">
        <v>5000</v>
      </c>
      <c r="AD477">
        <v>0</v>
      </c>
      <c r="AE477">
        <v>0</v>
      </c>
      <c r="AF477">
        <v>7072.61</v>
      </c>
      <c r="AG477">
        <v>7072.61</v>
      </c>
      <c r="AH477" s="14">
        <v>46267</v>
      </c>
      <c r="AI477" t="s">
        <v>266</v>
      </c>
      <c r="AJ477" s="13">
        <v>46265.054768518516</v>
      </c>
      <c r="AK477">
        <v>6763.31</v>
      </c>
      <c r="AL477" t="s">
        <v>259</v>
      </c>
      <c r="AM477" t="s">
        <v>260</v>
      </c>
      <c r="AN477">
        <v>1400</v>
      </c>
      <c r="AO477">
        <v>0</v>
      </c>
      <c r="AP477">
        <v>35</v>
      </c>
      <c r="AQ477">
        <v>85</v>
      </c>
      <c r="AR477">
        <v>35</v>
      </c>
      <c r="AS477">
        <v>2</v>
      </c>
      <c r="AT477">
        <v>23</v>
      </c>
      <c r="AU477">
        <v>1</v>
      </c>
      <c r="AV477">
        <v>0</v>
      </c>
      <c r="AW477">
        <v>10</v>
      </c>
      <c r="AX477">
        <v>1</v>
      </c>
      <c r="AY477">
        <v>5</v>
      </c>
      <c r="AZ477">
        <v>2</v>
      </c>
      <c r="BA477">
        <v>1</v>
      </c>
      <c r="BB477">
        <v>1440</v>
      </c>
      <c r="BC477">
        <v>0</v>
      </c>
      <c r="BD477">
        <v>0</v>
      </c>
      <c r="BE477">
        <v>14</v>
      </c>
      <c r="BF477">
        <v>25</v>
      </c>
      <c r="BG477">
        <v>3</v>
      </c>
      <c r="BH477">
        <v>8</v>
      </c>
      <c r="BI477">
        <v>3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0</v>
      </c>
      <c r="BQ477">
        <v>60</v>
      </c>
      <c r="BR477">
        <v>0</v>
      </c>
      <c r="BS477">
        <v>3</v>
      </c>
      <c r="BT477" t="s">
        <v>246</v>
      </c>
      <c r="BU477" t="s">
        <v>267</v>
      </c>
      <c r="BV477" t="b">
        <v>0</v>
      </c>
      <c r="BW477" t="s">
        <v>268</v>
      </c>
    </row>
    <row r="478" spans="1:75">
      <c r="A478" t="s">
        <v>246</v>
      </c>
      <c r="B478" t="s">
        <v>252</v>
      </c>
      <c r="C478">
        <v>832</v>
      </c>
      <c r="D478" t="s">
        <v>253</v>
      </c>
      <c r="E478" t="s">
        <v>254</v>
      </c>
      <c r="F478">
        <v>5</v>
      </c>
      <c r="G478" s="13">
        <v>46267.17728009259</v>
      </c>
      <c r="H478" s="13">
        <v>46267.177499999998</v>
      </c>
      <c r="I478">
        <v>19</v>
      </c>
      <c r="J478" t="s">
        <v>255</v>
      </c>
      <c r="K478">
        <v>1</v>
      </c>
      <c r="L478">
        <v>0.01</v>
      </c>
      <c r="M478">
        <v>0.01</v>
      </c>
      <c r="N478">
        <v>1</v>
      </c>
      <c r="O478">
        <v>0.01</v>
      </c>
      <c r="P478">
        <v>0.36</v>
      </c>
      <c r="Q478">
        <v>1.18</v>
      </c>
      <c r="R478">
        <v>0.87</v>
      </c>
      <c r="S478" t="s">
        <v>256</v>
      </c>
      <c r="T478" t="s">
        <v>257</v>
      </c>
      <c r="U478">
        <v>10</v>
      </c>
      <c r="V478">
        <v>7072.44</v>
      </c>
      <c r="W478">
        <v>4999.83</v>
      </c>
      <c r="X478">
        <v>4999.6400000000003</v>
      </c>
      <c r="Y478">
        <v>0</v>
      </c>
      <c r="Z478">
        <v>0</v>
      </c>
      <c r="AA478">
        <v>35</v>
      </c>
      <c r="AB478">
        <v>50</v>
      </c>
      <c r="AC478">
        <v>5000</v>
      </c>
      <c r="AD478">
        <v>0</v>
      </c>
      <c r="AE478">
        <v>0</v>
      </c>
      <c r="AF478">
        <v>7073.44</v>
      </c>
      <c r="AG478">
        <v>7073.44</v>
      </c>
      <c r="AH478" s="14">
        <v>46267</v>
      </c>
      <c r="AI478" t="s">
        <v>266</v>
      </c>
      <c r="AJ478" s="13">
        <v>46265.054768518516</v>
      </c>
      <c r="AK478">
        <v>6763.31</v>
      </c>
      <c r="AL478" t="s">
        <v>259</v>
      </c>
      <c r="AM478" t="s">
        <v>260</v>
      </c>
      <c r="AN478">
        <v>1400</v>
      </c>
      <c r="AO478">
        <v>0</v>
      </c>
      <c r="AP478">
        <v>35</v>
      </c>
      <c r="AQ478">
        <v>85</v>
      </c>
      <c r="AR478">
        <v>35</v>
      </c>
      <c r="AS478">
        <v>2</v>
      </c>
      <c r="AT478">
        <v>23</v>
      </c>
      <c r="AU478">
        <v>1</v>
      </c>
      <c r="AV478">
        <v>0</v>
      </c>
      <c r="AW478">
        <v>10</v>
      </c>
      <c r="AX478">
        <v>1</v>
      </c>
      <c r="AY478">
        <v>5</v>
      </c>
      <c r="AZ478">
        <v>2</v>
      </c>
      <c r="BA478">
        <v>1</v>
      </c>
      <c r="BB478">
        <v>1440</v>
      </c>
      <c r="BC478">
        <v>0</v>
      </c>
      <c r="BD478">
        <v>0</v>
      </c>
      <c r="BE478">
        <v>14</v>
      </c>
      <c r="BF478">
        <v>25</v>
      </c>
      <c r="BG478">
        <v>3</v>
      </c>
      <c r="BH478">
        <v>8</v>
      </c>
      <c r="BI478">
        <v>3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0</v>
      </c>
      <c r="BQ478">
        <v>60</v>
      </c>
      <c r="BR478">
        <v>0</v>
      </c>
      <c r="BS478">
        <v>3</v>
      </c>
      <c r="BT478" t="s">
        <v>246</v>
      </c>
      <c r="BU478" t="s">
        <v>267</v>
      </c>
      <c r="BV478" t="b">
        <v>0</v>
      </c>
      <c r="BW478" t="s">
        <v>268</v>
      </c>
    </row>
    <row r="479" spans="1:75">
      <c r="A479" t="s">
        <v>246</v>
      </c>
      <c r="B479" t="s">
        <v>252</v>
      </c>
      <c r="C479">
        <v>833</v>
      </c>
      <c r="D479" t="s">
        <v>253</v>
      </c>
      <c r="E479" t="s">
        <v>254</v>
      </c>
      <c r="F479">
        <v>5</v>
      </c>
      <c r="G479" s="13">
        <v>46267.182696759257</v>
      </c>
      <c r="H479" s="13">
        <v>46267.183819444443</v>
      </c>
      <c r="I479">
        <v>97</v>
      </c>
      <c r="J479" t="s">
        <v>264</v>
      </c>
      <c r="K479">
        <v>1</v>
      </c>
      <c r="L479">
        <v>0.01</v>
      </c>
      <c r="M479">
        <v>0.01</v>
      </c>
      <c r="N479">
        <v>1</v>
      </c>
      <c r="O479">
        <v>0.01</v>
      </c>
      <c r="P479">
        <v>4.4800000000000004</v>
      </c>
      <c r="Q479">
        <v>1.1100000000000001</v>
      </c>
      <c r="R479">
        <v>0.74</v>
      </c>
      <c r="S479" t="s">
        <v>256</v>
      </c>
      <c r="T479" t="s">
        <v>257</v>
      </c>
      <c r="U479">
        <v>11</v>
      </c>
      <c r="V479">
        <v>7073.28</v>
      </c>
      <c r="W479">
        <v>4999.84</v>
      </c>
      <c r="X479">
        <v>4995.5200000000004</v>
      </c>
      <c r="Y479">
        <v>0</v>
      </c>
      <c r="Z479">
        <v>0</v>
      </c>
      <c r="AA479">
        <v>35</v>
      </c>
      <c r="AB479">
        <v>50</v>
      </c>
      <c r="AC479">
        <v>5000</v>
      </c>
      <c r="AD479">
        <v>0</v>
      </c>
      <c r="AE479">
        <v>0</v>
      </c>
      <c r="AF479">
        <v>7073.94</v>
      </c>
      <c r="AG479">
        <v>7073.94</v>
      </c>
      <c r="AH479" s="14">
        <v>46267</v>
      </c>
      <c r="AI479" t="s">
        <v>266</v>
      </c>
      <c r="AJ479" s="13">
        <v>46265.054768518516</v>
      </c>
      <c r="AK479">
        <v>6763.31</v>
      </c>
      <c r="AL479" t="s">
        <v>259</v>
      </c>
      <c r="AM479" t="s">
        <v>260</v>
      </c>
      <c r="AN479">
        <v>1400</v>
      </c>
      <c r="AO479">
        <v>0</v>
      </c>
      <c r="AP479">
        <v>35</v>
      </c>
      <c r="AQ479">
        <v>85</v>
      </c>
      <c r="AR479">
        <v>35</v>
      </c>
      <c r="AS479">
        <v>2</v>
      </c>
      <c r="AT479">
        <v>23</v>
      </c>
      <c r="AU479">
        <v>1</v>
      </c>
      <c r="AV479">
        <v>0</v>
      </c>
      <c r="AW479">
        <v>10</v>
      </c>
      <c r="AX479">
        <v>1</v>
      </c>
      <c r="AY479">
        <v>5</v>
      </c>
      <c r="AZ479">
        <v>2</v>
      </c>
      <c r="BA479">
        <v>1</v>
      </c>
      <c r="BB479">
        <v>1440</v>
      </c>
      <c r="BC479">
        <v>0</v>
      </c>
      <c r="BD479">
        <v>0</v>
      </c>
      <c r="BE479">
        <v>14</v>
      </c>
      <c r="BF479">
        <v>25</v>
      </c>
      <c r="BG479">
        <v>3</v>
      </c>
      <c r="BH479">
        <v>8</v>
      </c>
      <c r="BI479">
        <v>3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0</v>
      </c>
      <c r="BQ479">
        <v>60</v>
      </c>
      <c r="BR479">
        <v>0</v>
      </c>
      <c r="BS479">
        <v>3</v>
      </c>
      <c r="BT479" t="s">
        <v>246</v>
      </c>
      <c r="BU479" t="s">
        <v>267</v>
      </c>
      <c r="BV479" t="b">
        <v>0</v>
      </c>
      <c r="BW479" t="s">
        <v>268</v>
      </c>
    </row>
    <row r="480" spans="1:75">
      <c r="A480" t="s">
        <v>246</v>
      </c>
      <c r="B480" t="s">
        <v>252</v>
      </c>
      <c r="C480">
        <v>834</v>
      </c>
      <c r="D480" t="s">
        <v>253</v>
      </c>
      <c r="E480" t="s">
        <v>254</v>
      </c>
      <c r="F480">
        <v>5</v>
      </c>
      <c r="G480" s="13">
        <v>46267.184837962966</v>
      </c>
      <c r="H480" s="13">
        <v>46267.184965277775</v>
      </c>
      <c r="I480">
        <v>11</v>
      </c>
      <c r="J480" t="s">
        <v>255</v>
      </c>
      <c r="K480">
        <v>1</v>
      </c>
      <c r="L480">
        <v>0.01</v>
      </c>
      <c r="M480">
        <v>0.01</v>
      </c>
      <c r="N480">
        <v>1</v>
      </c>
      <c r="O480">
        <v>0.01</v>
      </c>
      <c r="P480">
        <v>0.26</v>
      </c>
      <c r="Q480">
        <v>0.97</v>
      </c>
      <c r="R480">
        <v>0.89</v>
      </c>
      <c r="S480" t="s">
        <v>256</v>
      </c>
      <c r="T480" t="s">
        <v>257</v>
      </c>
      <c r="U480">
        <v>11</v>
      </c>
      <c r="V480">
        <v>7073.77</v>
      </c>
      <c r="W480">
        <v>4999.83</v>
      </c>
      <c r="X480">
        <v>4999.74</v>
      </c>
      <c r="Y480">
        <v>0</v>
      </c>
      <c r="Z480">
        <v>0</v>
      </c>
      <c r="AA480">
        <v>35</v>
      </c>
      <c r="AB480">
        <v>50</v>
      </c>
      <c r="AC480">
        <v>5000</v>
      </c>
      <c r="AD480">
        <v>0</v>
      </c>
      <c r="AE480">
        <v>0</v>
      </c>
      <c r="AF480">
        <v>7074.56</v>
      </c>
      <c r="AG480">
        <v>7074.56</v>
      </c>
      <c r="AH480" s="14">
        <v>46267</v>
      </c>
      <c r="AI480" t="s">
        <v>266</v>
      </c>
      <c r="AJ480" s="13">
        <v>46265.054768518516</v>
      </c>
      <c r="AK480">
        <v>6763.31</v>
      </c>
      <c r="AL480" t="s">
        <v>259</v>
      </c>
      <c r="AM480" t="s">
        <v>260</v>
      </c>
      <c r="AN480">
        <v>1400</v>
      </c>
      <c r="AO480">
        <v>0</v>
      </c>
      <c r="AP480">
        <v>35</v>
      </c>
      <c r="AQ480">
        <v>85</v>
      </c>
      <c r="AR480">
        <v>35</v>
      </c>
      <c r="AS480">
        <v>2</v>
      </c>
      <c r="AT480">
        <v>23</v>
      </c>
      <c r="AU480">
        <v>1</v>
      </c>
      <c r="AV480">
        <v>0</v>
      </c>
      <c r="AW480">
        <v>10</v>
      </c>
      <c r="AX480">
        <v>1</v>
      </c>
      <c r="AY480">
        <v>5</v>
      </c>
      <c r="AZ480">
        <v>2</v>
      </c>
      <c r="BA480">
        <v>1</v>
      </c>
      <c r="BB480">
        <v>1440</v>
      </c>
      <c r="BC480">
        <v>0</v>
      </c>
      <c r="BD480">
        <v>0</v>
      </c>
      <c r="BE480">
        <v>14</v>
      </c>
      <c r="BF480">
        <v>25</v>
      </c>
      <c r="BG480">
        <v>3</v>
      </c>
      <c r="BH480">
        <v>8</v>
      </c>
      <c r="BI480">
        <v>3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0</v>
      </c>
      <c r="BQ480">
        <v>60</v>
      </c>
      <c r="BR480">
        <v>0</v>
      </c>
      <c r="BS480">
        <v>3</v>
      </c>
      <c r="BT480" t="s">
        <v>246</v>
      </c>
      <c r="BU480" t="s">
        <v>267</v>
      </c>
      <c r="BV480" t="b">
        <v>0</v>
      </c>
      <c r="BW480" t="s">
        <v>268</v>
      </c>
    </row>
    <row r="481" spans="1:75">
      <c r="A481" t="s">
        <v>246</v>
      </c>
      <c r="B481" t="s">
        <v>252</v>
      </c>
      <c r="C481">
        <v>835</v>
      </c>
      <c r="D481" t="s">
        <v>253</v>
      </c>
      <c r="E481" t="s">
        <v>254</v>
      </c>
      <c r="F481">
        <v>5</v>
      </c>
      <c r="G481" s="13">
        <v>46267.189039351855</v>
      </c>
      <c r="H481" s="13">
        <v>46267.189375000002</v>
      </c>
      <c r="I481">
        <v>29</v>
      </c>
      <c r="J481" t="s">
        <v>264</v>
      </c>
      <c r="K481">
        <v>1</v>
      </c>
      <c r="L481">
        <v>0.01</v>
      </c>
      <c r="M481">
        <v>0.01</v>
      </c>
      <c r="N481">
        <v>1</v>
      </c>
      <c r="O481">
        <v>0.01</v>
      </c>
      <c r="P481">
        <v>0.69</v>
      </c>
      <c r="Q481">
        <v>1.1599999999999999</v>
      </c>
      <c r="R481">
        <v>1.1599999999999999</v>
      </c>
      <c r="S481" t="s">
        <v>256</v>
      </c>
      <c r="T481" t="s">
        <v>257</v>
      </c>
      <c r="U481">
        <v>11</v>
      </c>
      <c r="V481">
        <v>7074.36</v>
      </c>
      <c r="W481">
        <v>4999.8</v>
      </c>
      <c r="X481">
        <v>4999.3100000000004</v>
      </c>
      <c r="Y481">
        <v>0</v>
      </c>
      <c r="Z481">
        <v>0</v>
      </c>
      <c r="AA481">
        <v>35</v>
      </c>
      <c r="AB481">
        <v>50</v>
      </c>
      <c r="AC481">
        <v>5000</v>
      </c>
      <c r="AD481">
        <v>0</v>
      </c>
      <c r="AE481">
        <v>0</v>
      </c>
      <c r="AF481">
        <v>7075.37</v>
      </c>
      <c r="AG481">
        <v>7075.37</v>
      </c>
      <c r="AH481" s="14">
        <v>46267</v>
      </c>
      <c r="AI481" t="s">
        <v>266</v>
      </c>
      <c r="AJ481" s="13">
        <v>46265.054768518516</v>
      </c>
      <c r="AK481">
        <v>6763.31</v>
      </c>
      <c r="AL481" t="s">
        <v>259</v>
      </c>
      <c r="AM481" t="s">
        <v>260</v>
      </c>
      <c r="AN481">
        <v>1400</v>
      </c>
      <c r="AO481">
        <v>0</v>
      </c>
      <c r="AP481">
        <v>35</v>
      </c>
      <c r="AQ481">
        <v>85</v>
      </c>
      <c r="AR481">
        <v>35</v>
      </c>
      <c r="AS481">
        <v>2</v>
      </c>
      <c r="AT481">
        <v>23</v>
      </c>
      <c r="AU481">
        <v>1</v>
      </c>
      <c r="AV481">
        <v>0</v>
      </c>
      <c r="AW481">
        <v>10</v>
      </c>
      <c r="AX481">
        <v>1</v>
      </c>
      <c r="AY481">
        <v>5</v>
      </c>
      <c r="AZ481">
        <v>2</v>
      </c>
      <c r="BA481">
        <v>1</v>
      </c>
      <c r="BB481">
        <v>1440</v>
      </c>
      <c r="BC481">
        <v>0</v>
      </c>
      <c r="BD481">
        <v>0</v>
      </c>
      <c r="BE481">
        <v>14</v>
      </c>
      <c r="BF481">
        <v>25</v>
      </c>
      <c r="BG481">
        <v>3</v>
      </c>
      <c r="BH481">
        <v>8</v>
      </c>
      <c r="BI481">
        <v>3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0</v>
      </c>
      <c r="BQ481">
        <v>60</v>
      </c>
      <c r="BR481">
        <v>0</v>
      </c>
      <c r="BS481">
        <v>3</v>
      </c>
      <c r="BT481" t="s">
        <v>246</v>
      </c>
      <c r="BU481" t="s">
        <v>267</v>
      </c>
      <c r="BV481" t="b">
        <v>0</v>
      </c>
      <c r="BW481" t="s">
        <v>268</v>
      </c>
    </row>
    <row r="482" spans="1:75">
      <c r="A482" t="s">
        <v>246</v>
      </c>
      <c r="B482" t="s">
        <v>252</v>
      </c>
      <c r="C482">
        <v>836</v>
      </c>
      <c r="D482" t="s">
        <v>253</v>
      </c>
      <c r="E482" t="s">
        <v>254</v>
      </c>
      <c r="F482">
        <v>5</v>
      </c>
      <c r="G482" s="13">
        <v>46267.193113425928</v>
      </c>
      <c r="H482" s="13">
        <v>46267.199803240743</v>
      </c>
      <c r="I482">
        <v>578</v>
      </c>
      <c r="J482" t="s">
        <v>264</v>
      </c>
      <c r="K482">
        <v>3</v>
      </c>
      <c r="L482">
        <v>0.03</v>
      </c>
      <c r="M482">
        <v>0.01</v>
      </c>
      <c r="N482">
        <v>3</v>
      </c>
      <c r="O482">
        <v>0.03</v>
      </c>
      <c r="P482">
        <v>6.17</v>
      </c>
      <c r="Q482">
        <v>5.66</v>
      </c>
      <c r="R482">
        <v>2.4500000000000002</v>
      </c>
      <c r="S482" t="s">
        <v>263</v>
      </c>
      <c r="T482" t="s">
        <v>257</v>
      </c>
      <c r="U482">
        <v>10</v>
      </c>
      <c r="V482">
        <v>7075.21</v>
      </c>
      <c r="W482">
        <v>4999.84</v>
      </c>
      <c r="X482">
        <v>4993.83</v>
      </c>
      <c r="Y482">
        <v>0</v>
      </c>
      <c r="Z482">
        <v>0</v>
      </c>
      <c r="AA482">
        <v>35</v>
      </c>
      <c r="AB482">
        <v>50</v>
      </c>
      <c r="AC482">
        <v>5000</v>
      </c>
      <c r="AD482">
        <v>0</v>
      </c>
      <c r="AE482">
        <v>0</v>
      </c>
      <c r="AF482">
        <v>7077.83</v>
      </c>
      <c r="AG482">
        <v>7077.83</v>
      </c>
      <c r="AH482" s="14">
        <v>46267</v>
      </c>
      <c r="AI482" t="s">
        <v>266</v>
      </c>
      <c r="AJ482" s="13">
        <v>46265.054768518516</v>
      </c>
      <c r="AK482">
        <v>6763.31</v>
      </c>
      <c r="AL482" t="s">
        <v>259</v>
      </c>
      <c r="AM482" t="s">
        <v>260</v>
      </c>
      <c r="AN482">
        <v>1400</v>
      </c>
      <c r="AO482">
        <v>0</v>
      </c>
      <c r="AP482">
        <v>35</v>
      </c>
      <c r="AQ482">
        <v>85</v>
      </c>
      <c r="AR482">
        <v>35</v>
      </c>
      <c r="AS482">
        <v>2</v>
      </c>
      <c r="AT482">
        <v>23</v>
      </c>
      <c r="AU482">
        <v>1</v>
      </c>
      <c r="AV482">
        <v>0</v>
      </c>
      <c r="AW482">
        <v>10</v>
      </c>
      <c r="AX482">
        <v>1</v>
      </c>
      <c r="AY482">
        <v>5</v>
      </c>
      <c r="AZ482">
        <v>2</v>
      </c>
      <c r="BA482">
        <v>1</v>
      </c>
      <c r="BB482">
        <v>1440</v>
      </c>
      <c r="BC482">
        <v>0</v>
      </c>
      <c r="BD482">
        <v>0</v>
      </c>
      <c r="BE482">
        <v>14</v>
      </c>
      <c r="BF482">
        <v>25</v>
      </c>
      <c r="BG482">
        <v>3</v>
      </c>
      <c r="BH482">
        <v>8</v>
      </c>
      <c r="BI482">
        <v>3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0</v>
      </c>
      <c r="BQ482">
        <v>60</v>
      </c>
      <c r="BR482">
        <v>0</v>
      </c>
      <c r="BS482">
        <v>3</v>
      </c>
      <c r="BT482" t="s">
        <v>246</v>
      </c>
      <c r="BU482" t="s">
        <v>267</v>
      </c>
      <c r="BV482" t="b">
        <v>0</v>
      </c>
      <c r="BW482" t="s">
        <v>268</v>
      </c>
    </row>
    <row r="483" spans="1:75">
      <c r="A483" t="s">
        <v>246</v>
      </c>
      <c r="B483" t="s">
        <v>252</v>
      </c>
      <c r="C483">
        <v>837</v>
      </c>
      <c r="D483" t="s">
        <v>253</v>
      </c>
      <c r="E483" t="s">
        <v>254</v>
      </c>
      <c r="F483">
        <v>5</v>
      </c>
      <c r="G483" s="13">
        <v>46267.202488425923</v>
      </c>
      <c r="H483" s="13">
        <v>46267.202650462961</v>
      </c>
      <c r="I483">
        <v>14</v>
      </c>
      <c r="J483" t="s">
        <v>264</v>
      </c>
      <c r="K483">
        <v>1</v>
      </c>
      <c r="L483">
        <v>0.01</v>
      </c>
      <c r="M483">
        <v>0.01</v>
      </c>
      <c r="N483">
        <v>1</v>
      </c>
      <c r="O483">
        <v>0.01</v>
      </c>
      <c r="P483">
        <v>0.16</v>
      </c>
      <c r="Q483">
        <v>1.19</v>
      </c>
      <c r="R483">
        <v>1.19</v>
      </c>
      <c r="S483" t="s">
        <v>256</v>
      </c>
      <c r="T483" t="s">
        <v>257</v>
      </c>
      <c r="U483">
        <v>11</v>
      </c>
      <c r="V483">
        <v>7077.67</v>
      </c>
      <c r="W483">
        <v>4999.84</v>
      </c>
      <c r="X483">
        <v>4999.84</v>
      </c>
      <c r="Y483">
        <v>0</v>
      </c>
      <c r="Z483">
        <v>0</v>
      </c>
      <c r="AA483">
        <v>35</v>
      </c>
      <c r="AB483">
        <v>50</v>
      </c>
      <c r="AC483">
        <v>5000</v>
      </c>
      <c r="AD483">
        <v>0</v>
      </c>
      <c r="AE483">
        <v>0</v>
      </c>
      <c r="AF483">
        <v>7078.67</v>
      </c>
      <c r="AG483">
        <v>7078.67</v>
      </c>
      <c r="AH483" s="14">
        <v>46267</v>
      </c>
      <c r="AI483" t="s">
        <v>266</v>
      </c>
      <c r="AJ483" s="13">
        <v>46265.054768518516</v>
      </c>
      <c r="AK483">
        <v>6763.31</v>
      </c>
      <c r="AL483" t="s">
        <v>259</v>
      </c>
      <c r="AM483" t="s">
        <v>260</v>
      </c>
      <c r="AN483">
        <v>1400</v>
      </c>
      <c r="AO483">
        <v>0</v>
      </c>
      <c r="AP483">
        <v>35</v>
      </c>
      <c r="AQ483">
        <v>85</v>
      </c>
      <c r="AR483">
        <v>35</v>
      </c>
      <c r="AS483">
        <v>2</v>
      </c>
      <c r="AT483">
        <v>23</v>
      </c>
      <c r="AU483">
        <v>1</v>
      </c>
      <c r="AV483">
        <v>0</v>
      </c>
      <c r="AW483">
        <v>10</v>
      </c>
      <c r="AX483">
        <v>1</v>
      </c>
      <c r="AY483">
        <v>5</v>
      </c>
      <c r="AZ483">
        <v>2</v>
      </c>
      <c r="BA483">
        <v>1</v>
      </c>
      <c r="BB483">
        <v>1440</v>
      </c>
      <c r="BC483">
        <v>0</v>
      </c>
      <c r="BD483">
        <v>0</v>
      </c>
      <c r="BE483">
        <v>14</v>
      </c>
      <c r="BF483">
        <v>25</v>
      </c>
      <c r="BG483">
        <v>3</v>
      </c>
      <c r="BH483">
        <v>8</v>
      </c>
      <c r="BI483">
        <v>3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0</v>
      </c>
      <c r="BQ483">
        <v>60</v>
      </c>
      <c r="BR483">
        <v>0</v>
      </c>
      <c r="BS483">
        <v>3</v>
      </c>
      <c r="BT483" t="s">
        <v>246</v>
      </c>
      <c r="BU483" t="s">
        <v>267</v>
      </c>
      <c r="BV483" t="b">
        <v>0</v>
      </c>
      <c r="BW483" t="s">
        <v>268</v>
      </c>
    </row>
    <row r="484" spans="1:75">
      <c r="A484" t="s">
        <v>246</v>
      </c>
      <c r="B484" t="s">
        <v>252</v>
      </c>
      <c r="C484">
        <v>838</v>
      </c>
      <c r="D484" t="s">
        <v>253</v>
      </c>
      <c r="E484" t="s">
        <v>254</v>
      </c>
      <c r="F484">
        <v>5</v>
      </c>
      <c r="G484" s="13">
        <v>46267.205763888887</v>
      </c>
      <c r="H484" s="13">
        <v>46267.206053240741</v>
      </c>
      <c r="I484">
        <v>25</v>
      </c>
      <c r="J484" t="s">
        <v>264</v>
      </c>
      <c r="K484">
        <v>1</v>
      </c>
      <c r="L484">
        <v>0.01</v>
      </c>
      <c r="M484">
        <v>0.01</v>
      </c>
      <c r="N484">
        <v>1</v>
      </c>
      <c r="O484">
        <v>0.01</v>
      </c>
      <c r="P484">
        <v>0.16</v>
      </c>
      <c r="Q484">
        <v>1.77</v>
      </c>
      <c r="R484">
        <v>1.77</v>
      </c>
      <c r="S484" t="s">
        <v>256</v>
      </c>
      <c r="T484" t="s">
        <v>257</v>
      </c>
      <c r="U484">
        <v>11</v>
      </c>
      <c r="V484">
        <v>7078.51</v>
      </c>
      <c r="W484">
        <v>4999.84</v>
      </c>
      <c r="X484">
        <v>4999.84</v>
      </c>
      <c r="Y484">
        <v>0</v>
      </c>
      <c r="Z484">
        <v>0</v>
      </c>
      <c r="AA484">
        <v>35</v>
      </c>
      <c r="AB484">
        <v>50</v>
      </c>
      <c r="AC484">
        <v>5000</v>
      </c>
      <c r="AD484">
        <v>0</v>
      </c>
      <c r="AE484">
        <v>0</v>
      </c>
      <c r="AF484">
        <v>7080.09</v>
      </c>
      <c r="AG484">
        <v>7080.09</v>
      </c>
      <c r="AH484" s="14">
        <v>46267</v>
      </c>
      <c r="AI484" t="s">
        <v>266</v>
      </c>
      <c r="AJ484" s="13">
        <v>46265.054768518516</v>
      </c>
      <c r="AK484">
        <v>6763.31</v>
      </c>
      <c r="AL484" t="s">
        <v>259</v>
      </c>
      <c r="AM484" t="s">
        <v>260</v>
      </c>
      <c r="AN484">
        <v>1400</v>
      </c>
      <c r="AO484">
        <v>0</v>
      </c>
      <c r="AP484">
        <v>35</v>
      </c>
      <c r="AQ484">
        <v>85</v>
      </c>
      <c r="AR484">
        <v>35</v>
      </c>
      <c r="AS484">
        <v>2</v>
      </c>
      <c r="AT484">
        <v>23</v>
      </c>
      <c r="AU484">
        <v>1</v>
      </c>
      <c r="AV484">
        <v>0</v>
      </c>
      <c r="AW484">
        <v>10</v>
      </c>
      <c r="AX484">
        <v>1</v>
      </c>
      <c r="AY484">
        <v>5</v>
      </c>
      <c r="AZ484">
        <v>2</v>
      </c>
      <c r="BA484">
        <v>1</v>
      </c>
      <c r="BB484">
        <v>1440</v>
      </c>
      <c r="BC484">
        <v>0</v>
      </c>
      <c r="BD484">
        <v>0</v>
      </c>
      <c r="BE484">
        <v>14</v>
      </c>
      <c r="BF484">
        <v>25</v>
      </c>
      <c r="BG484">
        <v>3</v>
      </c>
      <c r="BH484">
        <v>8</v>
      </c>
      <c r="BI484">
        <v>3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0</v>
      </c>
      <c r="BQ484">
        <v>60</v>
      </c>
      <c r="BR484">
        <v>0</v>
      </c>
      <c r="BS484">
        <v>3</v>
      </c>
      <c r="BT484" t="s">
        <v>246</v>
      </c>
      <c r="BU484" t="s">
        <v>267</v>
      </c>
      <c r="BV484" t="b">
        <v>0</v>
      </c>
      <c r="BW484" t="s">
        <v>268</v>
      </c>
    </row>
    <row r="485" spans="1:75">
      <c r="A485" t="s">
        <v>246</v>
      </c>
      <c r="B485" t="s">
        <v>252</v>
      </c>
      <c r="C485">
        <v>839</v>
      </c>
      <c r="D485" t="s">
        <v>253</v>
      </c>
      <c r="E485" t="s">
        <v>254</v>
      </c>
      <c r="F485">
        <v>5</v>
      </c>
      <c r="G485" s="13">
        <v>46267.208912037036</v>
      </c>
      <c r="H485" s="13">
        <v>46267.21634259259</v>
      </c>
      <c r="I485">
        <v>642</v>
      </c>
      <c r="J485" t="s">
        <v>264</v>
      </c>
      <c r="K485">
        <v>2</v>
      </c>
      <c r="L485">
        <v>0.02</v>
      </c>
      <c r="M485">
        <v>0.01</v>
      </c>
      <c r="N485">
        <v>2</v>
      </c>
      <c r="O485">
        <v>0.02</v>
      </c>
      <c r="P485">
        <v>13.63</v>
      </c>
      <c r="Q485">
        <v>7.09</v>
      </c>
      <c r="R485">
        <v>-0.21</v>
      </c>
      <c r="S485" t="s">
        <v>263</v>
      </c>
      <c r="T485" t="s">
        <v>256</v>
      </c>
      <c r="U485">
        <v>11</v>
      </c>
      <c r="V485">
        <v>7079.88</v>
      </c>
      <c r="W485">
        <v>4999.79</v>
      </c>
      <c r="X485">
        <v>4986.37</v>
      </c>
      <c r="Y485">
        <v>0</v>
      </c>
      <c r="Z485">
        <v>0</v>
      </c>
      <c r="AA485">
        <v>35</v>
      </c>
      <c r="AB485">
        <v>50</v>
      </c>
      <c r="AC485">
        <v>5000</v>
      </c>
      <c r="AD485">
        <v>0</v>
      </c>
      <c r="AE485">
        <v>0</v>
      </c>
      <c r="AF485">
        <v>7079.84</v>
      </c>
      <c r="AG485">
        <v>7079.84</v>
      </c>
      <c r="AH485" s="14">
        <v>46267</v>
      </c>
      <c r="AI485" t="s">
        <v>266</v>
      </c>
      <c r="AJ485" s="13">
        <v>46265.054768518516</v>
      </c>
      <c r="AK485">
        <v>6763.31</v>
      </c>
      <c r="AL485" t="s">
        <v>259</v>
      </c>
      <c r="AM485" t="s">
        <v>260</v>
      </c>
      <c r="AN485">
        <v>1400</v>
      </c>
      <c r="AO485">
        <v>0</v>
      </c>
      <c r="AP485">
        <v>35</v>
      </c>
      <c r="AQ485">
        <v>85</v>
      </c>
      <c r="AR485">
        <v>35</v>
      </c>
      <c r="AS485">
        <v>2</v>
      </c>
      <c r="AT485">
        <v>23</v>
      </c>
      <c r="AU485">
        <v>1</v>
      </c>
      <c r="AV485">
        <v>0</v>
      </c>
      <c r="AW485">
        <v>10</v>
      </c>
      <c r="AX485">
        <v>1</v>
      </c>
      <c r="AY485">
        <v>5</v>
      </c>
      <c r="AZ485">
        <v>2</v>
      </c>
      <c r="BA485">
        <v>1</v>
      </c>
      <c r="BB485">
        <v>1440</v>
      </c>
      <c r="BC485">
        <v>0</v>
      </c>
      <c r="BD485">
        <v>0</v>
      </c>
      <c r="BE485">
        <v>14</v>
      </c>
      <c r="BF485">
        <v>25</v>
      </c>
      <c r="BG485">
        <v>3</v>
      </c>
      <c r="BH485">
        <v>8</v>
      </c>
      <c r="BI485">
        <v>3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0</v>
      </c>
      <c r="BQ485">
        <v>60</v>
      </c>
      <c r="BR485">
        <v>0</v>
      </c>
      <c r="BS485">
        <v>3</v>
      </c>
      <c r="BT485" t="s">
        <v>246</v>
      </c>
      <c r="BU485" t="s">
        <v>267</v>
      </c>
      <c r="BV485" t="b">
        <v>0</v>
      </c>
      <c r="BW485" t="s">
        <v>268</v>
      </c>
    </row>
    <row r="486" spans="1:75">
      <c r="A486" t="s">
        <v>246</v>
      </c>
      <c r="B486" t="s">
        <v>252</v>
      </c>
      <c r="C486">
        <v>840</v>
      </c>
      <c r="D486" t="s">
        <v>253</v>
      </c>
      <c r="E486" t="s">
        <v>254</v>
      </c>
      <c r="F486">
        <v>5</v>
      </c>
      <c r="G486" s="13">
        <v>46267.216354166667</v>
      </c>
      <c r="H486" s="13">
        <v>46267.218032407407</v>
      </c>
      <c r="I486">
        <v>145</v>
      </c>
      <c r="J486" t="s">
        <v>255</v>
      </c>
      <c r="K486">
        <v>1</v>
      </c>
      <c r="L486">
        <v>0.01</v>
      </c>
      <c r="M486">
        <v>0.01</v>
      </c>
      <c r="N486">
        <v>1</v>
      </c>
      <c r="O486">
        <v>0.01</v>
      </c>
      <c r="P486">
        <v>2.19</v>
      </c>
      <c r="Q486">
        <v>1.17</v>
      </c>
      <c r="R486">
        <v>1.17</v>
      </c>
      <c r="S486" t="s">
        <v>256</v>
      </c>
      <c r="T486" t="s">
        <v>257</v>
      </c>
      <c r="U486">
        <v>10</v>
      </c>
      <c r="V486">
        <v>7079.68</v>
      </c>
      <c r="W486">
        <v>4999.84</v>
      </c>
      <c r="X486">
        <v>4997.8100000000004</v>
      </c>
      <c r="Y486">
        <v>0</v>
      </c>
      <c r="Z486">
        <v>0</v>
      </c>
      <c r="AA486">
        <v>35</v>
      </c>
      <c r="AB486">
        <v>50</v>
      </c>
      <c r="AC486">
        <v>5000</v>
      </c>
      <c r="AD486">
        <v>0</v>
      </c>
      <c r="AE486">
        <v>0</v>
      </c>
      <c r="AF486">
        <v>7080.66</v>
      </c>
      <c r="AG486">
        <v>7080.66</v>
      </c>
      <c r="AH486" s="14">
        <v>46267</v>
      </c>
      <c r="AI486" t="s">
        <v>266</v>
      </c>
      <c r="AJ486" s="13">
        <v>46265.054768518516</v>
      </c>
      <c r="AK486">
        <v>6763.31</v>
      </c>
      <c r="AL486" t="s">
        <v>259</v>
      </c>
      <c r="AM486" t="s">
        <v>260</v>
      </c>
      <c r="AN486">
        <v>1400</v>
      </c>
      <c r="AO486">
        <v>0</v>
      </c>
      <c r="AP486">
        <v>35</v>
      </c>
      <c r="AQ486">
        <v>85</v>
      </c>
      <c r="AR486">
        <v>35</v>
      </c>
      <c r="AS486">
        <v>2</v>
      </c>
      <c r="AT486">
        <v>23</v>
      </c>
      <c r="AU486">
        <v>1</v>
      </c>
      <c r="AV486">
        <v>0</v>
      </c>
      <c r="AW486">
        <v>10</v>
      </c>
      <c r="AX486">
        <v>1</v>
      </c>
      <c r="AY486">
        <v>5</v>
      </c>
      <c r="AZ486">
        <v>2</v>
      </c>
      <c r="BA486">
        <v>1</v>
      </c>
      <c r="BB486">
        <v>1440</v>
      </c>
      <c r="BC486">
        <v>0</v>
      </c>
      <c r="BD486">
        <v>0</v>
      </c>
      <c r="BE486">
        <v>14</v>
      </c>
      <c r="BF486">
        <v>25</v>
      </c>
      <c r="BG486">
        <v>3</v>
      </c>
      <c r="BH486">
        <v>8</v>
      </c>
      <c r="BI486">
        <v>3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0</v>
      </c>
      <c r="BQ486">
        <v>60</v>
      </c>
      <c r="BR486">
        <v>0</v>
      </c>
      <c r="BS486">
        <v>3</v>
      </c>
      <c r="BT486" t="s">
        <v>246</v>
      </c>
      <c r="BU486" t="s">
        <v>267</v>
      </c>
      <c r="BV486" t="b">
        <v>0</v>
      </c>
      <c r="BW486" t="s">
        <v>268</v>
      </c>
    </row>
    <row r="487" spans="1:75">
      <c r="A487" t="s">
        <v>246</v>
      </c>
      <c r="B487" t="s">
        <v>252</v>
      </c>
      <c r="C487">
        <v>841</v>
      </c>
      <c r="D487" t="s">
        <v>253</v>
      </c>
      <c r="E487" t="s">
        <v>254</v>
      </c>
      <c r="F487">
        <v>5</v>
      </c>
      <c r="G487" s="13">
        <v>46267.219884259262</v>
      </c>
      <c r="H487" s="13">
        <v>46267.221759259257</v>
      </c>
      <c r="I487">
        <v>162</v>
      </c>
      <c r="J487" t="s">
        <v>255</v>
      </c>
      <c r="K487">
        <v>1</v>
      </c>
      <c r="L487">
        <v>0.01</v>
      </c>
      <c r="M487">
        <v>0.01</v>
      </c>
      <c r="N487">
        <v>1</v>
      </c>
      <c r="O487">
        <v>0.01</v>
      </c>
      <c r="P487">
        <v>1.01</v>
      </c>
      <c r="Q487">
        <v>0.93</v>
      </c>
      <c r="R487">
        <v>0.75</v>
      </c>
      <c r="S487" t="s">
        <v>256</v>
      </c>
      <c r="T487" t="s">
        <v>257</v>
      </c>
      <c r="U487">
        <v>15</v>
      </c>
      <c r="V487">
        <v>7080.46</v>
      </c>
      <c r="W487">
        <v>4999.8</v>
      </c>
      <c r="X487">
        <v>4998.99</v>
      </c>
      <c r="Y487">
        <v>0</v>
      </c>
      <c r="Z487">
        <v>0</v>
      </c>
      <c r="AA487">
        <v>35</v>
      </c>
      <c r="AB487">
        <v>50</v>
      </c>
      <c r="AC487">
        <v>5000</v>
      </c>
      <c r="AD487">
        <v>0</v>
      </c>
      <c r="AE487">
        <v>0</v>
      </c>
      <c r="AF487">
        <v>7081.24</v>
      </c>
      <c r="AG487">
        <v>7081.24</v>
      </c>
      <c r="AH487" s="14">
        <v>46267</v>
      </c>
      <c r="AI487" t="s">
        <v>266</v>
      </c>
      <c r="AJ487" s="13">
        <v>46265.054768518516</v>
      </c>
      <c r="AK487">
        <v>6763.31</v>
      </c>
      <c r="AL487" t="s">
        <v>259</v>
      </c>
      <c r="AM487" t="s">
        <v>260</v>
      </c>
      <c r="AN487">
        <v>1400</v>
      </c>
      <c r="AO487">
        <v>0</v>
      </c>
      <c r="AP487">
        <v>35</v>
      </c>
      <c r="AQ487">
        <v>85</v>
      </c>
      <c r="AR487">
        <v>35</v>
      </c>
      <c r="AS487">
        <v>2</v>
      </c>
      <c r="AT487">
        <v>23</v>
      </c>
      <c r="AU487">
        <v>1</v>
      </c>
      <c r="AV487">
        <v>0</v>
      </c>
      <c r="AW487">
        <v>10</v>
      </c>
      <c r="AX487">
        <v>1</v>
      </c>
      <c r="AY487">
        <v>5</v>
      </c>
      <c r="AZ487">
        <v>2</v>
      </c>
      <c r="BA487">
        <v>1</v>
      </c>
      <c r="BB487">
        <v>1440</v>
      </c>
      <c r="BC487">
        <v>0</v>
      </c>
      <c r="BD487">
        <v>0</v>
      </c>
      <c r="BE487">
        <v>14</v>
      </c>
      <c r="BF487">
        <v>25</v>
      </c>
      <c r="BG487">
        <v>3</v>
      </c>
      <c r="BH487">
        <v>8</v>
      </c>
      <c r="BI487">
        <v>3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0</v>
      </c>
      <c r="BQ487">
        <v>60</v>
      </c>
      <c r="BR487">
        <v>0</v>
      </c>
      <c r="BS487">
        <v>3</v>
      </c>
      <c r="BT487" t="s">
        <v>246</v>
      </c>
      <c r="BU487" t="s">
        <v>267</v>
      </c>
      <c r="BV487" t="b">
        <v>0</v>
      </c>
      <c r="BW487" t="s">
        <v>268</v>
      </c>
    </row>
    <row r="488" spans="1:75">
      <c r="A488" t="s">
        <v>246</v>
      </c>
      <c r="B488" t="s">
        <v>252</v>
      </c>
      <c r="C488">
        <v>842</v>
      </c>
      <c r="D488" t="s">
        <v>253</v>
      </c>
      <c r="E488" t="s">
        <v>254</v>
      </c>
      <c r="F488">
        <v>5</v>
      </c>
      <c r="G488" s="13">
        <v>46267.222928240742</v>
      </c>
      <c r="H488" s="13">
        <v>46267.231539351851</v>
      </c>
      <c r="I488">
        <v>744</v>
      </c>
      <c r="J488" t="s">
        <v>255</v>
      </c>
      <c r="K488">
        <v>3</v>
      </c>
      <c r="L488">
        <v>0.03</v>
      </c>
      <c r="M488">
        <v>0.01</v>
      </c>
      <c r="N488">
        <v>3</v>
      </c>
      <c r="O488">
        <v>0.03</v>
      </c>
      <c r="P488">
        <v>7.48</v>
      </c>
      <c r="Q488">
        <v>5.03</v>
      </c>
      <c r="R488">
        <v>2.69</v>
      </c>
      <c r="S488" t="s">
        <v>263</v>
      </c>
      <c r="T488" t="s">
        <v>257</v>
      </c>
      <c r="U488">
        <v>11</v>
      </c>
      <c r="V488">
        <v>7081.07</v>
      </c>
      <c r="W488">
        <v>4999.83</v>
      </c>
      <c r="X488">
        <v>4992.5200000000004</v>
      </c>
      <c r="Y488">
        <v>0</v>
      </c>
      <c r="Z488">
        <v>0</v>
      </c>
      <c r="AA488">
        <v>35</v>
      </c>
      <c r="AB488">
        <v>50</v>
      </c>
      <c r="AC488">
        <v>5000</v>
      </c>
      <c r="AD488">
        <v>0</v>
      </c>
      <c r="AE488">
        <v>0</v>
      </c>
      <c r="AF488">
        <v>7083.82</v>
      </c>
      <c r="AG488">
        <v>7083.82</v>
      </c>
      <c r="AH488" s="14">
        <v>46267</v>
      </c>
      <c r="AI488" t="s">
        <v>266</v>
      </c>
      <c r="AJ488" s="13">
        <v>46265.054768518516</v>
      </c>
      <c r="AK488">
        <v>6763.31</v>
      </c>
      <c r="AL488" t="s">
        <v>259</v>
      </c>
      <c r="AM488" t="s">
        <v>260</v>
      </c>
      <c r="AN488">
        <v>1400</v>
      </c>
      <c r="AO488">
        <v>0</v>
      </c>
      <c r="AP488">
        <v>35</v>
      </c>
      <c r="AQ488">
        <v>85</v>
      </c>
      <c r="AR488">
        <v>35</v>
      </c>
      <c r="AS488">
        <v>2</v>
      </c>
      <c r="AT488">
        <v>23</v>
      </c>
      <c r="AU488">
        <v>1</v>
      </c>
      <c r="AV488">
        <v>0</v>
      </c>
      <c r="AW488">
        <v>10</v>
      </c>
      <c r="AX488">
        <v>1</v>
      </c>
      <c r="AY488">
        <v>5</v>
      </c>
      <c r="AZ488">
        <v>2</v>
      </c>
      <c r="BA488">
        <v>1</v>
      </c>
      <c r="BB488">
        <v>1440</v>
      </c>
      <c r="BC488">
        <v>0</v>
      </c>
      <c r="BD488">
        <v>0</v>
      </c>
      <c r="BE488">
        <v>14</v>
      </c>
      <c r="BF488">
        <v>25</v>
      </c>
      <c r="BG488">
        <v>3</v>
      </c>
      <c r="BH488">
        <v>8</v>
      </c>
      <c r="BI488">
        <v>3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0</v>
      </c>
      <c r="BQ488">
        <v>60</v>
      </c>
      <c r="BR488">
        <v>0</v>
      </c>
      <c r="BS488">
        <v>3</v>
      </c>
      <c r="BT488" t="s">
        <v>246</v>
      </c>
      <c r="BU488" t="s">
        <v>267</v>
      </c>
      <c r="BV488" t="b">
        <v>0</v>
      </c>
      <c r="BW488" t="s">
        <v>268</v>
      </c>
    </row>
    <row r="489" spans="1:75">
      <c r="A489" t="s">
        <v>246</v>
      </c>
      <c r="B489" t="s">
        <v>252</v>
      </c>
      <c r="C489">
        <v>843</v>
      </c>
      <c r="D489" t="s">
        <v>253</v>
      </c>
      <c r="E489" t="s">
        <v>254</v>
      </c>
      <c r="F489">
        <v>5</v>
      </c>
      <c r="G489" s="13">
        <v>46267.233622685184</v>
      </c>
      <c r="H489" s="13">
        <v>46267.234629629631</v>
      </c>
      <c r="I489">
        <v>87</v>
      </c>
      <c r="J489" t="s">
        <v>255</v>
      </c>
      <c r="K489">
        <v>1</v>
      </c>
      <c r="L489">
        <v>0.01</v>
      </c>
      <c r="M489">
        <v>0.01</v>
      </c>
      <c r="N489">
        <v>1</v>
      </c>
      <c r="O489">
        <v>0.01</v>
      </c>
      <c r="P489">
        <v>1.44</v>
      </c>
      <c r="Q489">
        <v>2.58</v>
      </c>
      <c r="R489">
        <v>2.23</v>
      </c>
      <c r="S489" t="s">
        <v>256</v>
      </c>
      <c r="T489" t="s">
        <v>257</v>
      </c>
      <c r="U489">
        <v>10</v>
      </c>
      <c r="V489">
        <v>7083.66</v>
      </c>
      <c r="W489">
        <v>4999.84</v>
      </c>
      <c r="X489">
        <v>4998.5600000000004</v>
      </c>
      <c r="Y489">
        <v>0</v>
      </c>
      <c r="Z489">
        <v>0</v>
      </c>
      <c r="AA489">
        <v>35</v>
      </c>
      <c r="AB489">
        <v>50</v>
      </c>
      <c r="AC489">
        <v>5000</v>
      </c>
      <c r="AD489">
        <v>0</v>
      </c>
      <c r="AE489">
        <v>0</v>
      </c>
      <c r="AF489">
        <v>7086.05</v>
      </c>
      <c r="AG489">
        <v>7086.05</v>
      </c>
      <c r="AH489" s="14">
        <v>46267</v>
      </c>
      <c r="AI489" t="s">
        <v>266</v>
      </c>
      <c r="AJ489" s="13">
        <v>46265.054768518516</v>
      </c>
      <c r="AK489">
        <v>6763.31</v>
      </c>
      <c r="AL489" t="s">
        <v>259</v>
      </c>
      <c r="AM489" t="s">
        <v>260</v>
      </c>
      <c r="AN489">
        <v>1400</v>
      </c>
      <c r="AO489">
        <v>0</v>
      </c>
      <c r="AP489">
        <v>35</v>
      </c>
      <c r="AQ489">
        <v>85</v>
      </c>
      <c r="AR489">
        <v>35</v>
      </c>
      <c r="AS489">
        <v>2</v>
      </c>
      <c r="AT489">
        <v>23</v>
      </c>
      <c r="AU489">
        <v>1</v>
      </c>
      <c r="AV489">
        <v>0</v>
      </c>
      <c r="AW489">
        <v>10</v>
      </c>
      <c r="AX489">
        <v>1</v>
      </c>
      <c r="AY489">
        <v>5</v>
      </c>
      <c r="AZ489">
        <v>2</v>
      </c>
      <c r="BA489">
        <v>1</v>
      </c>
      <c r="BB489">
        <v>1440</v>
      </c>
      <c r="BC489">
        <v>0</v>
      </c>
      <c r="BD489">
        <v>0</v>
      </c>
      <c r="BE489">
        <v>14</v>
      </c>
      <c r="BF489">
        <v>25</v>
      </c>
      <c r="BG489">
        <v>3</v>
      </c>
      <c r="BH489">
        <v>8</v>
      </c>
      <c r="BI489">
        <v>3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0</v>
      </c>
      <c r="BQ489">
        <v>60</v>
      </c>
      <c r="BR489">
        <v>0</v>
      </c>
      <c r="BS489">
        <v>3</v>
      </c>
      <c r="BT489" t="s">
        <v>246</v>
      </c>
      <c r="BU489" t="s">
        <v>267</v>
      </c>
      <c r="BV489" t="b">
        <v>0</v>
      </c>
      <c r="BW489" t="s">
        <v>268</v>
      </c>
    </row>
    <row r="490" spans="1:75">
      <c r="A490" t="s">
        <v>246</v>
      </c>
      <c r="B490" t="s">
        <v>252</v>
      </c>
      <c r="C490">
        <v>844</v>
      </c>
      <c r="D490" t="s">
        <v>253</v>
      </c>
      <c r="E490" t="s">
        <v>254</v>
      </c>
      <c r="F490">
        <v>5</v>
      </c>
      <c r="G490" s="13">
        <v>46267.238402777781</v>
      </c>
      <c r="H490" s="13">
        <v>46267.239745370367</v>
      </c>
      <c r="I490">
        <v>116</v>
      </c>
      <c r="J490" t="s">
        <v>264</v>
      </c>
      <c r="K490">
        <v>1</v>
      </c>
      <c r="L490">
        <v>0.01</v>
      </c>
      <c r="M490">
        <v>0.01</v>
      </c>
      <c r="N490">
        <v>1</v>
      </c>
      <c r="O490">
        <v>0.01</v>
      </c>
      <c r="P490">
        <v>3.21</v>
      </c>
      <c r="Q490">
        <v>0.89</v>
      </c>
      <c r="R490">
        <v>0.6</v>
      </c>
      <c r="S490" t="s">
        <v>256</v>
      </c>
      <c r="T490" t="s">
        <v>257</v>
      </c>
      <c r="U490">
        <v>10</v>
      </c>
      <c r="V490">
        <v>7085.89</v>
      </c>
      <c r="W490">
        <v>4999.84</v>
      </c>
      <c r="X490">
        <v>4996.79</v>
      </c>
      <c r="Y490">
        <v>0</v>
      </c>
      <c r="Z490">
        <v>0</v>
      </c>
      <c r="AA490">
        <v>35</v>
      </c>
      <c r="AB490">
        <v>50</v>
      </c>
      <c r="AC490">
        <v>5000</v>
      </c>
      <c r="AD490">
        <v>0</v>
      </c>
      <c r="AE490">
        <v>0</v>
      </c>
      <c r="AF490">
        <v>7086.59</v>
      </c>
      <c r="AG490">
        <v>7086.59</v>
      </c>
      <c r="AH490" s="14">
        <v>46267</v>
      </c>
      <c r="AI490" t="s">
        <v>266</v>
      </c>
      <c r="AJ490" s="13">
        <v>46265.054768518516</v>
      </c>
      <c r="AK490">
        <v>6763.31</v>
      </c>
      <c r="AL490" t="s">
        <v>259</v>
      </c>
      <c r="AM490" t="s">
        <v>260</v>
      </c>
      <c r="AN490">
        <v>1400</v>
      </c>
      <c r="AO490">
        <v>0</v>
      </c>
      <c r="AP490">
        <v>35</v>
      </c>
      <c r="AQ490">
        <v>85</v>
      </c>
      <c r="AR490">
        <v>35</v>
      </c>
      <c r="AS490">
        <v>2</v>
      </c>
      <c r="AT490">
        <v>23</v>
      </c>
      <c r="AU490">
        <v>1</v>
      </c>
      <c r="AV490">
        <v>0</v>
      </c>
      <c r="AW490">
        <v>10</v>
      </c>
      <c r="AX490">
        <v>1</v>
      </c>
      <c r="AY490">
        <v>5</v>
      </c>
      <c r="AZ490">
        <v>2</v>
      </c>
      <c r="BA490">
        <v>1</v>
      </c>
      <c r="BB490">
        <v>1440</v>
      </c>
      <c r="BC490">
        <v>0</v>
      </c>
      <c r="BD490">
        <v>0</v>
      </c>
      <c r="BE490">
        <v>14</v>
      </c>
      <c r="BF490">
        <v>25</v>
      </c>
      <c r="BG490">
        <v>3</v>
      </c>
      <c r="BH490">
        <v>8</v>
      </c>
      <c r="BI490">
        <v>3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0</v>
      </c>
      <c r="BQ490">
        <v>60</v>
      </c>
      <c r="BR490">
        <v>0</v>
      </c>
      <c r="BS490">
        <v>3</v>
      </c>
      <c r="BT490" t="s">
        <v>246</v>
      </c>
      <c r="BU490" t="s">
        <v>267</v>
      </c>
      <c r="BV490" t="b">
        <v>0</v>
      </c>
      <c r="BW490" t="s">
        <v>268</v>
      </c>
    </row>
    <row r="491" spans="1:75">
      <c r="A491" t="s">
        <v>246</v>
      </c>
      <c r="B491" t="s">
        <v>252</v>
      </c>
      <c r="C491">
        <v>845</v>
      </c>
      <c r="D491" t="s">
        <v>253</v>
      </c>
      <c r="E491" t="s">
        <v>254</v>
      </c>
      <c r="F491">
        <v>5</v>
      </c>
      <c r="G491" s="13">
        <v>46267.243946759256</v>
      </c>
      <c r="H491" s="13">
        <v>46267.246053240742</v>
      </c>
      <c r="I491">
        <v>182</v>
      </c>
      <c r="J491" t="s">
        <v>264</v>
      </c>
      <c r="K491">
        <v>1</v>
      </c>
      <c r="L491">
        <v>0.01</v>
      </c>
      <c r="M491">
        <v>0.01</v>
      </c>
      <c r="N491">
        <v>1</v>
      </c>
      <c r="O491">
        <v>0.01</v>
      </c>
      <c r="P491">
        <v>1.26</v>
      </c>
      <c r="Q491">
        <v>1.21</v>
      </c>
      <c r="R491">
        <v>0.91</v>
      </c>
      <c r="S491" t="s">
        <v>256</v>
      </c>
      <c r="T491" t="s">
        <v>257</v>
      </c>
      <c r="U491">
        <v>10</v>
      </c>
      <c r="V491">
        <v>7086.43</v>
      </c>
      <c r="W491">
        <v>4999.84</v>
      </c>
      <c r="X491">
        <v>4998.74</v>
      </c>
      <c r="Y491">
        <v>0</v>
      </c>
      <c r="Z491">
        <v>0</v>
      </c>
      <c r="AA491">
        <v>35</v>
      </c>
      <c r="AB491">
        <v>50</v>
      </c>
      <c r="AC491">
        <v>5000</v>
      </c>
      <c r="AD491">
        <v>0</v>
      </c>
      <c r="AE491">
        <v>0</v>
      </c>
      <c r="AF491">
        <v>7087.45</v>
      </c>
      <c r="AG491">
        <v>7087.45</v>
      </c>
      <c r="AH491" s="14">
        <v>46267</v>
      </c>
      <c r="AI491" t="s">
        <v>266</v>
      </c>
      <c r="AJ491" s="13">
        <v>46265.054768518516</v>
      </c>
      <c r="AK491">
        <v>6763.31</v>
      </c>
      <c r="AL491" t="s">
        <v>259</v>
      </c>
      <c r="AM491" t="s">
        <v>260</v>
      </c>
      <c r="AN491">
        <v>1400</v>
      </c>
      <c r="AO491">
        <v>0</v>
      </c>
      <c r="AP491">
        <v>35</v>
      </c>
      <c r="AQ491">
        <v>85</v>
      </c>
      <c r="AR491">
        <v>35</v>
      </c>
      <c r="AS491">
        <v>2</v>
      </c>
      <c r="AT491">
        <v>23</v>
      </c>
      <c r="AU491">
        <v>1</v>
      </c>
      <c r="AV491">
        <v>0</v>
      </c>
      <c r="AW491">
        <v>10</v>
      </c>
      <c r="AX491">
        <v>1</v>
      </c>
      <c r="AY491">
        <v>5</v>
      </c>
      <c r="AZ491">
        <v>2</v>
      </c>
      <c r="BA491">
        <v>1</v>
      </c>
      <c r="BB491">
        <v>1440</v>
      </c>
      <c r="BC491">
        <v>0</v>
      </c>
      <c r="BD491">
        <v>0</v>
      </c>
      <c r="BE491">
        <v>14</v>
      </c>
      <c r="BF491">
        <v>25</v>
      </c>
      <c r="BG491">
        <v>3</v>
      </c>
      <c r="BH491">
        <v>8</v>
      </c>
      <c r="BI491">
        <v>3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0</v>
      </c>
      <c r="BQ491">
        <v>60</v>
      </c>
      <c r="BR491">
        <v>0</v>
      </c>
      <c r="BS491">
        <v>3</v>
      </c>
      <c r="BT491" t="s">
        <v>246</v>
      </c>
      <c r="BU491" t="s">
        <v>267</v>
      </c>
      <c r="BV491" t="b">
        <v>0</v>
      </c>
      <c r="BW491" t="s">
        <v>268</v>
      </c>
    </row>
    <row r="492" spans="1:75">
      <c r="A492" t="s">
        <v>246</v>
      </c>
      <c r="B492" t="s">
        <v>252</v>
      </c>
      <c r="C492">
        <v>846</v>
      </c>
      <c r="D492" t="s">
        <v>253</v>
      </c>
      <c r="E492" t="s">
        <v>254</v>
      </c>
      <c r="F492">
        <v>5</v>
      </c>
      <c r="G492" s="13">
        <v>46267.247974537036</v>
      </c>
      <c r="H492" s="13">
        <v>46267.248854166668</v>
      </c>
      <c r="I492">
        <v>76</v>
      </c>
      <c r="J492" t="s">
        <v>264</v>
      </c>
      <c r="K492">
        <v>1</v>
      </c>
      <c r="L492">
        <v>0.01</v>
      </c>
      <c r="M492">
        <v>0.01</v>
      </c>
      <c r="N492">
        <v>1</v>
      </c>
      <c r="O492">
        <v>0.01</v>
      </c>
      <c r="P492">
        <v>1.4</v>
      </c>
      <c r="Q492">
        <v>0.82</v>
      </c>
      <c r="R492">
        <v>0.56999999999999995</v>
      </c>
      <c r="S492" t="s">
        <v>256</v>
      </c>
      <c r="T492" t="s">
        <v>257</v>
      </c>
      <c r="U492">
        <v>10</v>
      </c>
      <c r="V492">
        <v>7087.28</v>
      </c>
      <c r="W492">
        <v>4999.83</v>
      </c>
      <c r="X492">
        <v>4998.6000000000004</v>
      </c>
      <c r="Y492">
        <v>0</v>
      </c>
      <c r="Z492">
        <v>0</v>
      </c>
      <c r="AA492">
        <v>35</v>
      </c>
      <c r="AB492">
        <v>50</v>
      </c>
      <c r="AC492">
        <v>5000</v>
      </c>
      <c r="AD492">
        <v>0</v>
      </c>
      <c r="AE492">
        <v>0</v>
      </c>
      <c r="AF492">
        <v>7087.92</v>
      </c>
      <c r="AG492">
        <v>7087.92</v>
      </c>
      <c r="AH492" s="14">
        <v>46267</v>
      </c>
      <c r="AI492" t="s">
        <v>266</v>
      </c>
      <c r="AJ492" s="13">
        <v>46265.054768518516</v>
      </c>
      <c r="AK492">
        <v>6763.31</v>
      </c>
      <c r="AL492" t="s">
        <v>259</v>
      </c>
      <c r="AM492" t="s">
        <v>260</v>
      </c>
      <c r="AN492">
        <v>1400</v>
      </c>
      <c r="AO492">
        <v>0</v>
      </c>
      <c r="AP492">
        <v>35</v>
      </c>
      <c r="AQ492">
        <v>85</v>
      </c>
      <c r="AR492">
        <v>35</v>
      </c>
      <c r="AS492">
        <v>2</v>
      </c>
      <c r="AT492">
        <v>23</v>
      </c>
      <c r="AU492">
        <v>1</v>
      </c>
      <c r="AV492">
        <v>0</v>
      </c>
      <c r="AW492">
        <v>10</v>
      </c>
      <c r="AX492">
        <v>1</v>
      </c>
      <c r="AY492">
        <v>5</v>
      </c>
      <c r="AZ492">
        <v>2</v>
      </c>
      <c r="BA492">
        <v>1</v>
      </c>
      <c r="BB492">
        <v>1440</v>
      </c>
      <c r="BC492">
        <v>0</v>
      </c>
      <c r="BD492">
        <v>0</v>
      </c>
      <c r="BE492">
        <v>14</v>
      </c>
      <c r="BF492">
        <v>25</v>
      </c>
      <c r="BG492">
        <v>3</v>
      </c>
      <c r="BH492">
        <v>8</v>
      </c>
      <c r="BI492">
        <v>3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0</v>
      </c>
      <c r="BQ492">
        <v>60</v>
      </c>
      <c r="BR492">
        <v>0</v>
      </c>
      <c r="BS492">
        <v>3</v>
      </c>
      <c r="BT492" t="s">
        <v>246</v>
      </c>
      <c r="BU492" t="s">
        <v>267</v>
      </c>
      <c r="BV492" t="b">
        <v>0</v>
      </c>
      <c r="BW492" t="s">
        <v>268</v>
      </c>
    </row>
    <row r="493" spans="1:75">
      <c r="A493" t="s">
        <v>246</v>
      </c>
      <c r="B493" t="s">
        <v>252</v>
      </c>
      <c r="C493">
        <v>847</v>
      </c>
      <c r="D493" t="s">
        <v>253</v>
      </c>
      <c r="E493" t="s">
        <v>254</v>
      </c>
      <c r="F493">
        <v>5</v>
      </c>
      <c r="G493" s="13">
        <v>46267.251747685186</v>
      </c>
      <c r="H493" s="13">
        <v>46267.251979166664</v>
      </c>
      <c r="I493">
        <v>20</v>
      </c>
      <c r="J493" t="s">
        <v>264</v>
      </c>
      <c r="K493">
        <v>1</v>
      </c>
      <c r="L493">
        <v>0.01</v>
      </c>
      <c r="M493">
        <v>0.01</v>
      </c>
      <c r="N493">
        <v>1</v>
      </c>
      <c r="O493">
        <v>0.01</v>
      </c>
      <c r="P493">
        <v>0.22</v>
      </c>
      <c r="Q493">
        <v>1.04</v>
      </c>
      <c r="R493">
        <v>0.98</v>
      </c>
      <c r="S493" t="s">
        <v>256</v>
      </c>
      <c r="T493" t="s">
        <v>257</v>
      </c>
      <c r="U493">
        <v>10</v>
      </c>
      <c r="V493">
        <v>7087.75</v>
      </c>
      <c r="W493">
        <v>4999.83</v>
      </c>
      <c r="X493">
        <v>4999.78</v>
      </c>
      <c r="Y493">
        <v>0</v>
      </c>
      <c r="Z493">
        <v>0</v>
      </c>
      <c r="AA493">
        <v>35</v>
      </c>
      <c r="AB493">
        <v>50</v>
      </c>
      <c r="AC493">
        <v>5000</v>
      </c>
      <c r="AD493">
        <v>0</v>
      </c>
      <c r="AE493">
        <v>0</v>
      </c>
      <c r="AF493">
        <v>7088.6</v>
      </c>
      <c r="AG493">
        <v>7088.6</v>
      </c>
      <c r="AH493" s="14">
        <v>46267</v>
      </c>
      <c r="AI493" t="s">
        <v>266</v>
      </c>
      <c r="AJ493" s="13">
        <v>46265.054768518516</v>
      </c>
      <c r="AK493">
        <v>6763.31</v>
      </c>
      <c r="AL493" t="s">
        <v>259</v>
      </c>
      <c r="AM493" t="s">
        <v>260</v>
      </c>
      <c r="AN493">
        <v>1400</v>
      </c>
      <c r="AO493">
        <v>0</v>
      </c>
      <c r="AP493">
        <v>35</v>
      </c>
      <c r="AQ493">
        <v>85</v>
      </c>
      <c r="AR493">
        <v>35</v>
      </c>
      <c r="AS493">
        <v>2</v>
      </c>
      <c r="AT493">
        <v>23</v>
      </c>
      <c r="AU493">
        <v>1</v>
      </c>
      <c r="AV493">
        <v>0</v>
      </c>
      <c r="AW493">
        <v>10</v>
      </c>
      <c r="AX493">
        <v>1</v>
      </c>
      <c r="AY493">
        <v>5</v>
      </c>
      <c r="AZ493">
        <v>2</v>
      </c>
      <c r="BA493">
        <v>1</v>
      </c>
      <c r="BB493">
        <v>1440</v>
      </c>
      <c r="BC493">
        <v>0</v>
      </c>
      <c r="BD493">
        <v>0</v>
      </c>
      <c r="BE493">
        <v>14</v>
      </c>
      <c r="BF493">
        <v>25</v>
      </c>
      <c r="BG493">
        <v>3</v>
      </c>
      <c r="BH493">
        <v>8</v>
      </c>
      <c r="BI493">
        <v>3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0</v>
      </c>
      <c r="BQ493">
        <v>60</v>
      </c>
      <c r="BR493">
        <v>0</v>
      </c>
      <c r="BS493">
        <v>3</v>
      </c>
      <c r="BT493" t="s">
        <v>246</v>
      </c>
      <c r="BU493" t="s">
        <v>267</v>
      </c>
      <c r="BV493" t="b">
        <v>0</v>
      </c>
      <c r="BW493" t="s">
        <v>268</v>
      </c>
    </row>
    <row r="494" spans="1:75">
      <c r="A494" t="s">
        <v>246</v>
      </c>
      <c r="B494" t="s">
        <v>252</v>
      </c>
      <c r="C494">
        <v>848</v>
      </c>
      <c r="D494" t="s">
        <v>253</v>
      </c>
      <c r="E494" t="s">
        <v>254</v>
      </c>
      <c r="F494">
        <v>5</v>
      </c>
      <c r="G494" s="13">
        <v>46267.254918981482</v>
      </c>
      <c r="H494" s="13">
        <v>46267.264780092592</v>
      </c>
      <c r="I494">
        <v>852</v>
      </c>
      <c r="J494" t="s">
        <v>264</v>
      </c>
      <c r="K494">
        <v>3</v>
      </c>
      <c r="L494">
        <v>0.03</v>
      </c>
      <c r="M494">
        <v>0.01</v>
      </c>
      <c r="N494">
        <v>3</v>
      </c>
      <c r="O494">
        <v>0.03</v>
      </c>
      <c r="P494">
        <v>5.0199999999999996</v>
      </c>
      <c r="Q494">
        <v>13.55</v>
      </c>
      <c r="R494">
        <v>11.18</v>
      </c>
      <c r="S494" t="s">
        <v>263</v>
      </c>
      <c r="T494" t="s">
        <v>257</v>
      </c>
      <c r="U494">
        <v>11</v>
      </c>
      <c r="V494">
        <v>7088.43</v>
      </c>
      <c r="W494">
        <v>4999.83</v>
      </c>
      <c r="X494">
        <v>4994.9799999999996</v>
      </c>
      <c r="Y494">
        <v>0</v>
      </c>
      <c r="Z494">
        <v>0</v>
      </c>
      <c r="AA494">
        <v>35</v>
      </c>
      <c r="AB494">
        <v>50</v>
      </c>
      <c r="AC494">
        <v>5000</v>
      </c>
      <c r="AD494">
        <v>0</v>
      </c>
      <c r="AE494">
        <v>0</v>
      </c>
      <c r="AF494">
        <v>7099.77</v>
      </c>
      <c r="AG494">
        <v>7099.77</v>
      </c>
      <c r="AH494" s="14">
        <v>46267</v>
      </c>
      <c r="AI494" t="s">
        <v>266</v>
      </c>
      <c r="AJ494" s="13">
        <v>46265.054768518516</v>
      </c>
      <c r="AK494">
        <v>6763.31</v>
      </c>
      <c r="AL494" t="s">
        <v>259</v>
      </c>
      <c r="AM494" t="s">
        <v>260</v>
      </c>
      <c r="AN494">
        <v>1400</v>
      </c>
      <c r="AO494">
        <v>0</v>
      </c>
      <c r="AP494">
        <v>35</v>
      </c>
      <c r="AQ494">
        <v>85</v>
      </c>
      <c r="AR494">
        <v>35</v>
      </c>
      <c r="AS494">
        <v>2</v>
      </c>
      <c r="AT494">
        <v>23</v>
      </c>
      <c r="AU494">
        <v>1</v>
      </c>
      <c r="AV494">
        <v>0</v>
      </c>
      <c r="AW494">
        <v>10</v>
      </c>
      <c r="AX494">
        <v>1</v>
      </c>
      <c r="AY494">
        <v>5</v>
      </c>
      <c r="AZ494">
        <v>2</v>
      </c>
      <c r="BA494">
        <v>1</v>
      </c>
      <c r="BB494">
        <v>1440</v>
      </c>
      <c r="BC494">
        <v>0</v>
      </c>
      <c r="BD494">
        <v>0</v>
      </c>
      <c r="BE494">
        <v>14</v>
      </c>
      <c r="BF494">
        <v>25</v>
      </c>
      <c r="BG494">
        <v>3</v>
      </c>
      <c r="BH494">
        <v>8</v>
      </c>
      <c r="BI494">
        <v>3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0</v>
      </c>
      <c r="BQ494">
        <v>60</v>
      </c>
      <c r="BR494">
        <v>0</v>
      </c>
      <c r="BS494">
        <v>3</v>
      </c>
      <c r="BT494" t="s">
        <v>246</v>
      </c>
      <c r="BU494" t="s">
        <v>267</v>
      </c>
      <c r="BV494" t="b">
        <v>0</v>
      </c>
      <c r="BW494" t="s">
        <v>268</v>
      </c>
    </row>
    <row r="495" spans="1:75">
      <c r="A495" t="s">
        <v>246</v>
      </c>
      <c r="B495" t="s">
        <v>252</v>
      </c>
      <c r="C495">
        <v>849</v>
      </c>
      <c r="D495" t="s">
        <v>253</v>
      </c>
      <c r="E495" t="s">
        <v>254</v>
      </c>
      <c r="F495">
        <v>5</v>
      </c>
      <c r="G495" s="13">
        <v>46267.267858796295</v>
      </c>
      <c r="H495" s="13">
        <v>46267.268136574072</v>
      </c>
      <c r="I495">
        <v>24</v>
      </c>
      <c r="J495" t="s">
        <v>255</v>
      </c>
      <c r="K495">
        <v>1</v>
      </c>
      <c r="L495">
        <v>0.01</v>
      </c>
      <c r="M495">
        <v>0.01</v>
      </c>
      <c r="N495">
        <v>1</v>
      </c>
      <c r="O495">
        <v>0.01</v>
      </c>
      <c r="P495">
        <v>0.16</v>
      </c>
      <c r="Q495">
        <v>0.96</v>
      </c>
      <c r="R495">
        <v>0.81</v>
      </c>
      <c r="S495" t="s">
        <v>256</v>
      </c>
      <c r="T495" t="s">
        <v>257</v>
      </c>
      <c r="U495">
        <v>10</v>
      </c>
      <c r="V495">
        <v>7099.61</v>
      </c>
      <c r="W495">
        <v>4999.84</v>
      </c>
      <c r="X495">
        <v>4999.84</v>
      </c>
      <c r="Y495">
        <v>0</v>
      </c>
      <c r="Z495">
        <v>0</v>
      </c>
      <c r="AA495">
        <v>35</v>
      </c>
      <c r="AB495">
        <v>50</v>
      </c>
      <c r="AC495">
        <v>5000</v>
      </c>
      <c r="AD495">
        <v>0</v>
      </c>
      <c r="AE495">
        <v>0</v>
      </c>
      <c r="AF495">
        <v>7100.38</v>
      </c>
      <c r="AG495">
        <v>7100.38</v>
      </c>
      <c r="AH495" s="14">
        <v>46267</v>
      </c>
      <c r="AI495" t="s">
        <v>266</v>
      </c>
      <c r="AJ495" s="13">
        <v>46265.054768518516</v>
      </c>
      <c r="AK495">
        <v>6763.31</v>
      </c>
      <c r="AL495" t="s">
        <v>259</v>
      </c>
      <c r="AM495" t="s">
        <v>260</v>
      </c>
      <c r="AN495">
        <v>1400</v>
      </c>
      <c r="AO495">
        <v>0</v>
      </c>
      <c r="AP495">
        <v>35</v>
      </c>
      <c r="AQ495">
        <v>85</v>
      </c>
      <c r="AR495">
        <v>35</v>
      </c>
      <c r="AS495">
        <v>2</v>
      </c>
      <c r="AT495">
        <v>23</v>
      </c>
      <c r="AU495">
        <v>1</v>
      </c>
      <c r="AV495">
        <v>0</v>
      </c>
      <c r="AW495">
        <v>10</v>
      </c>
      <c r="AX495">
        <v>1</v>
      </c>
      <c r="AY495">
        <v>5</v>
      </c>
      <c r="AZ495">
        <v>2</v>
      </c>
      <c r="BA495">
        <v>1</v>
      </c>
      <c r="BB495">
        <v>1440</v>
      </c>
      <c r="BC495">
        <v>0</v>
      </c>
      <c r="BD495">
        <v>0</v>
      </c>
      <c r="BE495">
        <v>14</v>
      </c>
      <c r="BF495">
        <v>25</v>
      </c>
      <c r="BG495">
        <v>3</v>
      </c>
      <c r="BH495">
        <v>8</v>
      </c>
      <c r="BI495">
        <v>3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0</v>
      </c>
      <c r="BQ495">
        <v>60</v>
      </c>
      <c r="BR495">
        <v>0</v>
      </c>
      <c r="BS495">
        <v>3</v>
      </c>
      <c r="BT495" t="s">
        <v>246</v>
      </c>
      <c r="BU495" t="s">
        <v>267</v>
      </c>
      <c r="BV495" t="b">
        <v>0</v>
      </c>
      <c r="BW495" t="s">
        <v>268</v>
      </c>
    </row>
    <row r="496" spans="1:75">
      <c r="A496" t="s">
        <v>246</v>
      </c>
      <c r="B496" t="s">
        <v>252</v>
      </c>
      <c r="C496">
        <v>850</v>
      </c>
      <c r="D496" t="s">
        <v>253</v>
      </c>
      <c r="E496" t="s">
        <v>254</v>
      </c>
      <c r="F496">
        <v>5</v>
      </c>
      <c r="G496" s="13">
        <v>46267.272777777776</v>
      </c>
      <c r="H496" s="13">
        <v>46267.273587962962</v>
      </c>
      <c r="I496">
        <v>70</v>
      </c>
      <c r="J496" t="s">
        <v>264</v>
      </c>
      <c r="K496">
        <v>1</v>
      </c>
      <c r="L496">
        <v>0.01</v>
      </c>
      <c r="M496">
        <v>0.01</v>
      </c>
      <c r="N496">
        <v>1</v>
      </c>
      <c r="O496">
        <v>0.01</v>
      </c>
      <c r="P496">
        <v>0.82</v>
      </c>
      <c r="Q496">
        <v>0.81</v>
      </c>
      <c r="R496">
        <v>0.57999999999999996</v>
      </c>
      <c r="S496" t="s">
        <v>256</v>
      </c>
      <c r="T496" t="s">
        <v>257</v>
      </c>
      <c r="U496">
        <v>11</v>
      </c>
      <c r="V496">
        <v>7100.22</v>
      </c>
      <c r="W496">
        <v>4999.84</v>
      </c>
      <c r="X496">
        <v>4999.18</v>
      </c>
      <c r="Y496">
        <v>0</v>
      </c>
      <c r="Z496">
        <v>0</v>
      </c>
      <c r="AA496">
        <v>35</v>
      </c>
      <c r="AB496">
        <v>50</v>
      </c>
      <c r="AC496">
        <v>5000</v>
      </c>
      <c r="AD496">
        <v>0</v>
      </c>
      <c r="AE496">
        <v>0</v>
      </c>
      <c r="AF496">
        <v>7100.84</v>
      </c>
      <c r="AG496">
        <v>7100.84</v>
      </c>
      <c r="AH496" s="14">
        <v>46267</v>
      </c>
      <c r="AI496" t="s">
        <v>266</v>
      </c>
      <c r="AJ496" s="13">
        <v>46265.054768518516</v>
      </c>
      <c r="AK496">
        <v>6763.31</v>
      </c>
      <c r="AL496" t="s">
        <v>259</v>
      </c>
      <c r="AM496" t="s">
        <v>260</v>
      </c>
      <c r="AN496">
        <v>1400</v>
      </c>
      <c r="AO496">
        <v>0</v>
      </c>
      <c r="AP496">
        <v>35</v>
      </c>
      <c r="AQ496">
        <v>85</v>
      </c>
      <c r="AR496">
        <v>35</v>
      </c>
      <c r="AS496">
        <v>2</v>
      </c>
      <c r="AT496">
        <v>23</v>
      </c>
      <c r="AU496">
        <v>1</v>
      </c>
      <c r="AV496">
        <v>0</v>
      </c>
      <c r="AW496">
        <v>10</v>
      </c>
      <c r="AX496">
        <v>1</v>
      </c>
      <c r="AY496">
        <v>5</v>
      </c>
      <c r="AZ496">
        <v>2</v>
      </c>
      <c r="BA496">
        <v>1</v>
      </c>
      <c r="BB496">
        <v>1440</v>
      </c>
      <c r="BC496">
        <v>0</v>
      </c>
      <c r="BD496">
        <v>0</v>
      </c>
      <c r="BE496">
        <v>14</v>
      </c>
      <c r="BF496">
        <v>25</v>
      </c>
      <c r="BG496">
        <v>3</v>
      </c>
      <c r="BH496">
        <v>8</v>
      </c>
      <c r="BI496">
        <v>3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0</v>
      </c>
      <c r="BQ496">
        <v>60</v>
      </c>
      <c r="BR496">
        <v>0</v>
      </c>
      <c r="BS496">
        <v>3</v>
      </c>
      <c r="BT496" t="s">
        <v>246</v>
      </c>
      <c r="BU496" t="s">
        <v>267</v>
      </c>
      <c r="BV496" t="b">
        <v>0</v>
      </c>
      <c r="BW496" t="s">
        <v>268</v>
      </c>
    </row>
    <row r="497" spans="1:75">
      <c r="A497" t="s">
        <v>246</v>
      </c>
      <c r="B497" t="s">
        <v>252</v>
      </c>
      <c r="C497">
        <v>851</v>
      </c>
      <c r="D497" t="s">
        <v>253</v>
      </c>
      <c r="E497" t="s">
        <v>254</v>
      </c>
      <c r="F497">
        <v>5</v>
      </c>
      <c r="G497" s="13">
        <v>46267.275370370371</v>
      </c>
      <c r="H497" s="13">
        <v>46267.276620370372</v>
      </c>
      <c r="I497">
        <v>108</v>
      </c>
      <c r="J497" t="s">
        <v>255</v>
      </c>
      <c r="K497">
        <v>1</v>
      </c>
      <c r="L497">
        <v>0.01</v>
      </c>
      <c r="M497">
        <v>0.01</v>
      </c>
      <c r="N497">
        <v>1</v>
      </c>
      <c r="O497">
        <v>0.01</v>
      </c>
      <c r="P497">
        <v>2.0299999999999998</v>
      </c>
      <c r="Q497">
        <v>1.55</v>
      </c>
      <c r="R497">
        <v>1.23</v>
      </c>
      <c r="S497" t="s">
        <v>256</v>
      </c>
      <c r="T497" t="s">
        <v>257</v>
      </c>
      <c r="U497">
        <v>10</v>
      </c>
      <c r="V497">
        <v>7100.67</v>
      </c>
      <c r="W497">
        <v>4999.83</v>
      </c>
      <c r="X497">
        <v>4997.97</v>
      </c>
      <c r="Y497">
        <v>0</v>
      </c>
      <c r="Z497">
        <v>0</v>
      </c>
      <c r="AA497">
        <v>35</v>
      </c>
      <c r="AB497">
        <v>50</v>
      </c>
      <c r="AC497">
        <v>5000</v>
      </c>
      <c r="AD497">
        <v>0</v>
      </c>
      <c r="AE497">
        <v>0</v>
      </c>
      <c r="AF497">
        <v>7102.03</v>
      </c>
      <c r="AG497">
        <v>7102.03</v>
      </c>
      <c r="AH497" s="14">
        <v>46267</v>
      </c>
      <c r="AI497" t="s">
        <v>266</v>
      </c>
      <c r="AJ497" s="13">
        <v>46265.054768518516</v>
      </c>
      <c r="AK497">
        <v>6763.31</v>
      </c>
      <c r="AL497" t="s">
        <v>259</v>
      </c>
      <c r="AM497" t="s">
        <v>260</v>
      </c>
      <c r="AN497">
        <v>1400</v>
      </c>
      <c r="AO497">
        <v>0</v>
      </c>
      <c r="AP497">
        <v>35</v>
      </c>
      <c r="AQ497">
        <v>85</v>
      </c>
      <c r="AR497">
        <v>35</v>
      </c>
      <c r="AS497">
        <v>2</v>
      </c>
      <c r="AT497">
        <v>23</v>
      </c>
      <c r="AU497">
        <v>1</v>
      </c>
      <c r="AV497">
        <v>0</v>
      </c>
      <c r="AW497">
        <v>10</v>
      </c>
      <c r="AX497">
        <v>1</v>
      </c>
      <c r="AY497">
        <v>5</v>
      </c>
      <c r="AZ497">
        <v>2</v>
      </c>
      <c r="BA497">
        <v>1</v>
      </c>
      <c r="BB497">
        <v>1440</v>
      </c>
      <c r="BC497">
        <v>0</v>
      </c>
      <c r="BD497">
        <v>0</v>
      </c>
      <c r="BE497">
        <v>14</v>
      </c>
      <c r="BF497">
        <v>25</v>
      </c>
      <c r="BG497">
        <v>3</v>
      </c>
      <c r="BH497">
        <v>8</v>
      </c>
      <c r="BI497">
        <v>3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0</v>
      </c>
      <c r="BQ497">
        <v>60</v>
      </c>
      <c r="BR497">
        <v>0</v>
      </c>
      <c r="BS497">
        <v>3</v>
      </c>
      <c r="BT497" t="s">
        <v>246</v>
      </c>
      <c r="BU497" t="s">
        <v>267</v>
      </c>
      <c r="BV497" t="b">
        <v>0</v>
      </c>
      <c r="BW497" t="s">
        <v>268</v>
      </c>
    </row>
    <row r="498" spans="1:75">
      <c r="A498" t="s">
        <v>246</v>
      </c>
      <c r="B498" t="s">
        <v>252</v>
      </c>
      <c r="C498">
        <v>852</v>
      </c>
      <c r="D498" t="s">
        <v>253</v>
      </c>
      <c r="E498" t="s">
        <v>254</v>
      </c>
      <c r="F498">
        <v>5</v>
      </c>
      <c r="G498" s="13">
        <v>46267.278680555559</v>
      </c>
      <c r="H498" s="13">
        <v>46267.278923611113</v>
      </c>
      <c r="I498">
        <v>21</v>
      </c>
      <c r="J498" t="s">
        <v>264</v>
      </c>
      <c r="K498">
        <v>1</v>
      </c>
      <c r="L498">
        <v>0.01</v>
      </c>
      <c r="M498">
        <v>0.01</v>
      </c>
      <c r="N498">
        <v>1</v>
      </c>
      <c r="O498">
        <v>0.01</v>
      </c>
      <c r="P498">
        <v>0.25</v>
      </c>
      <c r="Q498">
        <v>0.93</v>
      </c>
      <c r="R498">
        <v>0.64</v>
      </c>
      <c r="S498" t="s">
        <v>256</v>
      </c>
      <c r="T498" t="s">
        <v>257</v>
      </c>
      <c r="U498">
        <v>11</v>
      </c>
      <c r="V498">
        <v>7101.86</v>
      </c>
      <c r="W498">
        <v>4999.83</v>
      </c>
      <c r="X498">
        <v>4999.75</v>
      </c>
      <c r="Y498">
        <v>0</v>
      </c>
      <c r="Z498">
        <v>0</v>
      </c>
      <c r="AA498">
        <v>35</v>
      </c>
      <c r="AB498">
        <v>50</v>
      </c>
      <c r="AC498">
        <v>5000</v>
      </c>
      <c r="AD498">
        <v>0</v>
      </c>
      <c r="AE498">
        <v>0</v>
      </c>
      <c r="AF498">
        <v>7102.61</v>
      </c>
      <c r="AG498">
        <v>7102.61</v>
      </c>
      <c r="AH498" s="14">
        <v>46267</v>
      </c>
      <c r="AI498" t="s">
        <v>266</v>
      </c>
      <c r="AJ498" s="13">
        <v>46265.054768518516</v>
      </c>
      <c r="AK498">
        <v>6763.31</v>
      </c>
      <c r="AL498" t="s">
        <v>259</v>
      </c>
      <c r="AM498" t="s">
        <v>260</v>
      </c>
      <c r="AN498">
        <v>1400</v>
      </c>
      <c r="AO498">
        <v>0</v>
      </c>
      <c r="AP498">
        <v>35</v>
      </c>
      <c r="AQ498">
        <v>85</v>
      </c>
      <c r="AR498">
        <v>35</v>
      </c>
      <c r="AS498">
        <v>2</v>
      </c>
      <c r="AT498">
        <v>23</v>
      </c>
      <c r="AU498">
        <v>1</v>
      </c>
      <c r="AV498">
        <v>0</v>
      </c>
      <c r="AW498">
        <v>10</v>
      </c>
      <c r="AX498">
        <v>1</v>
      </c>
      <c r="AY498">
        <v>5</v>
      </c>
      <c r="AZ498">
        <v>2</v>
      </c>
      <c r="BA498">
        <v>1</v>
      </c>
      <c r="BB498">
        <v>1440</v>
      </c>
      <c r="BC498">
        <v>0</v>
      </c>
      <c r="BD498">
        <v>0</v>
      </c>
      <c r="BE498">
        <v>14</v>
      </c>
      <c r="BF498">
        <v>25</v>
      </c>
      <c r="BG498">
        <v>3</v>
      </c>
      <c r="BH498">
        <v>8</v>
      </c>
      <c r="BI498">
        <v>3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0</v>
      </c>
      <c r="BQ498">
        <v>60</v>
      </c>
      <c r="BR498">
        <v>0</v>
      </c>
      <c r="BS498">
        <v>3</v>
      </c>
      <c r="BT498" t="s">
        <v>246</v>
      </c>
      <c r="BU498" t="s">
        <v>267</v>
      </c>
      <c r="BV498" t="b">
        <v>0</v>
      </c>
      <c r="BW498" t="s">
        <v>268</v>
      </c>
    </row>
    <row r="499" spans="1:75">
      <c r="A499" t="s">
        <v>246</v>
      </c>
      <c r="B499" t="s">
        <v>252</v>
      </c>
      <c r="C499">
        <v>853</v>
      </c>
      <c r="D499" t="s">
        <v>253</v>
      </c>
      <c r="E499" t="s">
        <v>254</v>
      </c>
      <c r="F499">
        <v>5</v>
      </c>
      <c r="G499" s="13">
        <v>46267.281701388885</v>
      </c>
      <c r="H499" s="13">
        <v>46267.282337962963</v>
      </c>
      <c r="I499">
        <v>55</v>
      </c>
      <c r="J499" t="s">
        <v>255</v>
      </c>
      <c r="K499">
        <v>1</v>
      </c>
      <c r="L499">
        <v>0.01</v>
      </c>
      <c r="M499">
        <v>0.01</v>
      </c>
      <c r="N499">
        <v>1</v>
      </c>
      <c r="O499">
        <v>0.01</v>
      </c>
      <c r="P499">
        <v>0.89</v>
      </c>
      <c r="Q499">
        <v>1.33</v>
      </c>
      <c r="R499">
        <v>1.04</v>
      </c>
      <c r="S499" t="s">
        <v>256</v>
      </c>
      <c r="T499" t="s">
        <v>257</v>
      </c>
      <c r="U499">
        <v>11</v>
      </c>
      <c r="V499">
        <v>7102.44</v>
      </c>
      <c r="W499">
        <v>4999.83</v>
      </c>
      <c r="X499">
        <v>4999.1099999999997</v>
      </c>
      <c r="Y499">
        <v>0</v>
      </c>
      <c r="Z499">
        <v>0</v>
      </c>
      <c r="AA499">
        <v>35</v>
      </c>
      <c r="AB499">
        <v>50</v>
      </c>
      <c r="AC499">
        <v>5000</v>
      </c>
      <c r="AD499">
        <v>0</v>
      </c>
      <c r="AE499">
        <v>0</v>
      </c>
      <c r="AF499">
        <v>7103.61</v>
      </c>
      <c r="AG499">
        <v>7103.61</v>
      </c>
      <c r="AH499" s="14">
        <v>46267</v>
      </c>
      <c r="AI499" t="s">
        <v>266</v>
      </c>
      <c r="AJ499" s="13">
        <v>46265.054768518516</v>
      </c>
      <c r="AK499">
        <v>6763.31</v>
      </c>
      <c r="AL499" t="s">
        <v>259</v>
      </c>
      <c r="AM499" t="s">
        <v>260</v>
      </c>
      <c r="AN499">
        <v>1400</v>
      </c>
      <c r="AO499">
        <v>0</v>
      </c>
      <c r="AP499">
        <v>35</v>
      </c>
      <c r="AQ499">
        <v>85</v>
      </c>
      <c r="AR499">
        <v>35</v>
      </c>
      <c r="AS499">
        <v>2</v>
      </c>
      <c r="AT499">
        <v>23</v>
      </c>
      <c r="AU499">
        <v>1</v>
      </c>
      <c r="AV499">
        <v>0</v>
      </c>
      <c r="AW499">
        <v>10</v>
      </c>
      <c r="AX499">
        <v>1</v>
      </c>
      <c r="AY499">
        <v>5</v>
      </c>
      <c r="AZ499">
        <v>2</v>
      </c>
      <c r="BA499">
        <v>1</v>
      </c>
      <c r="BB499">
        <v>1440</v>
      </c>
      <c r="BC499">
        <v>0</v>
      </c>
      <c r="BD499">
        <v>0</v>
      </c>
      <c r="BE499">
        <v>14</v>
      </c>
      <c r="BF499">
        <v>25</v>
      </c>
      <c r="BG499">
        <v>3</v>
      </c>
      <c r="BH499">
        <v>8</v>
      </c>
      <c r="BI499">
        <v>3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0</v>
      </c>
      <c r="BQ499">
        <v>60</v>
      </c>
      <c r="BR499">
        <v>0</v>
      </c>
      <c r="BS499">
        <v>3</v>
      </c>
      <c r="BT499" t="s">
        <v>246</v>
      </c>
      <c r="BU499" t="s">
        <v>267</v>
      </c>
      <c r="BV499" t="b">
        <v>0</v>
      </c>
      <c r="BW499" t="s">
        <v>268</v>
      </c>
    </row>
    <row r="500" spans="1:75">
      <c r="A500" t="s">
        <v>246</v>
      </c>
      <c r="B500" t="s">
        <v>252</v>
      </c>
      <c r="C500">
        <v>854</v>
      </c>
      <c r="D500" t="s">
        <v>253</v>
      </c>
      <c r="E500" t="s">
        <v>254</v>
      </c>
      <c r="F500">
        <v>5</v>
      </c>
      <c r="G500" s="13">
        <v>46267.286620370367</v>
      </c>
      <c r="H500" s="13">
        <v>46267.288599537038</v>
      </c>
      <c r="I500">
        <v>171</v>
      </c>
      <c r="J500" t="s">
        <v>255</v>
      </c>
      <c r="K500">
        <v>1</v>
      </c>
      <c r="L500">
        <v>0.01</v>
      </c>
      <c r="M500">
        <v>0.01</v>
      </c>
      <c r="N500">
        <v>1</v>
      </c>
      <c r="O500">
        <v>0.01</v>
      </c>
      <c r="P500">
        <v>1.95</v>
      </c>
      <c r="Q500">
        <v>1.32</v>
      </c>
      <c r="R500">
        <v>0.98</v>
      </c>
      <c r="S500" t="s">
        <v>256</v>
      </c>
      <c r="T500" t="s">
        <v>257</v>
      </c>
      <c r="U500">
        <v>11</v>
      </c>
      <c r="V500">
        <v>7103.44</v>
      </c>
      <c r="W500">
        <v>4999.83</v>
      </c>
      <c r="X500">
        <v>4998.05</v>
      </c>
      <c r="Y500">
        <v>0</v>
      </c>
      <c r="Z500">
        <v>0</v>
      </c>
      <c r="AA500">
        <v>35</v>
      </c>
      <c r="AB500">
        <v>50</v>
      </c>
      <c r="AC500">
        <v>5000</v>
      </c>
      <c r="AD500">
        <v>0</v>
      </c>
      <c r="AE500">
        <v>0</v>
      </c>
      <c r="AF500">
        <v>7104.57</v>
      </c>
      <c r="AG500">
        <v>7104.57</v>
      </c>
      <c r="AH500" s="14">
        <v>46267</v>
      </c>
      <c r="AI500" t="s">
        <v>266</v>
      </c>
      <c r="AJ500" s="13">
        <v>46265.054768518516</v>
      </c>
      <c r="AK500">
        <v>6763.31</v>
      </c>
      <c r="AL500" t="s">
        <v>259</v>
      </c>
      <c r="AM500" t="s">
        <v>260</v>
      </c>
      <c r="AN500">
        <v>1400</v>
      </c>
      <c r="AO500">
        <v>0</v>
      </c>
      <c r="AP500">
        <v>35</v>
      </c>
      <c r="AQ500">
        <v>85</v>
      </c>
      <c r="AR500">
        <v>35</v>
      </c>
      <c r="AS500">
        <v>2</v>
      </c>
      <c r="AT500">
        <v>23</v>
      </c>
      <c r="AU500">
        <v>1</v>
      </c>
      <c r="AV500">
        <v>0</v>
      </c>
      <c r="AW500">
        <v>10</v>
      </c>
      <c r="AX500">
        <v>1</v>
      </c>
      <c r="AY500">
        <v>5</v>
      </c>
      <c r="AZ500">
        <v>2</v>
      </c>
      <c r="BA500">
        <v>1</v>
      </c>
      <c r="BB500">
        <v>1440</v>
      </c>
      <c r="BC500">
        <v>0</v>
      </c>
      <c r="BD500">
        <v>0</v>
      </c>
      <c r="BE500">
        <v>14</v>
      </c>
      <c r="BF500">
        <v>25</v>
      </c>
      <c r="BG500">
        <v>3</v>
      </c>
      <c r="BH500">
        <v>8</v>
      </c>
      <c r="BI500">
        <v>3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0</v>
      </c>
      <c r="BQ500">
        <v>60</v>
      </c>
      <c r="BR500">
        <v>0</v>
      </c>
      <c r="BS500">
        <v>3</v>
      </c>
      <c r="BT500" t="s">
        <v>246</v>
      </c>
      <c r="BU500" t="s">
        <v>267</v>
      </c>
      <c r="BV500" t="b">
        <v>0</v>
      </c>
      <c r="BW500" t="s">
        <v>268</v>
      </c>
    </row>
    <row r="501" spans="1:75">
      <c r="A501" t="s">
        <v>246</v>
      </c>
      <c r="B501" t="s">
        <v>252</v>
      </c>
      <c r="C501">
        <v>855</v>
      </c>
      <c r="D501" t="s">
        <v>253</v>
      </c>
      <c r="E501" t="s">
        <v>254</v>
      </c>
      <c r="F501">
        <v>5</v>
      </c>
      <c r="G501" s="13">
        <v>46267.314270833333</v>
      </c>
      <c r="H501" s="13">
        <v>46267.314745370371</v>
      </c>
      <c r="I501">
        <v>41</v>
      </c>
      <c r="J501" t="s">
        <v>255</v>
      </c>
      <c r="K501">
        <v>1</v>
      </c>
      <c r="L501">
        <v>0.01</v>
      </c>
      <c r="M501">
        <v>0.01</v>
      </c>
      <c r="N501">
        <v>1</v>
      </c>
      <c r="O501">
        <v>0.01</v>
      </c>
      <c r="P501">
        <v>0.17</v>
      </c>
      <c r="Q501">
        <v>1.5</v>
      </c>
      <c r="R501">
        <v>1.24</v>
      </c>
      <c r="S501" t="s">
        <v>256</v>
      </c>
      <c r="T501" t="s">
        <v>257</v>
      </c>
      <c r="U501">
        <v>11</v>
      </c>
      <c r="V501">
        <v>7104.4</v>
      </c>
      <c r="W501">
        <v>4999.83</v>
      </c>
      <c r="X501">
        <v>4999.83</v>
      </c>
      <c r="Y501">
        <v>0</v>
      </c>
      <c r="Z501">
        <v>0</v>
      </c>
      <c r="AA501">
        <v>35</v>
      </c>
      <c r="AB501">
        <v>50</v>
      </c>
      <c r="AC501">
        <v>5000</v>
      </c>
      <c r="AD501">
        <v>0</v>
      </c>
      <c r="AE501">
        <v>0</v>
      </c>
      <c r="AF501">
        <v>7105.71</v>
      </c>
      <c r="AG501">
        <v>7105.71</v>
      </c>
      <c r="AH501" s="14">
        <v>46267</v>
      </c>
      <c r="AI501" t="s">
        <v>266</v>
      </c>
      <c r="AJ501" s="13">
        <v>46265.054768518516</v>
      </c>
      <c r="AK501">
        <v>6763.31</v>
      </c>
      <c r="AL501" t="s">
        <v>259</v>
      </c>
      <c r="AM501" t="s">
        <v>260</v>
      </c>
      <c r="AN501">
        <v>1400</v>
      </c>
      <c r="AO501">
        <v>0</v>
      </c>
      <c r="AP501">
        <v>35</v>
      </c>
      <c r="AQ501">
        <v>85</v>
      </c>
      <c r="AR501">
        <v>35</v>
      </c>
      <c r="AS501">
        <v>2</v>
      </c>
      <c r="AT501">
        <v>23</v>
      </c>
      <c r="AU501">
        <v>1</v>
      </c>
      <c r="AV501">
        <v>0</v>
      </c>
      <c r="AW501">
        <v>10</v>
      </c>
      <c r="AX501">
        <v>1</v>
      </c>
      <c r="AY501">
        <v>5</v>
      </c>
      <c r="AZ501">
        <v>2</v>
      </c>
      <c r="BA501">
        <v>1</v>
      </c>
      <c r="BB501">
        <v>1440</v>
      </c>
      <c r="BC501">
        <v>0</v>
      </c>
      <c r="BD501">
        <v>0</v>
      </c>
      <c r="BE501">
        <v>14</v>
      </c>
      <c r="BF501">
        <v>25</v>
      </c>
      <c r="BG501">
        <v>3</v>
      </c>
      <c r="BH501">
        <v>8</v>
      </c>
      <c r="BI501">
        <v>3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0</v>
      </c>
      <c r="BQ501">
        <v>60</v>
      </c>
      <c r="BR501">
        <v>0</v>
      </c>
      <c r="BS501">
        <v>3</v>
      </c>
      <c r="BT501" t="s">
        <v>246</v>
      </c>
      <c r="BU501" t="s">
        <v>267</v>
      </c>
      <c r="BV501" t="b">
        <v>0</v>
      </c>
      <c r="BW501" t="s">
        <v>268</v>
      </c>
    </row>
    <row r="502" spans="1:75">
      <c r="A502" t="s">
        <v>246</v>
      </c>
      <c r="B502" t="s">
        <v>252</v>
      </c>
      <c r="C502">
        <v>856</v>
      </c>
      <c r="D502" t="s">
        <v>253</v>
      </c>
      <c r="E502" t="s">
        <v>254</v>
      </c>
      <c r="F502">
        <v>5</v>
      </c>
      <c r="G502" s="13">
        <v>46267.322164351855</v>
      </c>
      <c r="H502" s="13">
        <v>46267.332939814813</v>
      </c>
      <c r="I502">
        <v>931</v>
      </c>
      <c r="J502" t="s">
        <v>255</v>
      </c>
      <c r="K502">
        <v>1</v>
      </c>
      <c r="L502">
        <v>0.01</v>
      </c>
      <c r="M502">
        <v>0.01</v>
      </c>
      <c r="N502">
        <v>1</v>
      </c>
      <c r="O502">
        <v>0.01</v>
      </c>
      <c r="P502">
        <v>2.29</v>
      </c>
      <c r="Q502">
        <v>1.34</v>
      </c>
      <c r="R502">
        <v>1.33</v>
      </c>
      <c r="S502" t="s">
        <v>256</v>
      </c>
      <c r="T502" t="s">
        <v>257</v>
      </c>
      <c r="U502">
        <v>10</v>
      </c>
      <c r="V502">
        <v>7105.55</v>
      </c>
      <c r="W502">
        <v>4999.84</v>
      </c>
      <c r="X502">
        <v>4997.71</v>
      </c>
      <c r="Y502">
        <v>0</v>
      </c>
      <c r="Z502">
        <v>0</v>
      </c>
      <c r="AA502">
        <v>35</v>
      </c>
      <c r="AB502">
        <v>50</v>
      </c>
      <c r="AC502">
        <v>5000</v>
      </c>
      <c r="AD502">
        <v>0</v>
      </c>
      <c r="AE502">
        <v>0</v>
      </c>
      <c r="AF502">
        <v>7106.7</v>
      </c>
      <c r="AG502">
        <v>7106.7</v>
      </c>
      <c r="AH502" s="14">
        <v>46267</v>
      </c>
      <c r="AI502" t="s">
        <v>266</v>
      </c>
      <c r="AJ502" s="13">
        <v>46265.054768518516</v>
      </c>
      <c r="AK502">
        <v>6763.31</v>
      </c>
      <c r="AL502" t="s">
        <v>259</v>
      </c>
      <c r="AM502" t="s">
        <v>260</v>
      </c>
      <c r="AN502">
        <v>1400</v>
      </c>
      <c r="AO502">
        <v>0</v>
      </c>
      <c r="AP502">
        <v>35</v>
      </c>
      <c r="AQ502">
        <v>85</v>
      </c>
      <c r="AR502">
        <v>35</v>
      </c>
      <c r="AS502">
        <v>2</v>
      </c>
      <c r="AT502">
        <v>23</v>
      </c>
      <c r="AU502">
        <v>1</v>
      </c>
      <c r="AV502">
        <v>0</v>
      </c>
      <c r="AW502">
        <v>10</v>
      </c>
      <c r="AX502">
        <v>1</v>
      </c>
      <c r="AY502">
        <v>5</v>
      </c>
      <c r="AZ502">
        <v>2</v>
      </c>
      <c r="BA502">
        <v>1</v>
      </c>
      <c r="BB502">
        <v>1440</v>
      </c>
      <c r="BC502">
        <v>0</v>
      </c>
      <c r="BD502">
        <v>0</v>
      </c>
      <c r="BE502">
        <v>14</v>
      </c>
      <c r="BF502">
        <v>25</v>
      </c>
      <c r="BG502">
        <v>3</v>
      </c>
      <c r="BH502">
        <v>8</v>
      </c>
      <c r="BI502">
        <v>3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0</v>
      </c>
      <c r="BQ502">
        <v>60</v>
      </c>
      <c r="BR502">
        <v>0</v>
      </c>
      <c r="BS502">
        <v>3</v>
      </c>
      <c r="BT502" t="s">
        <v>246</v>
      </c>
      <c r="BU502" t="s">
        <v>267</v>
      </c>
      <c r="BV502" t="b">
        <v>0</v>
      </c>
      <c r="BW502" t="s">
        <v>268</v>
      </c>
    </row>
    <row r="503" spans="1:75">
      <c r="A503" t="s">
        <v>246</v>
      </c>
      <c r="B503" t="s">
        <v>252</v>
      </c>
      <c r="C503">
        <v>857</v>
      </c>
      <c r="D503" t="s">
        <v>253</v>
      </c>
      <c r="E503" t="s">
        <v>254</v>
      </c>
      <c r="F503">
        <v>5</v>
      </c>
      <c r="G503" s="13">
        <v>46267.342280092591</v>
      </c>
      <c r="H503" s="13">
        <v>46267.342581018522</v>
      </c>
      <c r="I503">
        <v>26</v>
      </c>
      <c r="J503" t="s">
        <v>255</v>
      </c>
      <c r="K503">
        <v>1</v>
      </c>
      <c r="L503">
        <v>0.01</v>
      </c>
      <c r="M503">
        <v>0.01</v>
      </c>
      <c r="N503">
        <v>1</v>
      </c>
      <c r="O503">
        <v>0.01</v>
      </c>
      <c r="P503">
        <v>0.24</v>
      </c>
      <c r="Q503">
        <v>0.88</v>
      </c>
      <c r="R503">
        <v>0.6</v>
      </c>
      <c r="S503" t="s">
        <v>256</v>
      </c>
      <c r="T503" t="s">
        <v>257</v>
      </c>
      <c r="U503">
        <v>11</v>
      </c>
      <c r="V503">
        <v>7106.54</v>
      </c>
      <c r="W503">
        <v>4999.84</v>
      </c>
      <c r="X503">
        <v>4999.76</v>
      </c>
      <c r="Y503">
        <v>0</v>
      </c>
      <c r="Z503">
        <v>0</v>
      </c>
      <c r="AA503">
        <v>35</v>
      </c>
      <c r="AB503">
        <v>50</v>
      </c>
      <c r="AC503">
        <v>5000</v>
      </c>
      <c r="AD503">
        <v>0</v>
      </c>
      <c r="AE503">
        <v>0</v>
      </c>
      <c r="AF503">
        <v>7107.23</v>
      </c>
      <c r="AG503">
        <v>7107.23</v>
      </c>
      <c r="AH503" s="14">
        <v>46267</v>
      </c>
      <c r="AI503" t="s">
        <v>266</v>
      </c>
      <c r="AJ503" s="13">
        <v>46265.054768518516</v>
      </c>
      <c r="AK503">
        <v>6763.31</v>
      </c>
      <c r="AL503" t="s">
        <v>259</v>
      </c>
      <c r="AM503" t="s">
        <v>260</v>
      </c>
      <c r="AN503">
        <v>1400</v>
      </c>
      <c r="AO503">
        <v>0</v>
      </c>
      <c r="AP503">
        <v>35</v>
      </c>
      <c r="AQ503">
        <v>85</v>
      </c>
      <c r="AR503">
        <v>35</v>
      </c>
      <c r="AS503">
        <v>2</v>
      </c>
      <c r="AT503">
        <v>23</v>
      </c>
      <c r="AU503">
        <v>1</v>
      </c>
      <c r="AV503">
        <v>0</v>
      </c>
      <c r="AW503">
        <v>10</v>
      </c>
      <c r="AX503">
        <v>1</v>
      </c>
      <c r="AY503">
        <v>5</v>
      </c>
      <c r="AZ503">
        <v>2</v>
      </c>
      <c r="BA503">
        <v>1</v>
      </c>
      <c r="BB503">
        <v>1440</v>
      </c>
      <c r="BC503">
        <v>0</v>
      </c>
      <c r="BD503">
        <v>0</v>
      </c>
      <c r="BE503">
        <v>14</v>
      </c>
      <c r="BF503">
        <v>25</v>
      </c>
      <c r="BG503">
        <v>3</v>
      </c>
      <c r="BH503">
        <v>8</v>
      </c>
      <c r="BI503">
        <v>3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0</v>
      </c>
      <c r="BQ503">
        <v>60</v>
      </c>
      <c r="BR503">
        <v>0</v>
      </c>
      <c r="BS503">
        <v>3</v>
      </c>
      <c r="BT503" t="s">
        <v>246</v>
      </c>
      <c r="BU503" t="s">
        <v>267</v>
      </c>
      <c r="BV503" t="b">
        <v>0</v>
      </c>
      <c r="BW503" t="s">
        <v>268</v>
      </c>
    </row>
    <row r="504" spans="1:75">
      <c r="A504" t="s">
        <v>246</v>
      </c>
      <c r="B504" t="s">
        <v>252</v>
      </c>
      <c r="C504">
        <v>858</v>
      </c>
      <c r="D504" t="s">
        <v>253</v>
      </c>
      <c r="E504" t="s">
        <v>254</v>
      </c>
      <c r="F504">
        <v>5</v>
      </c>
      <c r="G504" s="13">
        <v>46267.34584490741</v>
      </c>
      <c r="H504" s="13">
        <v>46267.357245370367</v>
      </c>
      <c r="I504">
        <v>985</v>
      </c>
      <c r="J504" t="s">
        <v>255</v>
      </c>
      <c r="K504">
        <v>3</v>
      </c>
      <c r="L504">
        <v>0.03</v>
      </c>
      <c r="M504">
        <v>0.01</v>
      </c>
      <c r="N504">
        <v>3</v>
      </c>
      <c r="O504">
        <v>0.03</v>
      </c>
      <c r="P504">
        <v>6.57</v>
      </c>
      <c r="Q504">
        <v>26.12</v>
      </c>
      <c r="R504">
        <v>21.98</v>
      </c>
      <c r="S504" t="s">
        <v>263</v>
      </c>
      <c r="T504" t="s">
        <v>257</v>
      </c>
      <c r="U504">
        <v>11</v>
      </c>
      <c r="V504">
        <v>7107.06</v>
      </c>
      <c r="W504">
        <v>4999.83</v>
      </c>
      <c r="X504">
        <v>4993.43</v>
      </c>
      <c r="Y504">
        <v>0</v>
      </c>
      <c r="Z504">
        <v>0</v>
      </c>
      <c r="AA504">
        <v>35</v>
      </c>
      <c r="AB504">
        <v>50</v>
      </c>
      <c r="AC504">
        <v>5000</v>
      </c>
      <c r="AD504">
        <v>0</v>
      </c>
      <c r="AE504">
        <v>0</v>
      </c>
      <c r="AF504">
        <v>7129.21</v>
      </c>
      <c r="AG504">
        <v>7129.21</v>
      </c>
      <c r="AH504" s="14">
        <v>46267</v>
      </c>
      <c r="AI504" t="s">
        <v>266</v>
      </c>
      <c r="AJ504" s="13">
        <v>46265.054768518516</v>
      </c>
      <c r="AK504">
        <v>6763.31</v>
      </c>
      <c r="AL504" t="s">
        <v>259</v>
      </c>
      <c r="AM504" t="s">
        <v>260</v>
      </c>
      <c r="AN504">
        <v>1400</v>
      </c>
      <c r="AO504">
        <v>0</v>
      </c>
      <c r="AP504">
        <v>35</v>
      </c>
      <c r="AQ504">
        <v>85</v>
      </c>
      <c r="AR504">
        <v>35</v>
      </c>
      <c r="AS504">
        <v>2</v>
      </c>
      <c r="AT504">
        <v>23</v>
      </c>
      <c r="AU504">
        <v>1</v>
      </c>
      <c r="AV504">
        <v>0</v>
      </c>
      <c r="AW504">
        <v>10</v>
      </c>
      <c r="AX504">
        <v>1</v>
      </c>
      <c r="AY504">
        <v>5</v>
      </c>
      <c r="AZ504">
        <v>2</v>
      </c>
      <c r="BA504">
        <v>1</v>
      </c>
      <c r="BB504">
        <v>1440</v>
      </c>
      <c r="BC504">
        <v>0</v>
      </c>
      <c r="BD504">
        <v>0</v>
      </c>
      <c r="BE504">
        <v>14</v>
      </c>
      <c r="BF504">
        <v>25</v>
      </c>
      <c r="BG504">
        <v>3</v>
      </c>
      <c r="BH504">
        <v>8</v>
      </c>
      <c r="BI504">
        <v>3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0</v>
      </c>
      <c r="BQ504">
        <v>60</v>
      </c>
      <c r="BR504">
        <v>0</v>
      </c>
      <c r="BS504">
        <v>3</v>
      </c>
      <c r="BT504" t="s">
        <v>246</v>
      </c>
      <c r="BU504" t="s">
        <v>267</v>
      </c>
      <c r="BV504" t="b">
        <v>0</v>
      </c>
      <c r="BW504" t="s">
        <v>268</v>
      </c>
    </row>
    <row r="505" spans="1:75">
      <c r="A505" t="s">
        <v>246</v>
      </c>
      <c r="B505" t="s">
        <v>252</v>
      </c>
      <c r="C505">
        <v>859</v>
      </c>
      <c r="D505" t="s">
        <v>253</v>
      </c>
      <c r="E505" t="s">
        <v>254</v>
      </c>
      <c r="F505">
        <v>5</v>
      </c>
      <c r="G505" s="13">
        <v>46267.35864583333</v>
      </c>
      <c r="H505" s="13">
        <v>46267.359895833331</v>
      </c>
      <c r="I505">
        <v>108</v>
      </c>
      <c r="J505" t="s">
        <v>264</v>
      </c>
      <c r="K505">
        <v>1</v>
      </c>
      <c r="L505">
        <v>0.01</v>
      </c>
      <c r="M505">
        <v>0.01</v>
      </c>
      <c r="N505">
        <v>1</v>
      </c>
      <c r="O505">
        <v>0.01</v>
      </c>
      <c r="P505">
        <v>1.17</v>
      </c>
      <c r="Q505">
        <v>2.35</v>
      </c>
      <c r="R505">
        <v>2.35</v>
      </c>
      <c r="S505" t="s">
        <v>256</v>
      </c>
      <c r="T505" t="s">
        <v>257</v>
      </c>
      <c r="U505">
        <v>11</v>
      </c>
      <c r="V505">
        <v>7129.04</v>
      </c>
      <c r="W505">
        <v>4999.83</v>
      </c>
      <c r="X505">
        <v>4998.83</v>
      </c>
      <c r="Y505">
        <v>0</v>
      </c>
      <c r="Z505">
        <v>0</v>
      </c>
      <c r="AA505">
        <v>35</v>
      </c>
      <c r="AB505">
        <v>50</v>
      </c>
      <c r="AC505">
        <v>5000</v>
      </c>
      <c r="AD505">
        <v>0</v>
      </c>
      <c r="AE505">
        <v>0</v>
      </c>
      <c r="AF505">
        <v>7131.21</v>
      </c>
      <c r="AG505">
        <v>7131.21</v>
      </c>
      <c r="AH505" s="14">
        <v>46267</v>
      </c>
      <c r="AI505" t="s">
        <v>266</v>
      </c>
      <c r="AJ505" s="13">
        <v>46265.054768518516</v>
      </c>
      <c r="AK505">
        <v>6763.31</v>
      </c>
      <c r="AL505" t="s">
        <v>259</v>
      </c>
      <c r="AM505" t="s">
        <v>260</v>
      </c>
      <c r="AN505">
        <v>1400</v>
      </c>
      <c r="AO505">
        <v>0</v>
      </c>
      <c r="AP505">
        <v>35</v>
      </c>
      <c r="AQ505">
        <v>85</v>
      </c>
      <c r="AR505">
        <v>35</v>
      </c>
      <c r="AS505">
        <v>2</v>
      </c>
      <c r="AT505">
        <v>23</v>
      </c>
      <c r="AU505">
        <v>1</v>
      </c>
      <c r="AV505">
        <v>0</v>
      </c>
      <c r="AW505">
        <v>10</v>
      </c>
      <c r="AX505">
        <v>1</v>
      </c>
      <c r="AY505">
        <v>5</v>
      </c>
      <c r="AZ505">
        <v>2</v>
      </c>
      <c r="BA505">
        <v>1</v>
      </c>
      <c r="BB505">
        <v>1440</v>
      </c>
      <c r="BC505">
        <v>0</v>
      </c>
      <c r="BD505">
        <v>0</v>
      </c>
      <c r="BE505">
        <v>14</v>
      </c>
      <c r="BF505">
        <v>25</v>
      </c>
      <c r="BG505">
        <v>3</v>
      </c>
      <c r="BH505">
        <v>8</v>
      </c>
      <c r="BI505">
        <v>3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0</v>
      </c>
      <c r="BQ505">
        <v>60</v>
      </c>
      <c r="BR505">
        <v>0</v>
      </c>
      <c r="BS505">
        <v>3</v>
      </c>
      <c r="BT505" t="s">
        <v>246</v>
      </c>
      <c r="BU505" t="s">
        <v>267</v>
      </c>
      <c r="BV505" t="b">
        <v>0</v>
      </c>
      <c r="BW505" t="s">
        <v>268</v>
      </c>
    </row>
    <row r="506" spans="1:75">
      <c r="A506" t="s">
        <v>246</v>
      </c>
      <c r="B506" t="s">
        <v>252</v>
      </c>
      <c r="C506">
        <v>860</v>
      </c>
      <c r="D506" t="s">
        <v>253</v>
      </c>
      <c r="E506" t="s">
        <v>254</v>
      </c>
      <c r="F506">
        <v>5</v>
      </c>
      <c r="G506" s="13">
        <v>46267.362395833334</v>
      </c>
      <c r="H506" s="13">
        <v>46267.362800925926</v>
      </c>
      <c r="I506">
        <v>35</v>
      </c>
      <c r="J506" t="s">
        <v>255</v>
      </c>
      <c r="K506">
        <v>1</v>
      </c>
      <c r="L506">
        <v>0.01</v>
      </c>
      <c r="M506">
        <v>0.01</v>
      </c>
      <c r="N506">
        <v>1</v>
      </c>
      <c r="O506">
        <v>0.01</v>
      </c>
      <c r="P506">
        <v>0.33</v>
      </c>
      <c r="Q506">
        <v>1.31</v>
      </c>
      <c r="R506">
        <v>1.26</v>
      </c>
      <c r="S506" t="s">
        <v>256</v>
      </c>
      <c r="T506" t="s">
        <v>257</v>
      </c>
      <c r="U506">
        <v>10</v>
      </c>
      <c r="V506">
        <v>7131.04</v>
      </c>
      <c r="W506">
        <v>4999.83</v>
      </c>
      <c r="X506">
        <v>4999.67</v>
      </c>
      <c r="Y506">
        <v>0</v>
      </c>
      <c r="Z506">
        <v>0</v>
      </c>
      <c r="AA506">
        <v>35</v>
      </c>
      <c r="AB506">
        <v>50</v>
      </c>
      <c r="AC506">
        <v>5000</v>
      </c>
      <c r="AD506">
        <v>0</v>
      </c>
      <c r="AE506">
        <v>0</v>
      </c>
      <c r="AF506">
        <v>7132.17</v>
      </c>
      <c r="AG506">
        <v>7132.17</v>
      </c>
      <c r="AH506" s="14">
        <v>46267</v>
      </c>
      <c r="AI506" t="s">
        <v>266</v>
      </c>
      <c r="AJ506" s="13">
        <v>46265.054768518516</v>
      </c>
      <c r="AK506">
        <v>6763.31</v>
      </c>
      <c r="AL506" t="s">
        <v>259</v>
      </c>
      <c r="AM506" t="s">
        <v>260</v>
      </c>
      <c r="AN506">
        <v>1400</v>
      </c>
      <c r="AO506">
        <v>0</v>
      </c>
      <c r="AP506">
        <v>35</v>
      </c>
      <c r="AQ506">
        <v>85</v>
      </c>
      <c r="AR506">
        <v>35</v>
      </c>
      <c r="AS506">
        <v>2</v>
      </c>
      <c r="AT506">
        <v>23</v>
      </c>
      <c r="AU506">
        <v>1</v>
      </c>
      <c r="AV506">
        <v>0</v>
      </c>
      <c r="AW506">
        <v>10</v>
      </c>
      <c r="AX506">
        <v>1</v>
      </c>
      <c r="AY506">
        <v>5</v>
      </c>
      <c r="AZ506">
        <v>2</v>
      </c>
      <c r="BA506">
        <v>1</v>
      </c>
      <c r="BB506">
        <v>1440</v>
      </c>
      <c r="BC506">
        <v>0</v>
      </c>
      <c r="BD506">
        <v>0</v>
      </c>
      <c r="BE506">
        <v>14</v>
      </c>
      <c r="BF506">
        <v>25</v>
      </c>
      <c r="BG506">
        <v>3</v>
      </c>
      <c r="BH506">
        <v>8</v>
      </c>
      <c r="BI506">
        <v>3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0</v>
      </c>
      <c r="BQ506">
        <v>60</v>
      </c>
      <c r="BR506">
        <v>0</v>
      </c>
      <c r="BS506">
        <v>3</v>
      </c>
      <c r="BT506" t="s">
        <v>246</v>
      </c>
      <c r="BU506" t="s">
        <v>267</v>
      </c>
      <c r="BV506" t="b">
        <v>0</v>
      </c>
      <c r="BW506" t="s">
        <v>268</v>
      </c>
    </row>
    <row r="507" spans="1:75">
      <c r="A507" t="s">
        <v>246</v>
      </c>
      <c r="B507" t="s">
        <v>252</v>
      </c>
      <c r="C507">
        <v>861</v>
      </c>
      <c r="D507" t="s">
        <v>253</v>
      </c>
      <c r="E507" t="s">
        <v>254</v>
      </c>
      <c r="F507">
        <v>5</v>
      </c>
      <c r="G507" s="13">
        <v>46267.367974537039</v>
      </c>
      <c r="H507" s="13">
        <v>46267.385162037041</v>
      </c>
      <c r="I507">
        <v>1485</v>
      </c>
      <c r="J507" t="s">
        <v>255</v>
      </c>
      <c r="K507">
        <v>3</v>
      </c>
      <c r="L507">
        <v>0.03</v>
      </c>
      <c r="M507">
        <v>0.01</v>
      </c>
      <c r="N507">
        <v>3</v>
      </c>
      <c r="O507">
        <v>0.03</v>
      </c>
      <c r="P507">
        <v>8.4600000000000009</v>
      </c>
      <c r="Q507">
        <v>10.55</v>
      </c>
      <c r="R507">
        <v>7.37</v>
      </c>
      <c r="S507" t="s">
        <v>263</v>
      </c>
      <c r="T507" t="s">
        <v>257</v>
      </c>
      <c r="U507">
        <v>10</v>
      </c>
      <c r="V507">
        <v>7132.01</v>
      </c>
      <c r="W507">
        <v>4999.84</v>
      </c>
      <c r="X507">
        <v>4991.54</v>
      </c>
      <c r="Y507">
        <v>0</v>
      </c>
      <c r="Z507">
        <v>0</v>
      </c>
      <c r="AA507">
        <v>35</v>
      </c>
      <c r="AB507">
        <v>50</v>
      </c>
      <c r="AC507">
        <v>5000</v>
      </c>
      <c r="AD507">
        <v>0</v>
      </c>
      <c r="AE507">
        <v>0</v>
      </c>
      <c r="AF507">
        <v>7139.52</v>
      </c>
      <c r="AG507">
        <v>7139.52</v>
      </c>
      <c r="AH507" s="14">
        <v>46267</v>
      </c>
      <c r="AI507" t="s">
        <v>266</v>
      </c>
      <c r="AJ507" s="13">
        <v>46265.054768518516</v>
      </c>
      <c r="AK507">
        <v>6763.31</v>
      </c>
      <c r="AL507" t="s">
        <v>259</v>
      </c>
      <c r="AM507" t="s">
        <v>260</v>
      </c>
      <c r="AN507">
        <v>1400</v>
      </c>
      <c r="AO507">
        <v>0</v>
      </c>
      <c r="AP507">
        <v>35</v>
      </c>
      <c r="AQ507">
        <v>85</v>
      </c>
      <c r="AR507">
        <v>35</v>
      </c>
      <c r="AS507">
        <v>2</v>
      </c>
      <c r="AT507">
        <v>23</v>
      </c>
      <c r="AU507">
        <v>1</v>
      </c>
      <c r="AV507">
        <v>0</v>
      </c>
      <c r="AW507">
        <v>10</v>
      </c>
      <c r="AX507">
        <v>1</v>
      </c>
      <c r="AY507">
        <v>5</v>
      </c>
      <c r="AZ507">
        <v>2</v>
      </c>
      <c r="BA507">
        <v>1</v>
      </c>
      <c r="BB507">
        <v>1440</v>
      </c>
      <c r="BC507">
        <v>0</v>
      </c>
      <c r="BD507">
        <v>0</v>
      </c>
      <c r="BE507">
        <v>14</v>
      </c>
      <c r="BF507">
        <v>25</v>
      </c>
      <c r="BG507">
        <v>3</v>
      </c>
      <c r="BH507">
        <v>8</v>
      </c>
      <c r="BI507">
        <v>3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0</v>
      </c>
      <c r="BQ507">
        <v>60</v>
      </c>
      <c r="BR507">
        <v>0</v>
      </c>
      <c r="BS507">
        <v>3</v>
      </c>
      <c r="BT507" t="s">
        <v>246</v>
      </c>
      <c r="BU507" t="s">
        <v>267</v>
      </c>
      <c r="BV507" t="b">
        <v>0</v>
      </c>
      <c r="BW507" t="s">
        <v>268</v>
      </c>
    </row>
    <row r="508" spans="1:75">
      <c r="A508" t="s">
        <v>246</v>
      </c>
      <c r="B508" t="s">
        <v>252</v>
      </c>
      <c r="C508">
        <v>862</v>
      </c>
      <c r="D508" t="s">
        <v>253</v>
      </c>
      <c r="E508" t="s">
        <v>254</v>
      </c>
      <c r="F508">
        <v>5</v>
      </c>
      <c r="G508" s="13">
        <v>46267.386666666665</v>
      </c>
      <c r="H508" s="13">
        <v>46267.387442129628</v>
      </c>
      <c r="I508">
        <v>67</v>
      </c>
      <c r="J508" t="s">
        <v>264</v>
      </c>
      <c r="K508">
        <v>1</v>
      </c>
      <c r="L508">
        <v>0.01</v>
      </c>
      <c r="M508">
        <v>0.01</v>
      </c>
      <c r="N508">
        <v>1</v>
      </c>
      <c r="O508">
        <v>0.01</v>
      </c>
      <c r="P508">
        <v>0.54</v>
      </c>
      <c r="Q508">
        <v>0.81</v>
      </c>
      <c r="R508">
        <v>0.78</v>
      </c>
      <c r="S508" t="s">
        <v>256</v>
      </c>
      <c r="T508" t="s">
        <v>257</v>
      </c>
      <c r="U508">
        <v>10</v>
      </c>
      <c r="V508">
        <v>7139.35</v>
      </c>
      <c r="W508">
        <v>4999.83</v>
      </c>
      <c r="X508">
        <v>4999.46</v>
      </c>
      <c r="Y508">
        <v>0</v>
      </c>
      <c r="Z508">
        <v>0</v>
      </c>
      <c r="AA508">
        <v>35</v>
      </c>
      <c r="AB508">
        <v>50</v>
      </c>
      <c r="AC508">
        <v>5000</v>
      </c>
      <c r="AD508">
        <v>0</v>
      </c>
      <c r="AE508">
        <v>0</v>
      </c>
      <c r="AF508">
        <v>7139.98</v>
      </c>
      <c r="AG508">
        <v>7139.98</v>
      </c>
      <c r="AH508" s="14">
        <v>46267</v>
      </c>
      <c r="AI508" t="s">
        <v>266</v>
      </c>
      <c r="AJ508" s="13">
        <v>46265.054768518516</v>
      </c>
      <c r="AK508">
        <v>6763.31</v>
      </c>
      <c r="AL508" t="s">
        <v>259</v>
      </c>
      <c r="AM508" t="s">
        <v>260</v>
      </c>
      <c r="AN508">
        <v>1400</v>
      </c>
      <c r="AO508">
        <v>0</v>
      </c>
      <c r="AP508">
        <v>35</v>
      </c>
      <c r="AQ508">
        <v>85</v>
      </c>
      <c r="AR508">
        <v>35</v>
      </c>
      <c r="AS508">
        <v>2</v>
      </c>
      <c r="AT508">
        <v>23</v>
      </c>
      <c r="AU508">
        <v>1</v>
      </c>
      <c r="AV508">
        <v>0</v>
      </c>
      <c r="AW508">
        <v>10</v>
      </c>
      <c r="AX508">
        <v>1</v>
      </c>
      <c r="AY508">
        <v>5</v>
      </c>
      <c r="AZ508">
        <v>2</v>
      </c>
      <c r="BA508">
        <v>1</v>
      </c>
      <c r="BB508">
        <v>1440</v>
      </c>
      <c r="BC508">
        <v>0</v>
      </c>
      <c r="BD508">
        <v>0</v>
      </c>
      <c r="BE508">
        <v>14</v>
      </c>
      <c r="BF508">
        <v>25</v>
      </c>
      <c r="BG508">
        <v>3</v>
      </c>
      <c r="BH508">
        <v>8</v>
      </c>
      <c r="BI508">
        <v>3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0</v>
      </c>
      <c r="BQ508">
        <v>60</v>
      </c>
      <c r="BR508">
        <v>0</v>
      </c>
      <c r="BS508">
        <v>3</v>
      </c>
      <c r="BT508" t="s">
        <v>246</v>
      </c>
      <c r="BU508" t="s">
        <v>267</v>
      </c>
      <c r="BV508" t="b">
        <v>0</v>
      </c>
      <c r="BW508" t="s">
        <v>268</v>
      </c>
    </row>
    <row r="509" spans="1:75">
      <c r="A509" t="s">
        <v>246</v>
      </c>
      <c r="B509" t="s">
        <v>252</v>
      </c>
      <c r="C509">
        <v>863</v>
      </c>
      <c r="D509" t="s">
        <v>253</v>
      </c>
      <c r="E509" t="s">
        <v>254</v>
      </c>
      <c r="F509">
        <v>5</v>
      </c>
      <c r="G509" s="13">
        <v>46267.390625</v>
      </c>
      <c r="H509" s="13">
        <v>46267.399016203701</v>
      </c>
      <c r="I509">
        <v>725</v>
      </c>
      <c r="J509" t="s">
        <v>264</v>
      </c>
      <c r="K509">
        <v>3</v>
      </c>
      <c r="L509">
        <v>0.03</v>
      </c>
      <c r="M509">
        <v>0.01</v>
      </c>
      <c r="N509">
        <v>3</v>
      </c>
      <c r="O509">
        <v>0.03</v>
      </c>
      <c r="P509">
        <v>5.98</v>
      </c>
      <c r="Q509">
        <v>9.1999999999999993</v>
      </c>
      <c r="R509">
        <v>6.92</v>
      </c>
      <c r="S509" t="s">
        <v>263</v>
      </c>
      <c r="T509" t="s">
        <v>257</v>
      </c>
      <c r="U509">
        <v>11</v>
      </c>
      <c r="V509">
        <v>7139.81</v>
      </c>
      <c r="W509">
        <v>4999.83</v>
      </c>
      <c r="X509">
        <v>4994.0200000000004</v>
      </c>
      <c r="Y509">
        <v>0</v>
      </c>
      <c r="Z509">
        <v>0</v>
      </c>
      <c r="AA509">
        <v>35</v>
      </c>
      <c r="AB509">
        <v>50</v>
      </c>
      <c r="AC509">
        <v>5000</v>
      </c>
      <c r="AD509">
        <v>0</v>
      </c>
      <c r="AE509">
        <v>0</v>
      </c>
      <c r="AF509">
        <v>7146.9</v>
      </c>
      <c r="AG509">
        <v>7146.9</v>
      </c>
      <c r="AH509" s="14">
        <v>46267</v>
      </c>
      <c r="AI509" t="s">
        <v>266</v>
      </c>
      <c r="AJ509" s="13">
        <v>46265.054768518516</v>
      </c>
      <c r="AK509">
        <v>6763.31</v>
      </c>
      <c r="AL509" t="s">
        <v>259</v>
      </c>
      <c r="AM509" t="s">
        <v>260</v>
      </c>
      <c r="AN509">
        <v>1400</v>
      </c>
      <c r="AO509">
        <v>0</v>
      </c>
      <c r="AP509">
        <v>35</v>
      </c>
      <c r="AQ509">
        <v>85</v>
      </c>
      <c r="AR509">
        <v>35</v>
      </c>
      <c r="AS509">
        <v>2</v>
      </c>
      <c r="AT509">
        <v>23</v>
      </c>
      <c r="AU509">
        <v>1</v>
      </c>
      <c r="AV509">
        <v>0</v>
      </c>
      <c r="AW509">
        <v>10</v>
      </c>
      <c r="AX509">
        <v>1</v>
      </c>
      <c r="AY509">
        <v>5</v>
      </c>
      <c r="AZ509">
        <v>2</v>
      </c>
      <c r="BA509">
        <v>1</v>
      </c>
      <c r="BB509">
        <v>1440</v>
      </c>
      <c r="BC509">
        <v>0</v>
      </c>
      <c r="BD509">
        <v>0</v>
      </c>
      <c r="BE509">
        <v>14</v>
      </c>
      <c r="BF509">
        <v>25</v>
      </c>
      <c r="BG509">
        <v>3</v>
      </c>
      <c r="BH509">
        <v>8</v>
      </c>
      <c r="BI509">
        <v>3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0</v>
      </c>
      <c r="BQ509">
        <v>60</v>
      </c>
      <c r="BR509">
        <v>0</v>
      </c>
      <c r="BS509">
        <v>3</v>
      </c>
      <c r="BT509" t="s">
        <v>246</v>
      </c>
      <c r="BU509" t="s">
        <v>267</v>
      </c>
      <c r="BV509" t="b">
        <v>0</v>
      </c>
      <c r="BW509" t="s">
        <v>268</v>
      </c>
    </row>
    <row r="510" spans="1:75">
      <c r="A510" t="s">
        <v>246</v>
      </c>
      <c r="B510" t="s">
        <v>252</v>
      </c>
      <c r="C510">
        <v>864</v>
      </c>
      <c r="D510" t="s">
        <v>253</v>
      </c>
      <c r="E510" t="s">
        <v>254</v>
      </c>
      <c r="F510">
        <v>5</v>
      </c>
      <c r="G510" s="13">
        <v>46267.40179398148</v>
      </c>
      <c r="H510" s="13">
        <v>46267.402604166666</v>
      </c>
      <c r="I510">
        <v>70</v>
      </c>
      <c r="J510" t="s">
        <v>255</v>
      </c>
      <c r="K510">
        <v>1</v>
      </c>
      <c r="L510">
        <v>0.01</v>
      </c>
      <c r="M510">
        <v>0.01</v>
      </c>
      <c r="N510">
        <v>1</v>
      </c>
      <c r="O510">
        <v>0.01</v>
      </c>
      <c r="P510">
        <v>0.67</v>
      </c>
      <c r="Q510">
        <v>2.5099999999999998</v>
      </c>
      <c r="R510">
        <v>2.38</v>
      </c>
      <c r="S510" t="s">
        <v>256</v>
      </c>
      <c r="T510" t="s">
        <v>257</v>
      </c>
      <c r="U510">
        <v>11</v>
      </c>
      <c r="V510">
        <v>7146.73</v>
      </c>
      <c r="W510">
        <v>4999.83</v>
      </c>
      <c r="X510">
        <v>4999.33</v>
      </c>
      <c r="Y510">
        <v>0</v>
      </c>
      <c r="Z510">
        <v>0</v>
      </c>
      <c r="AA510">
        <v>35</v>
      </c>
      <c r="AB510">
        <v>50</v>
      </c>
      <c r="AC510">
        <v>5000</v>
      </c>
      <c r="AD510">
        <v>0</v>
      </c>
      <c r="AE510">
        <v>0</v>
      </c>
      <c r="AF510">
        <v>7149.06</v>
      </c>
      <c r="AG510">
        <v>7149.06</v>
      </c>
      <c r="AH510" s="14">
        <v>46267</v>
      </c>
      <c r="AI510" t="s">
        <v>266</v>
      </c>
      <c r="AJ510" s="13">
        <v>46265.054768518516</v>
      </c>
      <c r="AK510">
        <v>6763.31</v>
      </c>
      <c r="AL510" t="s">
        <v>259</v>
      </c>
      <c r="AM510" t="s">
        <v>260</v>
      </c>
      <c r="AN510">
        <v>1400</v>
      </c>
      <c r="AO510">
        <v>0</v>
      </c>
      <c r="AP510">
        <v>35</v>
      </c>
      <c r="AQ510">
        <v>85</v>
      </c>
      <c r="AR510">
        <v>35</v>
      </c>
      <c r="AS510">
        <v>2</v>
      </c>
      <c r="AT510">
        <v>23</v>
      </c>
      <c r="AU510">
        <v>1</v>
      </c>
      <c r="AV510">
        <v>0</v>
      </c>
      <c r="AW510">
        <v>10</v>
      </c>
      <c r="AX510">
        <v>1</v>
      </c>
      <c r="AY510">
        <v>5</v>
      </c>
      <c r="AZ510">
        <v>2</v>
      </c>
      <c r="BA510">
        <v>1</v>
      </c>
      <c r="BB510">
        <v>1440</v>
      </c>
      <c r="BC510">
        <v>0</v>
      </c>
      <c r="BD510">
        <v>0</v>
      </c>
      <c r="BE510">
        <v>14</v>
      </c>
      <c r="BF510">
        <v>25</v>
      </c>
      <c r="BG510">
        <v>3</v>
      </c>
      <c r="BH510">
        <v>8</v>
      </c>
      <c r="BI510">
        <v>3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0</v>
      </c>
      <c r="BQ510">
        <v>60</v>
      </c>
      <c r="BR510">
        <v>0</v>
      </c>
      <c r="BS510">
        <v>3</v>
      </c>
      <c r="BT510" t="s">
        <v>246</v>
      </c>
      <c r="BU510" t="s">
        <v>267</v>
      </c>
      <c r="BV510" t="b">
        <v>0</v>
      </c>
      <c r="BW510" t="s">
        <v>268</v>
      </c>
    </row>
    <row r="511" spans="1:75">
      <c r="A511" t="s">
        <v>246</v>
      </c>
      <c r="B511" t="s">
        <v>252</v>
      </c>
      <c r="C511">
        <v>865</v>
      </c>
      <c r="D511" t="s">
        <v>253</v>
      </c>
      <c r="E511" t="s">
        <v>254</v>
      </c>
      <c r="F511">
        <v>5</v>
      </c>
      <c r="G511" s="13">
        <v>46267.404189814813</v>
      </c>
      <c r="H511" s="13">
        <v>46267.4221875</v>
      </c>
      <c r="I511">
        <v>1555</v>
      </c>
      <c r="J511" t="s">
        <v>255</v>
      </c>
      <c r="K511">
        <v>4</v>
      </c>
      <c r="L511">
        <v>0.04</v>
      </c>
      <c r="M511">
        <v>0.01</v>
      </c>
      <c r="N511">
        <v>4</v>
      </c>
      <c r="O511">
        <v>0.04</v>
      </c>
      <c r="P511">
        <v>11.95</v>
      </c>
      <c r="Q511">
        <v>14.42</v>
      </c>
      <c r="R511">
        <v>12.3</v>
      </c>
      <c r="S511" t="s">
        <v>263</v>
      </c>
      <c r="T511" t="s">
        <v>257</v>
      </c>
      <c r="U511">
        <v>10</v>
      </c>
      <c r="V511">
        <v>7148.9</v>
      </c>
      <c r="W511">
        <v>4999.84</v>
      </c>
      <c r="X511">
        <v>4988.05</v>
      </c>
      <c r="Y511">
        <v>0</v>
      </c>
      <c r="Z511">
        <v>0</v>
      </c>
      <c r="AA511">
        <v>35</v>
      </c>
      <c r="AB511">
        <v>50</v>
      </c>
      <c r="AC511">
        <v>5000</v>
      </c>
      <c r="AD511">
        <v>0</v>
      </c>
      <c r="AE511">
        <v>0</v>
      </c>
      <c r="AF511">
        <v>7160.87</v>
      </c>
      <c r="AG511">
        <v>7160.87</v>
      </c>
      <c r="AH511" s="14">
        <v>46267</v>
      </c>
      <c r="AI511" t="s">
        <v>266</v>
      </c>
      <c r="AJ511" s="13">
        <v>46265.054768518516</v>
      </c>
      <c r="AK511">
        <v>6763.31</v>
      </c>
      <c r="AL511" t="s">
        <v>259</v>
      </c>
      <c r="AM511" t="s">
        <v>260</v>
      </c>
      <c r="AN511">
        <v>1400</v>
      </c>
      <c r="AO511">
        <v>0</v>
      </c>
      <c r="AP511">
        <v>35</v>
      </c>
      <c r="AQ511">
        <v>85</v>
      </c>
      <c r="AR511">
        <v>35</v>
      </c>
      <c r="AS511">
        <v>2</v>
      </c>
      <c r="AT511">
        <v>23</v>
      </c>
      <c r="AU511">
        <v>1</v>
      </c>
      <c r="AV511">
        <v>0</v>
      </c>
      <c r="AW511">
        <v>10</v>
      </c>
      <c r="AX511">
        <v>1</v>
      </c>
      <c r="AY511">
        <v>5</v>
      </c>
      <c r="AZ511">
        <v>2</v>
      </c>
      <c r="BA511">
        <v>1</v>
      </c>
      <c r="BB511">
        <v>1440</v>
      </c>
      <c r="BC511">
        <v>0</v>
      </c>
      <c r="BD511">
        <v>0</v>
      </c>
      <c r="BE511">
        <v>14</v>
      </c>
      <c r="BF511">
        <v>25</v>
      </c>
      <c r="BG511">
        <v>3</v>
      </c>
      <c r="BH511">
        <v>8</v>
      </c>
      <c r="BI511">
        <v>3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0</v>
      </c>
      <c r="BQ511">
        <v>60</v>
      </c>
      <c r="BR511">
        <v>0</v>
      </c>
      <c r="BS511">
        <v>3</v>
      </c>
      <c r="BT511" t="s">
        <v>246</v>
      </c>
      <c r="BU511" t="s">
        <v>267</v>
      </c>
      <c r="BV511" t="b">
        <v>0</v>
      </c>
      <c r="BW511" t="s">
        <v>268</v>
      </c>
    </row>
    <row r="512" spans="1:75">
      <c r="A512" t="s">
        <v>246</v>
      </c>
      <c r="B512" t="s">
        <v>252</v>
      </c>
      <c r="C512">
        <v>866</v>
      </c>
      <c r="D512" t="s">
        <v>253</v>
      </c>
      <c r="E512" t="s">
        <v>254</v>
      </c>
      <c r="F512">
        <v>5</v>
      </c>
      <c r="G512" s="13">
        <v>46267.423993055556</v>
      </c>
      <c r="H512" s="13">
        <v>46267.443564814814</v>
      </c>
      <c r="I512">
        <v>1691</v>
      </c>
      <c r="J512" t="s">
        <v>255</v>
      </c>
      <c r="K512">
        <v>5</v>
      </c>
      <c r="L512">
        <v>0.05</v>
      </c>
      <c r="M512">
        <v>0.01</v>
      </c>
      <c r="N512">
        <v>5</v>
      </c>
      <c r="O512">
        <v>0.05</v>
      </c>
      <c r="P512">
        <v>11.86</v>
      </c>
      <c r="Q512">
        <v>9.67</v>
      </c>
      <c r="R512">
        <v>4.72</v>
      </c>
      <c r="S512" t="s">
        <v>263</v>
      </c>
      <c r="T512" t="s">
        <v>257</v>
      </c>
      <c r="U512">
        <v>10</v>
      </c>
      <c r="V512">
        <v>7160.71</v>
      </c>
      <c r="W512">
        <v>4999.84</v>
      </c>
      <c r="X512">
        <v>4988.1400000000003</v>
      </c>
      <c r="Y512">
        <v>0</v>
      </c>
      <c r="Z512">
        <v>0</v>
      </c>
      <c r="AA512">
        <v>35</v>
      </c>
      <c r="AB512">
        <v>50</v>
      </c>
      <c r="AC512">
        <v>5000</v>
      </c>
      <c r="AD512">
        <v>0</v>
      </c>
      <c r="AE512">
        <v>0</v>
      </c>
      <c r="AF512">
        <v>7165.76</v>
      </c>
      <c r="AG512">
        <v>7165.76</v>
      </c>
      <c r="AH512" s="14">
        <v>46267</v>
      </c>
      <c r="AI512" t="s">
        <v>266</v>
      </c>
      <c r="AJ512" s="13">
        <v>46265.054768518516</v>
      </c>
      <c r="AK512">
        <v>6763.31</v>
      </c>
      <c r="AL512" t="s">
        <v>259</v>
      </c>
      <c r="AM512" t="s">
        <v>260</v>
      </c>
      <c r="AN512">
        <v>1400</v>
      </c>
      <c r="AO512">
        <v>0</v>
      </c>
      <c r="AP512">
        <v>35</v>
      </c>
      <c r="AQ512">
        <v>85</v>
      </c>
      <c r="AR512">
        <v>35</v>
      </c>
      <c r="AS512">
        <v>2</v>
      </c>
      <c r="AT512">
        <v>23</v>
      </c>
      <c r="AU512">
        <v>1</v>
      </c>
      <c r="AV512">
        <v>0</v>
      </c>
      <c r="AW512">
        <v>10</v>
      </c>
      <c r="AX512">
        <v>1</v>
      </c>
      <c r="AY512">
        <v>5</v>
      </c>
      <c r="AZ512">
        <v>2</v>
      </c>
      <c r="BA512">
        <v>1</v>
      </c>
      <c r="BB512">
        <v>1440</v>
      </c>
      <c r="BC512">
        <v>0</v>
      </c>
      <c r="BD512">
        <v>0</v>
      </c>
      <c r="BE512">
        <v>14</v>
      </c>
      <c r="BF512">
        <v>25</v>
      </c>
      <c r="BG512">
        <v>3</v>
      </c>
      <c r="BH512">
        <v>8</v>
      </c>
      <c r="BI512">
        <v>3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0</v>
      </c>
      <c r="BQ512">
        <v>60</v>
      </c>
      <c r="BR512">
        <v>0</v>
      </c>
      <c r="BS512">
        <v>3</v>
      </c>
      <c r="BT512" t="s">
        <v>246</v>
      </c>
      <c r="BU512" t="s">
        <v>267</v>
      </c>
      <c r="BV512" t="b">
        <v>0</v>
      </c>
      <c r="BW512" t="s">
        <v>268</v>
      </c>
    </row>
    <row r="513" spans="1:75">
      <c r="A513" t="s">
        <v>246</v>
      </c>
      <c r="B513" t="s">
        <v>252</v>
      </c>
      <c r="C513">
        <v>867</v>
      </c>
      <c r="D513" t="s">
        <v>253</v>
      </c>
      <c r="E513" t="s">
        <v>254</v>
      </c>
      <c r="F513">
        <v>5</v>
      </c>
      <c r="G513" s="13">
        <v>46267.447141203702</v>
      </c>
      <c r="H513" s="13">
        <v>46267.447569444441</v>
      </c>
      <c r="I513">
        <v>37</v>
      </c>
      <c r="J513" t="s">
        <v>264</v>
      </c>
      <c r="K513">
        <v>1</v>
      </c>
      <c r="L513">
        <v>0.01</v>
      </c>
      <c r="M513">
        <v>0.01</v>
      </c>
      <c r="N513">
        <v>1</v>
      </c>
      <c r="O513">
        <v>0.01</v>
      </c>
      <c r="P513">
        <v>0.16</v>
      </c>
      <c r="Q513">
        <v>1.62</v>
      </c>
      <c r="R513">
        <v>1.36</v>
      </c>
      <c r="S513" t="s">
        <v>256</v>
      </c>
      <c r="T513" t="s">
        <v>257</v>
      </c>
      <c r="U513">
        <v>10</v>
      </c>
      <c r="V513">
        <v>7165.6</v>
      </c>
      <c r="W513">
        <v>4999.84</v>
      </c>
      <c r="X513">
        <v>4999.84</v>
      </c>
      <c r="Y513">
        <v>0</v>
      </c>
      <c r="Z513">
        <v>0</v>
      </c>
      <c r="AA513">
        <v>35</v>
      </c>
      <c r="AB513">
        <v>50</v>
      </c>
      <c r="AC513">
        <v>5000</v>
      </c>
      <c r="AD513">
        <v>0</v>
      </c>
      <c r="AE513">
        <v>0</v>
      </c>
      <c r="AF513">
        <v>7167.02</v>
      </c>
      <c r="AG513">
        <v>7167.02</v>
      </c>
      <c r="AH513" s="14">
        <v>46267</v>
      </c>
      <c r="AI513" t="s">
        <v>266</v>
      </c>
      <c r="AJ513" s="13">
        <v>46265.054768518516</v>
      </c>
      <c r="AK513">
        <v>6763.31</v>
      </c>
      <c r="AL513" t="s">
        <v>259</v>
      </c>
      <c r="AM513" t="s">
        <v>260</v>
      </c>
      <c r="AN513">
        <v>1400</v>
      </c>
      <c r="AO513">
        <v>0</v>
      </c>
      <c r="AP513">
        <v>35</v>
      </c>
      <c r="AQ513">
        <v>85</v>
      </c>
      <c r="AR513">
        <v>35</v>
      </c>
      <c r="AS513">
        <v>2</v>
      </c>
      <c r="AT513">
        <v>23</v>
      </c>
      <c r="AU513">
        <v>1</v>
      </c>
      <c r="AV513">
        <v>0</v>
      </c>
      <c r="AW513">
        <v>10</v>
      </c>
      <c r="AX513">
        <v>1</v>
      </c>
      <c r="AY513">
        <v>5</v>
      </c>
      <c r="AZ513">
        <v>2</v>
      </c>
      <c r="BA513">
        <v>1</v>
      </c>
      <c r="BB513">
        <v>1440</v>
      </c>
      <c r="BC513">
        <v>0</v>
      </c>
      <c r="BD513">
        <v>0</v>
      </c>
      <c r="BE513">
        <v>14</v>
      </c>
      <c r="BF513">
        <v>25</v>
      </c>
      <c r="BG513">
        <v>3</v>
      </c>
      <c r="BH513">
        <v>8</v>
      </c>
      <c r="BI513">
        <v>3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0</v>
      </c>
      <c r="BQ513">
        <v>60</v>
      </c>
      <c r="BR513">
        <v>0</v>
      </c>
      <c r="BS513">
        <v>3</v>
      </c>
      <c r="BT513" t="s">
        <v>246</v>
      </c>
      <c r="BU513" t="s">
        <v>267</v>
      </c>
      <c r="BV513" t="b">
        <v>0</v>
      </c>
      <c r="BW513" t="s">
        <v>268</v>
      </c>
    </row>
    <row r="514" spans="1:75">
      <c r="A514" t="s">
        <v>246</v>
      </c>
      <c r="B514" t="s">
        <v>252</v>
      </c>
      <c r="C514">
        <v>868</v>
      </c>
      <c r="D514" t="s">
        <v>253</v>
      </c>
      <c r="E514" t="s">
        <v>254</v>
      </c>
      <c r="F514">
        <v>5</v>
      </c>
      <c r="G514" s="13">
        <v>46267.459803240738</v>
      </c>
      <c r="H514" s="13">
        <v>46267.461689814816</v>
      </c>
      <c r="I514">
        <v>163</v>
      </c>
      <c r="J514" t="s">
        <v>255</v>
      </c>
      <c r="K514">
        <v>1</v>
      </c>
      <c r="L514">
        <v>0.01</v>
      </c>
      <c r="M514">
        <v>0.01</v>
      </c>
      <c r="N514">
        <v>1</v>
      </c>
      <c r="O514">
        <v>0.01</v>
      </c>
      <c r="P514">
        <v>2.4900000000000002</v>
      </c>
      <c r="Q514">
        <v>1.71</v>
      </c>
      <c r="R514">
        <v>1.6</v>
      </c>
      <c r="S514" t="s">
        <v>256</v>
      </c>
      <c r="T514" t="s">
        <v>257</v>
      </c>
      <c r="U514">
        <v>10</v>
      </c>
      <c r="V514">
        <v>7166.85</v>
      </c>
      <c r="W514">
        <v>4999.83</v>
      </c>
      <c r="X514">
        <v>4997.51</v>
      </c>
      <c r="Y514">
        <v>0</v>
      </c>
      <c r="Z514">
        <v>0</v>
      </c>
      <c r="AA514">
        <v>35</v>
      </c>
      <c r="AB514">
        <v>50</v>
      </c>
      <c r="AC514">
        <v>5000</v>
      </c>
      <c r="AD514">
        <v>0</v>
      </c>
      <c r="AE514">
        <v>0</v>
      </c>
      <c r="AF514">
        <v>7168.37</v>
      </c>
      <c r="AG514">
        <v>7168.37</v>
      </c>
      <c r="AH514" s="14">
        <v>46267</v>
      </c>
      <c r="AI514" t="s">
        <v>266</v>
      </c>
      <c r="AJ514" s="13">
        <v>46265.054768518516</v>
      </c>
      <c r="AK514">
        <v>6763.31</v>
      </c>
      <c r="AL514" t="s">
        <v>259</v>
      </c>
      <c r="AM514" t="s">
        <v>260</v>
      </c>
      <c r="AN514">
        <v>1400</v>
      </c>
      <c r="AO514">
        <v>0</v>
      </c>
      <c r="AP514">
        <v>35</v>
      </c>
      <c r="AQ514">
        <v>85</v>
      </c>
      <c r="AR514">
        <v>35</v>
      </c>
      <c r="AS514">
        <v>2</v>
      </c>
      <c r="AT514">
        <v>23</v>
      </c>
      <c r="AU514">
        <v>1</v>
      </c>
      <c r="AV514">
        <v>0</v>
      </c>
      <c r="AW514">
        <v>10</v>
      </c>
      <c r="AX514">
        <v>1</v>
      </c>
      <c r="AY514">
        <v>5</v>
      </c>
      <c r="AZ514">
        <v>2</v>
      </c>
      <c r="BA514">
        <v>1</v>
      </c>
      <c r="BB514">
        <v>1440</v>
      </c>
      <c r="BC514">
        <v>0</v>
      </c>
      <c r="BD514">
        <v>0</v>
      </c>
      <c r="BE514">
        <v>14</v>
      </c>
      <c r="BF514">
        <v>25</v>
      </c>
      <c r="BG514">
        <v>3</v>
      </c>
      <c r="BH514">
        <v>8</v>
      </c>
      <c r="BI514">
        <v>3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0</v>
      </c>
      <c r="BQ514">
        <v>60</v>
      </c>
      <c r="BR514">
        <v>0</v>
      </c>
      <c r="BS514">
        <v>3</v>
      </c>
      <c r="BT514" t="s">
        <v>246</v>
      </c>
      <c r="BU514" t="s">
        <v>267</v>
      </c>
      <c r="BV514" t="b">
        <v>0</v>
      </c>
      <c r="BW514" t="s">
        <v>268</v>
      </c>
    </row>
    <row r="515" spans="1:75">
      <c r="A515" t="s">
        <v>246</v>
      </c>
      <c r="B515" t="s">
        <v>252</v>
      </c>
      <c r="C515">
        <v>869</v>
      </c>
      <c r="D515" t="s">
        <v>253</v>
      </c>
      <c r="E515" t="s">
        <v>254</v>
      </c>
      <c r="F515">
        <v>5</v>
      </c>
      <c r="G515" s="13">
        <v>46267.462893518517</v>
      </c>
      <c r="H515" s="13">
        <v>46267.478738425925</v>
      </c>
      <c r="I515">
        <v>1369</v>
      </c>
      <c r="J515" t="s">
        <v>264</v>
      </c>
      <c r="K515">
        <v>3</v>
      </c>
      <c r="L515">
        <v>0.03</v>
      </c>
      <c r="M515">
        <v>0.01</v>
      </c>
      <c r="N515">
        <v>3</v>
      </c>
      <c r="O515">
        <v>0.03</v>
      </c>
      <c r="P515">
        <v>8.49</v>
      </c>
      <c r="Q515">
        <v>5.62</v>
      </c>
      <c r="R515">
        <v>3.62</v>
      </c>
      <c r="S515" t="s">
        <v>263</v>
      </c>
      <c r="T515" t="s">
        <v>257</v>
      </c>
      <c r="U515">
        <v>10</v>
      </c>
      <c r="V515">
        <v>7168.21</v>
      </c>
      <c r="W515">
        <v>4999.84</v>
      </c>
      <c r="X515">
        <v>4991.51</v>
      </c>
      <c r="Y515">
        <v>0</v>
      </c>
      <c r="Z515">
        <v>0</v>
      </c>
      <c r="AA515">
        <v>35</v>
      </c>
      <c r="AB515">
        <v>50</v>
      </c>
      <c r="AC515">
        <v>5000</v>
      </c>
      <c r="AD515">
        <v>0</v>
      </c>
      <c r="AE515">
        <v>0</v>
      </c>
      <c r="AF515">
        <v>7172</v>
      </c>
      <c r="AG515">
        <v>7172</v>
      </c>
      <c r="AH515" s="14">
        <v>46267</v>
      </c>
      <c r="AI515" t="s">
        <v>266</v>
      </c>
      <c r="AJ515" s="13">
        <v>46265.054768518516</v>
      </c>
      <c r="AK515">
        <v>6763.31</v>
      </c>
      <c r="AL515" t="s">
        <v>259</v>
      </c>
      <c r="AM515" t="s">
        <v>260</v>
      </c>
      <c r="AN515">
        <v>1400</v>
      </c>
      <c r="AO515">
        <v>0</v>
      </c>
      <c r="AP515">
        <v>35</v>
      </c>
      <c r="AQ515">
        <v>85</v>
      </c>
      <c r="AR515">
        <v>35</v>
      </c>
      <c r="AS515">
        <v>2</v>
      </c>
      <c r="AT515">
        <v>23</v>
      </c>
      <c r="AU515">
        <v>1</v>
      </c>
      <c r="AV515">
        <v>0</v>
      </c>
      <c r="AW515">
        <v>10</v>
      </c>
      <c r="AX515">
        <v>1</v>
      </c>
      <c r="AY515">
        <v>5</v>
      </c>
      <c r="AZ515">
        <v>2</v>
      </c>
      <c r="BA515">
        <v>1</v>
      </c>
      <c r="BB515">
        <v>1440</v>
      </c>
      <c r="BC515">
        <v>0</v>
      </c>
      <c r="BD515">
        <v>0</v>
      </c>
      <c r="BE515">
        <v>14</v>
      </c>
      <c r="BF515">
        <v>25</v>
      </c>
      <c r="BG515">
        <v>3</v>
      </c>
      <c r="BH515">
        <v>8</v>
      </c>
      <c r="BI515">
        <v>3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0</v>
      </c>
      <c r="BQ515">
        <v>60</v>
      </c>
      <c r="BR515">
        <v>0</v>
      </c>
      <c r="BS515">
        <v>3</v>
      </c>
      <c r="BT515" t="s">
        <v>246</v>
      </c>
      <c r="BU515" t="s">
        <v>267</v>
      </c>
      <c r="BV515" t="b">
        <v>0</v>
      </c>
      <c r="BW515" t="s">
        <v>268</v>
      </c>
    </row>
    <row r="516" spans="1:75">
      <c r="A516" t="s">
        <v>246</v>
      </c>
      <c r="B516" t="s">
        <v>252</v>
      </c>
      <c r="C516">
        <v>870</v>
      </c>
      <c r="D516" t="s">
        <v>253</v>
      </c>
      <c r="E516" t="s">
        <v>254</v>
      </c>
      <c r="F516">
        <v>5</v>
      </c>
      <c r="G516" s="13">
        <v>46267.48101851852</v>
      </c>
      <c r="H516" s="13">
        <v>46267.482557870368</v>
      </c>
      <c r="I516">
        <v>133</v>
      </c>
      <c r="J516" t="s">
        <v>264</v>
      </c>
      <c r="K516">
        <v>1</v>
      </c>
      <c r="L516">
        <v>0.01</v>
      </c>
      <c r="M516">
        <v>0.01</v>
      </c>
      <c r="N516">
        <v>1</v>
      </c>
      <c r="O516">
        <v>0.01</v>
      </c>
      <c r="P516">
        <v>0.48</v>
      </c>
      <c r="Q516">
        <v>0.87</v>
      </c>
      <c r="R516">
        <v>0.54</v>
      </c>
      <c r="S516" t="s">
        <v>256</v>
      </c>
      <c r="T516" t="s">
        <v>257</v>
      </c>
      <c r="U516">
        <v>10</v>
      </c>
      <c r="V516">
        <v>7171.83</v>
      </c>
      <c r="W516">
        <v>4999.83</v>
      </c>
      <c r="X516">
        <v>4999.5200000000004</v>
      </c>
      <c r="Y516">
        <v>0</v>
      </c>
      <c r="Z516">
        <v>0</v>
      </c>
      <c r="AA516">
        <v>35</v>
      </c>
      <c r="AB516">
        <v>50</v>
      </c>
      <c r="AC516">
        <v>5000</v>
      </c>
      <c r="AD516">
        <v>0</v>
      </c>
      <c r="AE516">
        <v>0</v>
      </c>
      <c r="AF516">
        <v>7172.51</v>
      </c>
      <c r="AG516">
        <v>7172.51</v>
      </c>
      <c r="AH516" s="14">
        <v>46267</v>
      </c>
      <c r="AI516" t="s">
        <v>266</v>
      </c>
      <c r="AJ516" s="13">
        <v>46265.054768518516</v>
      </c>
      <c r="AK516">
        <v>6763.31</v>
      </c>
      <c r="AL516" t="s">
        <v>259</v>
      </c>
      <c r="AM516" t="s">
        <v>260</v>
      </c>
      <c r="AN516">
        <v>1400</v>
      </c>
      <c r="AO516">
        <v>0</v>
      </c>
      <c r="AP516">
        <v>35</v>
      </c>
      <c r="AQ516">
        <v>85</v>
      </c>
      <c r="AR516">
        <v>35</v>
      </c>
      <c r="AS516">
        <v>2</v>
      </c>
      <c r="AT516">
        <v>23</v>
      </c>
      <c r="AU516">
        <v>1</v>
      </c>
      <c r="AV516">
        <v>0</v>
      </c>
      <c r="AW516">
        <v>10</v>
      </c>
      <c r="AX516">
        <v>1</v>
      </c>
      <c r="AY516">
        <v>5</v>
      </c>
      <c r="AZ516">
        <v>2</v>
      </c>
      <c r="BA516">
        <v>1</v>
      </c>
      <c r="BB516">
        <v>1440</v>
      </c>
      <c r="BC516">
        <v>0</v>
      </c>
      <c r="BD516">
        <v>0</v>
      </c>
      <c r="BE516">
        <v>14</v>
      </c>
      <c r="BF516">
        <v>25</v>
      </c>
      <c r="BG516">
        <v>3</v>
      </c>
      <c r="BH516">
        <v>8</v>
      </c>
      <c r="BI516">
        <v>3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0</v>
      </c>
      <c r="BQ516">
        <v>60</v>
      </c>
      <c r="BR516">
        <v>0</v>
      </c>
      <c r="BS516">
        <v>3</v>
      </c>
      <c r="BT516" t="s">
        <v>246</v>
      </c>
      <c r="BU516" t="s">
        <v>267</v>
      </c>
      <c r="BV516" t="b">
        <v>0</v>
      </c>
      <c r="BW516" t="s">
        <v>268</v>
      </c>
    </row>
    <row r="517" spans="1:75">
      <c r="A517" t="s">
        <v>246</v>
      </c>
      <c r="B517" t="s">
        <v>252</v>
      </c>
      <c r="C517">
        <v>871</v>
      </c>
      <c r="D517" t="s">
        <v>253</v>
      </c>
      <c r="E517" t="s">
        <v>254</v>
      </c>
      <c r="F517">
        <v>5</v>
      </c>
      <c r="G517" s="13">
        <v>46267.4846412037</v>
      </c>
      <c r="H517" s="13">
        <v>46267.485023148147</v>
      </c>
      <c r="I517">
        <v>33</v>
      </c>
      <c r="J517" t="s">
        <v>255</v>
      </c>
      <c r="K517">
        <v>1</v>
      </c>
      <c r="L517">
        <v>0.01</v>
      </c>
      <c r="M517">
        <v>0.01</v>
      </c>
      <c r="N517">
        <v>1</v>
      </c>
      <c r="O517">
        <v>0.01</v>
      </c>
      <c r="P517">
        <v>0.19</v>
      </c>
      <c r="Q517">
        <v>1.51</v>
      </c>
      <c r="R517">
        <v>1.21</v>
      </c>
      <c r="S517" t="s">
        <v>256</v>
      </c>
      <c r="T517" t="s">
        <v>257</v>
      </c>
      <c r="U517">
        <v>11</v>
      </c>
      <c r="V517">
        <v>7172.34</v>
      </c>
      <c r="W517">
        <v>4999.83</v>
      </c>
      <c r="X517">
        <v>4999.8100000000004</v>
      </c>
      <c r="Y517">
        <v>0</v>
      </c>
      <c r="Z517">
        <v>0</v>
      </c>
      <c r="AA517">
        <v>35</v>
      </c>
      <c r="AB517">
        <v>50</v>
      </c>
      <c r="AC517">
        <v>5000</v>
      </c>
      <c r="AD517">
        <v>0</v>
      </c>
      <c r="AE517">
        <v>0</v>
      </c>
      <c r="AF517">
        <v>7173.67</v>
      </c>
      <c r="AG517">
        <v>7173.67</v>
      </c>
      <c r="AH517" s="14">
        <v>46267</v>
      </c>
      <c r="AI517" t="s">
        <v>266</v>
      </c>
      <c r="AJ517" s="13">
        <v>46265.054768518516</v>
      </c>
      <c r="AK517">
        <v>6763.31</v>
      </c>
      <c r="AL517" t="s">
        <v>259</v>
      </c>
      <c r="AM517" t="s">
        <v>260</v>
      </c>
      <c r="AN517">
        <v>1400</v>
      </c>
      <c r="AO517">
        <v>0</v>
      </c>
      <c r="AP517">
        <v>35</v>
      </c>
      <c r="AQ517">
        <v>85</v>
      </c>
      <c r="AR517">
        <v>35</v>
      </c>
      <c r="AS517">
        <v>2</v>
      </c>
      <c r="AT517">
        <v>23</v>
      </c>
      <c r="AU517">
        <v>1</v>
      </c>
      <c r="AV517">
        <v>0</v>
      </c>
      <c r="AW517">
        <v>10</v>
      </c>
      <c r="AX517">
        <v>1</v>
      </c>
      <c r="AY517">
        <v>5</v>
      </c>
      <c r="AZ517">
        <v>2</v>
      </c>
      <c r="BA517">
        <v>1</v>
      </c>
      <c r="BB517">
        <v>1440</v>
      </c>
      <c r="BC517">
        <v>0</v>
      </c>
      <c r="BD517">
        <v>0</v>
      </c>
      <c r="BE517">
        <v>14</v>
      </c>
      <c r="BF517">
        <v>25</v>
      </c>
      <c r="BG517">
        <v>3</v>
      </c>
      <c r="BH517">
        <v>8</v>
      </c>
      <c r="BI517">
        <v>3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0</v>
      </c>
      <c r="BQ517">
        <v>60</v>
      </c>
      <c r="BR517">
        <v>0</v>
      </c>
      <c r="BS517">
        <v>3</v>
      </c>
      <c r="BT517" t="s">
        <v>246</v>
      </c>
      <c r="BU517" t="s">
        <v>267</v>
      </c>
      <c r="BV517" t="b">
        <v>0</v>
      </c>
      <c r="BW517" t="s">
        <v>268</v>
      </c>
    </row>
    <row r="518" spans="1:75">
      <c r="A518" t="s">
        <v>246</v>
      </c>
      <c r="B518" t="s">
        <v>252</v>
      </c>
      <c r="C518">
        <v>872</v>
      </c>
      <c r="D518" t="s">
        <v>253</v>
      </c>
      <c r="E518" t="s">
        <v>254</v>
      </c>
      <c r="F518">
        <v>5</v>
      </c>
      <c r="G518" s="13">
        <v>46267.48846064815</v>
      </c>
      <c r="H518" s="13">
        <v>46267.489351851851</v>
      </c>
      <c r="I518">
        <v>77</v>
      </c>
      <c r="J518" t="s">
        <v>264</v>
      </c>
      <c r="K518">
        <v>1</v>
      </c>
      <c r="L518">
        <v>0.01</v>
      </c>
      <c r="M518">
        <v>0.01</v>
      </c>
      <c r="N518">
        <v>1</v>
      </c>
      <c r="O518">
        <v>0.01</v>
      </c>
      <c r="P518">
        <v>0.61</v>
      </c>
      <c r="Q518">
        <v>1.96</v>
      </c>
      <c r="R518">
        <v>1.96</v>
      </c>
      <c r="S518" t="s">
        <v>256</v>
      </c>
      <c r="T518" t="s">
        <v>257</v>
      </c>
      <c r="U518">
        <v>11</v>
      </c>
      <c r="V518">
        <v>7173.5</v>
      </c>
      <c r="W518">
        <v>4999.83</v>
      </c>
      <c r="X518">
        <v>4999.3900000000003</v>
      </c>
      <c r="Y518">
        <v>0</v>
      </c>
      <c r="Z518">
        <v>0</v>
      </c>
      <c r="AA518">
        <v>35</v>
      </c>
      <c r="AB518">
        <v>50</v>
      </c>
      <c r="AC518">
        <v>5000</v>
      </c>
      <c r="AD518">
        <v>0</v>
      </c>
      <c r="AE518">
        <v>0</v>
      </c>
      <c r="AF518">
        <v>7175.28</v>
      </c>
      <c r="AG518">
        <v>7175.28</v>
      </c>
      <c r="AH518" s="14">
        <v>46267</v>
      </c>
      <c r="AI518" t="s">
        <v>266</v>
      </c>
      <c r="AJ518" s="13">
        <v>46265.054768518516</v>
      </c>
      <c r="AK518">
        <v>6763.31</v>
      </c>
      <c r="AL518" t="s">
        <v>259</v>
      </c>
      <c r="AM518" t="s">
        <v>260</v>
      </c>
      <c r="AN518">
        <v>1400</v>
      </c>
      <c r="AO518">
        <v>0</v>
      </c>
      <c r="AP518">
        <v>35</v>
      </c>
      <c r="AQ518">
        <v>85</v>
      </c>
      <c r="AR518">
        <v>35</v>
      </c>
      <c r="AS518">
        <v>2</v>
      </c>
      <c r="AT518">
        <v>23</v>
      </c>
      <c r="AU518">
        <v>1</v>
      </c>
      <c r="AV518">
        <v>0</v>
      </c>
      <c r="AW518">
        <v>10</v>
      </c>
      <c r="AX518">
        <v>1</v>
      </c>
      <c r="AY518">
        <v>5</v>
      </c>
      <c r="AZ518">
        <v>2</v>
      </c>
      <c r="BA518">
        <v>1</v>
      </c>
      <c r="BB518">
        <v>1440</v>
      </c>
      <c r="BC518">
        <v>0</v>
      </c>
      <c r="BD518">
        <v>0</v>
      </c>
      <c r="BE518">
        <v>14</v>
      </c>
      <c r="BF518">
        <v>25</v>
      </c>
      <c r="BG518">
        <v>3</v>
      </c>
      <c r="BH518">
        <v>8</v>
      </c>
      <c r="BI518">
        <v>3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0</v>
      </c>
      <c r="BQ518">
        <v>60</v>
      </c>
      <c r="BR518">
        <v>0</v>
      </c>
      <c r="BS518">
        <v>3</v>
      </c>
      <c r="BT518" t="s">
        <v>246</v>
      </c>
      <c r="BU518" t="s">
        <v>267</v>
      </c>
      <c r="BV518" t="b">
        <v>0</v>
      </c>
      <c r="BW518" t="s">
        <v>268</v>
      </c>
    </row>
    <row r="519" spans="1:75">
      <c r="A519" t="s">
        <v>246</v>
      </c>
      <c r="B519" t="s">
        <v>252</v>
      </c>
      <c r="C519">
        <v>873</v>
      </c>
      <c r="D519" t="s">
        <v>253</v>
      </c>
      <c r="E519" t="s">
        <v>254</v>
      </c>
      <c r="F519">
        <v>5</v>
      </c>
      <c r="G519" s="13">
        <v>46267.494409722225</v>
      </c>
      <c r="H519" s="13">
        <v>46267.494583333333</v>
      </c>
      <c r="I519">
        <v>15</v>
      </c>
      <c r="J519" t="s">
        <v>264</v>
      </c>
      <c r="K519">
        <v>1</v>
      </c>
      <c r="L519">
        <v>0.01</v>
      </c>
      <c r="M519">
        <v>0.01</v>
      </c>
      <c r="N519">
        <v>1</v>
      </c>
      <c r="O519">
        <v>0.01</v>
      </c>
      <c r="P519">
        <v>0.33</v>
      </c>
      <c r="Q519">
        <v>1.19</v>
      </c>
      <c r="R519">
        <v>0.91</v>
      </c>
      <c r="S519" t="s">
        <v>256</v>
      </c>
      <c r="T519" t="s">
        <v>257</v>
      </c>
      <c r="U519">
        <v>11</v>
      </c>
      <c r="V519">
        <v>7175.11</v>
      </c>
      <c r="W519">
        <v>4999.83</v>
      </c>
      <c r="X519">
        <v>4999.67</v>
      </c>
      <c r="Y519">
        <v>0</v>
      </c>
      <c r="Z519">
        <v>0</v>
      </c>
      <c r="AA519">
        <v>35</v>
      </c>
      <c r="AB519">
        <v>50</v>
      </c>
      <c r="AC519">
        <v>5000</v>
      </c>
      <c r="AD519">
        <v>0</v>
      </c>
      <c r="AE519">
        <v>0</v>
      </c>
      <c r="AF519">
        <v>7176.12</v>
      </c>
      <c r="AG519">
        <v>7176.12</v>
      </c>
      <c r="AH519" s="14">
        <v>46267</v>
      </c>
      <c r="AI519" t="s">
        <v>266</v>
      </c>
      <c r="AJ519" s="13">
        <v>46265.054768518516</v>
      </c>
      <c r="AK519">
        <v>6763.31</v>
      </c>
      <c r="AL519" t="s">
        <v>259</v>
      </c>
      <c r="AM519" t="s">
        <v>260</v>
      </c>
      <c r="AN519">
        <v>1400</v>
      </c>
      <c r="AO519">
        <v>0</v>
      </c>
      <c r="AP519">
        <v>35</v>
      </c>
      <c r="AQ519">
        <v>85</v>
      </c>
      <c r="AR519">
        <v>35</v>
      </c>
      <c r="AS519">
        <v>2</v>
      </c>
      <c r="AT519">
        <v>23</v>
      </c>
      <c r="AU519">
        <v>1</v>
      </c>
      <c r="AV519">
        <v>0</v>
      </c>
      <c r="AW519">
        <v>10</v>
      </c>
      <c r="AX519">
        <v>1</v>
      </c>
      <c r="AY519">
        <v>5</v>
      </c>
      <c r="AZ519">
        <v>2</v>
      </c>
      <c r="BA519">
        <v>1</v>
      </c>
      <c r="BB519">
        <v>1440</v>
      </c>
      <c r="BC519">
        <v>0</v>
      </c>
      <c r="BD519">
        <v>0</v>
      </c>
      <c r="BE519">
        <v>14</v>
      </c>
      <c r="BF519">
        <v>25</v>
      </c>
      <c r="BG519">
        <v>3</v>
      </c>
      <c r="BH519">
        <v>8</v>
      </c>
      <c r="BI519">
        <v>3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0</v>
      </c>
      <c r="BQ519">
        <v>60</v>
      </c>
      <c r="BR519">
        <v>0</v>
      </c>
      <c r="BS519">
        <v>3</v>
      </c>
      <c r="BT519" t="s">
        <v>246</v>
      </c>
      <c r="BU519" t="s">
        <v>267</v>
      </c>
      <c r="BV519" t="b">
        <v>0</v>
      </c>
      <c r="BW519" t="s">
        <v>268</v>
      </c>
    </row>
    <row r="520" spans="1:75">
      <c r="A520" t="s">
        <v>246</v>
      </c>
      <c r="B520" t="s">
        <v>252</v>
      </c>
      <c r="C520">
        <v>874</v>
      </c>
      <c r="D520" t="s">
        <v>253</v>
      </c>
      <c r="E520" t="s">
        <v>254</v>
      </c>
      <c r="F520">
        <v>5</v>
      </c>
      <c r="G520" s="13">
        <v>46267.497812499998</v>
      </c>
      <c r="H520" s="13">
        <v>46267.504479166666</v>
      </c>
      <c r="I520">
        <v>576</v>
      </c>
      <c r="J520" t="s">
        <v>255</v>
      </c>
      <c r="K520">
        <v>3</v>
      </c>
      <c r="L520">
        <v>0.03</v>
      </c>
      <c r="M520">
        <v>0.01</v>
      </c>
      <c r="N520">
        <v>3</v>
      </c>
      <c r="O520">
        <v>0.03</v>
      </c>
      <c r="P520">
        <v>4.7</v>
      </c>
      <c r="Q520">
        <v>12.44</v>
      </c>
      <c r="R520">
        <v>9.56</v>
      </c>
      <c r="S520" t="s">
        <v>263</v>
      </c>
      <c r="T520" t="s">
        <v>257</v>
      </c>
      <c r="U520">
        <v>11</v>
      </c>
      <c r="V520">
        <v>7175.96</v>
      </c>
      <c r="W520">
        <v>4999.84</v>
      </c>
      <c r="X520">
        <v>4995.3</v>
      </c>
      <c r="Y520">
        <v>0</v>
      </c>
      <c r="Z520">
        <v>0</v>
      </c>
      <c r="AA520">
        <v>35</v>
      </c>
      <c r="AB520">
        <v>50</v>
      </c>
      <c r="AC520">
        <v>5000</v>
      </c>
      <c r="AD520">
        <v>0</v>
      </c>
      <c r="AE520">
        <v>0</v>
      </c>
      <c r="AF520">
        <v>7185.81</v>
      </c>
      <c r="AG520">
        <v>7185.81</v>
      </c>
      <c r="AH520" s="14">
        <v>46267</v>
      </c>
      <c r="AI520" t="s">
        <v>266</v>
      </c>
      <c r="AJ520" s="13">
        <v>46265.054768518516</v>
      </c>
      <c r="AK520">
        <v>6763.31</v>
      </c>
      <c r="AL520" t="s">
        <v>259</v>
      </c>
      <c r="AM520" t="s">
        <v>260</v>
      </c>
      <c r="AN520">
        <v>1400</v>
      </c>
      <c r="AO520">
        <v>0</v>
      </c>
      <c r="AP520">
        <v>35</v>
      </c>
      <c r="AQ520">
        <v>85</v>
      </c>
      <c r="AR520">
        <v>35</v>
      </c>
      <c r="AS520">
        <v>2</v>
      </c>
      <c r="AT520">
        <v>23</v>
      </c>
      <c r="AU520">
        <v>1</v>
      </c>
      <c r="AV520">
        <v>0</v>
      </c>
      <c r="AW520">
        <v>10</v>
      </c>
      <c r="AX520">
        <v>1</v>
      </c>
      <c r="AY520">
        <v>5</v>
      </c>
      <c r="AZ520">
        <v>2</v>
      </c>
      <c r="BA520">
        <v>1</v>
      </c>
      <c r="BB520">
        <v>1440</v>
      </c>
      <c r="BC520">
        <v>0</v>
      </c>
      <c r="BD520">
        <v>0</v>
      </c>
      <c r="BE520">
        <v>14</v>
      </c>
      <c r="BF520">
        <v>25</v>
      </c>
      <c r="BG520">
        <v>3</v>
      </c>
      <c r="BH520">
        <v>8</v>
      </c>
      <c r="BI520">
        <v>3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0</v>
      </c>
      <c r="BQ520">
        <v>60</v>
      </c>
      <c r="BR520">
        <v>0</v>
      </c>
      <c r="BS520">
        <v>3</v>
      </c>
      <c r="BT520" t="s">
        <v>246</v>
      </c>
      <c r="BU520" t="s">
        <v>267</v>
      </c>
      <c r="BV520" t="b">
        <v>0</v>
      </c>
      <c r="BW520" t="s">
        <v>268</v>
      </c>
    </row>
    <row r="521" spans="1:75">
      <c r="A521" t="s">
        <v>246</v>
      </c>
      <c r="B521" t="s">
        <v>252</v>
      </c>
      <c r="C521">
        <v>875</v>
      </c>
      <c r="D521" t="s">
        <v>253</v>
      </c>
      <c r="E521" t="s">
        <v>254</v>
      </c>
      <c r="F521">
        <v>5</v>
      </c>
      <c r="G521" s="13">
        <v>46267.509687500002</v>
      </c>
      <c r="H521" s="13">
        <v>46267.510555555556</v>
      </c>
      <c r="I521">
        <v>75</v>
      </c>
      <c r="J521" t="s">
        <v>264</v>
      </c>
      <c r="K521">
        <v>1</v>
      </c>
      <c r="L521">
        <v>0.01</v>
      </c>
      <c r="M521">
        <v>0.01</v>
      </c>
      <c r="N521">
        <v>1</v>
      </c>
      <c r="O521">
        <v>0.01</v>
      </c>
      <c r="P521">
        <v>0.21</v>
      </c>
      <c r="Q521">
        <v>1.67</v>
      </c>
      <c r="R521">
        <v>1.44</v>
      </c>
      <c r="S521" t="s">
        <v>256</v>
      </c>
      <c r="T521" t="s">
        <v>257</v>
      </c>
      <c r="U521">
        <v>11</v>
      </c>
      <c r="V521">
        <v>7185.64</v>
      </c>
      <c r="W521">
        <v>4999.83</v>
      </c>
      <c r="X521">
        <v>4999.79</v>
      </c>
      <c r="Y521">
        <v>0</v>
      </c>
      <c r="Z521">
        <v>0</v>
      </c>
      <c r="AA521">
        <v>35</v>
      </c>
      <c r="AB521">
        <v>50</v>
      </c>
      <c r="AC521">
        <v>5000</v>
      </c>
      <c r="AD521">
        <v>0</v>
      </c>
      <c r="AE521">
        <v>0</v>
      </c>
      <c r="AF521">
        <v>7187.13</v>
      </c>
      <c r="AG521">
        <v>7187.13</v>
      </c>
      <c r="AH521" s="14">
        <v>46267</v>
      </c>
      <c r="AI521" t="s">
        <v>266</v>
      </c>
      <c r="AJ521" s="13">
        <v>46265.054768518516</v>
      </c>
      <c r="AK521">
        <v>6763.31</v>
      </c>
      <c r="AL521" t="s">
        <v>259</v>
      </c>
      <c r="AM521" t="s">
        <v>260</v>
      </c>
      <c r="AN521">
        <v>1400</v>
      </c>
      <c r="AO521">
        <v>0</v>
      </c>
      <c r="AP521">
        <v>35</v>
      </c>
      <c r="AQ521">
        <v>85</v>
      </c>
      <c r="AR521">
        <v>35</v>
      </c>
      <c r="AS521">
        <v>2</v>
      </c>
      <c r="AT521">
        <v>23</v>
      </c>
      <c r="AU521">
        <v>1</v>
      </c>
      <c r="AV521">
        <v>0</v>
      </c>
      <c r="AW521">
        <v>10</v>
      </c>
      <c r="AX521">
        <v>1</v>
      </c>
      <c r="AY521">
        <v>5</v>
      </c>
      <c r="AZ521">
        <v>2</v>
      </c>
      <c r="BA521">
        <v>1</v>
      </c>
      <c r="BB521">
        <v>1440</v>
      </c>
      <c r="BC521">
        <v>0</v>
      </c>
      <c r="BD521">
        <v>0</v>
      </c>
      <c r="BE521">
        <v>14</v>
      </c>
      <c r="BF521">
        <v>25</v>
      </c>
      <c r="BG521">
        <v>3</v>
      </c>
      <c r="BH521">
        <v>8</v>
      </c>
      <c r="BI521">
        <v>3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0</v>
      </c>
      <c r="BQ521">
        <v>60</v>
      </c>
      <c r="BR521">
        <v>0</v>
      </c>
      <c r="BS521">
        <v>3</v>
      </c>
      <c r="BT521" t="s">
        <v>246</v>
      </c>
      <c r="BU521" t="s">
        <v>267</v>
      </c>
      <c r="BV521" t="b">
        <v>0</v>
      </c>
      <c r="BW521" t="s">
        <v>268</v>
      </c>
    </row>
    <row r="522" spans="1:75">
      <c r="A522" t="s">
        <v>246</v>
      </c>
      <c r="B522" t="s">
        <v>252</v>
      </c>
      <c r="C522">
        <v>876</v>
      </c>
      <c r="D522" t="s">
        <v>253</v>
      </c>
      <c r="E522" t="s">
        <v>254</v>
      </c>
      <c r="F522">
        <v>5</v>
      </c>
      <c r="G522" s="13">
        <v>46267.515567129631</v>
      </c>
      <c r="H522" s="13">
        <v>46267.517013888886</v>
      </c>
      <c r="I522">
        <v>125</v>
      </c>
      <c r="J522" t="s">
        <v>264</v>
      </c>
      <c r="K522">
        <v>1</v>
      </c>
      <c r="L522">
        <v>0.01</v>
      </c>
      <c r="M522">
        <v>0.01</v>
      </c>
      <c r="N522">
        <v>1</v>
      </c>
      <c r="O522">
        <v>0.01</v>
      </c>
      <c r="P522">
        <v>0.68</v>
      </c>
      <c r="Q522">
        <v>1.77</v>
      </c>
      <c r="R522">
        <v>1.5</v>
      </c>
      <c r="S522" t="s">
        <v>256</v>
      </c>
      <c r="T522" t="s">
        <v>257</v>
      </c>
      <c r="U522">
        <v>10</v>
      </c>
      <c r="V522">
        <v>7186.96</v>
      </c>
      <c r="W522">
        <v>4999.83</v>
      </c>
      <c r="X522">
        <v>4999.32</v>
      </c>
      <c r="Y522">
        <v>0</v>
      </c>
      <c r="Z522">
        <v>0</v>
      </c>
      <c r="AA522">
        <v>35</v>
      </c>
      <c r="AB522">
        <v>50</v>
      </c>
      <c r="AC522">
        <v>5000</v>
      </c>
      <c r="AD522">
        <v>0</v>
      </c>
      <c r="AE522">
        <v>0</v>
      </c>
      <c r="AF522">
        <v>7188.55</v>
      </c>
      <c r="AG522">
        <v>7188.55</v>
      </c>
      <c r="AH522" s="14">
        <v>46267</v>
      </c>
      <c r="AI522" t="s">
        <v>266</v>
      </c>
      <c r="AJ522" s="13">
        <v>46265.054768518516</v>
      </c>
      <c r="AK522">
        <v>6763.31</v>
      </c>
      <c r="AL522" t="s">
        <v>259</v>
      </c>
      <c r="AM522" t="s">
        <v>260</v>
      </c>
      <c r="AN522">
        <v>1400</v>
      </c>
      <c r="AO522">
        <v>0</v>
      </c>
      <c r="AP522">
        <v>35</v>
      </c>
      <c r="AQ522">
        <v>85</v>
      </c>
      <c r="AR522">
        <v>35</v>
      </c>
      <c r="AS522">
        <v>2</v>
      </c>
      <c r="AT522">
        <v>23</v>
      </c>
      <c r="AU522">
        <v>1</v>
      </c>
      <c r="AV522">
        <v>0</v>
      </c>
      <c r="AW522">
        <v>10</v>
      </c>
      <c r="AX522">
        <v>1</v>
      </c>
      <c r="AY522">
        <v>5</v>
      </c>
      <c r="AZ522">
        <v>2</v>
      </c>
      <c r="BA522">
        <v>1</v>
      </c>
      <c r="BB522">
        <v>1440</v>
      </c>
      <c r="BC522">
        <v>0</v>
      </c>
      <c r="BD522">
        <v>0</v>
      </c>
      <c r="BE522">
        <v>14</v>
      </c>
      <c r="BF522">
        <v>25</v>
      </c>
      <c r="BG522">
        <v>3</v>
      </c>
      <c r="BH522">
        <v>8</v>
      </c>
      <c r="BI522">
        <v>3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0</v>
      </c>
      <c r="BQ522">
        <v>60</v>
      </c>
      <c r="BR522">
        <v>0</v>
      </c>
      <c r="BS522">
        <v>3</v>
      </c>
      <c r="BT522" t="s">
        <v>246</v>
      </c>
      <c r="BU522" t="s">
        <v>267</v>
      </c>
      <c r="BV522" t="b">
        <v>0</v>
      </c>
      <c r="BW522" t="s">
        <v>268</v>
      </c>
    </row>
    <row r="523" spans="1:75">
      <c r="A523" t="s">
        <v>246</v>
      </c>
      <c r="B523" t="s">
        <v>252</v>
      </c>
      <c r="C523">
        <v>877</v>
      </c>
      <c r="D523" t="s">
        <v>253</v>
      </c>
      <c r="E523" t="s">
        <v>254</v>
      </c>
      <c r="F523">
        <v>5</v>
      </c>
      <c r="G523" s="13">
        <v>46267.518449074072</v>
      </c>
      <c r="H523" s="13">
        <v>46267.546782407408</v>
      </c>
      <c r="I523">
        <v>2448</v>
      </c>
      <c r="J523" t="s">
        <v>264</v>
      </c>
      <c r="K523">
        <v>3</v>
      </c>
      <c r="L523">
        <v>0.03</v>
      </c>
      <c r="M523">
        <v>0.01</v>
      </c>
      <c r="N523">
        <v>3</v>
      </c>
      <c r="O523">
        <v>0.03</v>
      </c>
      <c r="P523">
        <v>6.29</v>
      </c>
      <c r="Q523">
        <v>7.78</v>
      </c>
      <c r="R523">
        <v>5.5</v>
      </c>
      <c r="S523" t="s">
        <v>263</v>
      </c>
      <c r="T523" t="s">
        <v>257</v>
      </c>
      <c r="U523">
        <v>11</v>
      </c>
      <c r="V523">
        <v>7188.39</v>
      </c>
      <c r="W523">
        <v>4999.84</v>
      </c>
      <c r="X523">
        <v>4993.71</v>
      </c>
      <c r="Y523">
        <v>0</v>
      </c>
      <c r="Z523">
        <v>0</v>
      </c>
      <c r="AA523">
        <v>35</v>
      </c>
      <c r="AB523">
        <v>50</v>
      </c>
      <c r="AC523">
        <v>5000</v>
      </c>
      <c r="AD523">
        <v>0</v>
      </c>
      <c r="AE523">
        <v>0</v>
      </c>
      <c r="AF523">
        <v>7194.08</v>
      </c>
      <c r="AG523">
        <v>7194.08</v>
      </c>
      <c r="AH523" s="14">
        <v>46267</v>
      </c>
      <c r="AI523" t="s">
        <v>266</v>
      </c>
      <c r="AJ523" s="13">
        <v>46265.054768518516</v>
      </c>
      <c r="AK523">
        <v>6763.31</v>
      </c>
      <c r="AL523" t="s">
        <v>259</v>
      </c>
      <c r="AM523" t="s">
        <v>260</v>
      </c>
      <c r="AN523">
        <v>1400</v>
      </c>
      <c r="AO523">
        <v>0</v>
      </c>
      <c r="AP523">
        <v>35</v>
      </c>
      <c r="AQ523">
        <v>85</v>
      </c>
      <c r="AR523">
        <v>35</v>
      </c>
      <c r="AS523">
        <v>2</v>
      </c>
      <c r="AT523">
        <v>23</v>
      </c>
      <c r="AU523">
        <v>1</v>
      </c>
      <c r="AV523">
        <v>0</v>
      </c>
      <c r="AW523">
        <v>10</v>
      </c>
      <c r="AX523">
        <v>1</v>
      </c>
      <c r="AY523">
        <v>5</v>
      </c>
      <c r="AZ523">
        <v>2</v>
      </c>
      <c r="BA523">
        <v>1</v>
      </c>
      <c r="BB523">
        <v>1440</v>
      </c>
      <c r="BC523">
        <v>0</v>
      </c>
      <c r="BD523">
        <v>0</v>
      </c>
      <c r="BE523">
        <v>14</v>
      </c>
      <c r="BF523">
        <v>25</v>
      </c>
      <c r="BG523">
        <v>3</v>
      </c>
      <c r="BH523">
        <v>8</v>
      </c>
      <c r="BI523">
        <v>3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0</v>
      </c>
      <c r="BQ523">
        <v>60</v>
      </c>
      <c r="BR523">
        <v>0</v>
      </c>
      <c r="BS523">
        <v>3</v>
      </c>
      <c r="BT523" t="s">
        <v>246</v>
      </c>
      <c r="BU523" t="s">
        <v>267</v>
      </c>
      <c r="BV523" t="b">
        <v>0</v>
      </c>
      <c r="BW523" t="s">
        <v>268</v>
      </c>
    </row>
    <row r="524" spans="1:75">
      <c r="A524" t="s">
        <v>246</v>
      </c>
      <c r="B524" t="s">
        <v>252</v>
      </c>
      <c r="C524">
        <v>878</v>
      </c>
      <c r="D524" t="s">
        <v>253</v>
      </c>
      <c r="E524" t="s">
        <v>254</v>
      </c>
      <c r="F524">
        <v>5</v>
      </c>
      <c r="G524" s="13">
        <v>46267.551226851851</v>
      </c>
      <c r="H524" s="13">
        <v>46267.551527777781</v>
      </c>
      <c r="I524">
        <v>26</v>
      </c>
      <c r="J524" t="s">
        <v>255</v>
      </c>
      <c r="K524">
        <v>1</v>
      </c>
      <c r="L524">
        <v>0.01</v>
      </c>
      <c r="M524">
        <v>0.01</v>
      </c>
      <c r="N524">
        <v>1</v>
      </c>
      <c r="O524">
        <v>0.01</v>
      </c>
      <c r="P524">
        <v>0.17</v>
      </c>
      <c r="Q524">
        <v>1.97</v>
      </c>
      <c r="R524">
        <v>1.97</v>
      </c>
      <c r="S524" t="s">
        <v>256</v>
      </c>
      <c r="T524" t="s">
        <v>257</v>
      </c>
      <c r="U524">
        <v>10</v>
      </c>
      <c r="V524">
        <v>7193.92</v>
      </c>
      <c r="W524">
        <v>4999.84</v>
      </c>
      <c r="X524">
        <v>4999.83</v>
      </c>
      <c r="Y524">
        <v>0</v>
      </c>
      <c r="Z524">
        <v>0</v>
      </c>
      <c r="AA524">
        <v>35</v>
      </c>
      <c r="AB524">
        <v>50</v>
      </c>
      <c r="AC524">
        <v>5000</v>
      </c>
      <c r="AD524">
        <v>0</v>
      </c>
      <c r="AE524">
        <v>0</v>
      </c>
      <c r="AF524">
        <v>7195.7</v>
      </c>
      <c r="AG524">
        <v>7195.7</v>
      </c>
      <c r="AH524" s="14">
        <v>46267</v>
      </c>
      <c r="AI524" t="s">
        <v>266</v>
      </c>
      <c r="AJ524" s="13">
        <v>46265.054768518516</v>
      </c>
      <c r="AK524">
        <v>6763.31</v>
      </c>
      <c r="AL524" t="s">
        <v>259</v>
      </c>
      <c r="AM524" t="s">
        <v>260</v>
      </c>
      <c r="AN524">
        <v>1400</v>
      </c>
      <c r="AO524">
        <v>0</v>
      </c>
      <c r="AP524">
        <v>35</v>
      </c>
      <c r="AQ524">
        <v>85</v>
      </c>
      <c r="AR524">
        <v>35</v>
      </c>
      <c r="AS524">
        <v>2</v>
      </c>
      <c r="AT524">
        <v>23</v>
      </c>
      <c r="AU524">
        <v>1</v>
      </c>
      <c r="AV524">
        <v>0</v>
      </c>
      <c r="AW524">
        <v>10</v>
      </c>
      <c r="AX524">
        <v>1</v>
      </c>
      <c r="AY524">
        <v>5</v>
      </c>
      <c r="AZ524">
        <v>2</v>
      </c>
      <c r="BA524">
        <v>1</v>
      </c>
      <c r="BB524">
        <v>1440</v>
      </c>
      <c r="BC524">
        <v>0</v>
      </c>
      <c r="BD524">
        <v>0</v>
      </c>
      <c r="BE524">
        <v>14</v>
      </c>
      <c r="BF524">
        <v>25</v>
      </c>
      <c r="BG524">
        <v>3</v>
      </c>
      <c r="BH524">
        <v>8</v>
      </c>
      <c r="BI524">
        <v>3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0</v>
      </c>
      <c r="BQ524">
        <v>60</v>
      </c>
      <c r="BR524">
        <v>0</v>
      </c>
      <c r="BS524">
        <v>3</v>
      </c>
      <c r="BT524" t="s">
        <v>246</v>
      </c>
      <c r="BU524" t="s">
        <v>267</v>
      </c>
      <c r="BV524" t="b">
        <v>0</v>
      </c>
      <c r="BW524" t="s">
        <v>268</v>
      </c>
    </row>
    <row r="525" spans="1:75">
      <c r="A525" t="s">
        <v>246</v>
      </c>
      <c r="B525" t="s">
        <v>252</v>
      </c>
      <c r="C525">
        <v>879</v>
      </c>
      <c r="D525" t="s">
        <v>253</v>
      </c>
      <c r="E525" t="s">
        <v>254</v>
      </c>
      <c r="F525">
        <v>5</v>
      </c>
      <c r="G525" s="13">
        <v>46267.554305555554</v>
      </c>
      <c r="H525" s="13">
        <v>46267.556168981479</v>
      </c>
      <c r="I525">
        <v>161</v>
      </c>
      <c r="J525" t="s">
        <v>255</v>
      </c>
      <c r="K525">
        <v>1</v>
      </c>
      <c r="L525">
        <v>0.01</v>
      </c>
      <c r="M525">
        <v>0.01</v>
      </c>
      <c r="N525">
        <v>1</v>
      </c>
      <c r="O525">
        <v>0.01</v>
      </c>
      <c r="P525">
        <v>1.9</v>
      </c>
      <c r="Q525">
        <v>1.1200000000000001</v>
      </c>
      <c r="R525">
        <v>0.8</v>
      </c>
      <c r="S525" t="s">
        <v>256</v>
      </c>
      <c r="T525" t="s">
        <v>257</v>
      </c>
      <c r="U525">
        <v>10</v>
      </c>
      <c r="V525">
        <v>7195.53</v>
      </c>
      <c r="W525">
        <v>4999.83</v>
      </c>
      <c r="X525">
        <v>4998.1000000000004</v>
      </c>
      <c r="Y525">
        <v>0</v>
      </c>
      <c r="Z525">
        <v>0</v>
      </c>
      <c r="AA525">
        <v>35</v>
      </c>
      <c r="AB525">
        <v>50</v>
      </c>
      <c r="AC525">
        <v>5000</v>
      </c>
      <c r="AD525">
        <v>0</v>
      </c>
      <c r="AE525">
        <v>0</v>
      </c>
      <c r="AF525">
        <v>7196.47</v>
      </c>
      <c r="AG525">
        <v>7196.47</v>
      </c>
      <c r="AH525" s="14">
        <v>46267</v>
      </c>
      <c r="AI525" t="s">
        <v>266</v>
      </c>
      <c r="AJ525" s="13">
        <v>46265.054768518516</v>
      </c>
      <c r="AK525">
        <v>6763.31</v>
      </c>
      <c r="AL525" t="s">
        <v>259</v>
      </c>
      <c r="AM525" t="s">
        <v>260</v>
      </c>
      <c r="AN525">
        <v>1400</v>
      </c>
      <c r="AO525">
        <v>0</v>
      </c>
      <c r="AP525">
        <v>35</v>
      </c>
      <c r="AQ525">
        <v>85</v>
      </c>
      <c r="AR525">
        <v>35</v>
      </c>
      <c r="AS525">
        <v>2</v>
      </c>
      <c r="AT525">
        <v>23</v>
      </c>
      <c r="AU525">
        <v>1</v>
      </c>
      <c r="AV525">
        <v>0</v>
      </c>
      <c r="AW525">
        <v>10</v>
      </c>
      <c r="AX525">
        <v>1</v>
      </c>
      <c r="AY525">
        <v>5</v>
      </c>
      <c r="AZ525">
        <v>2</v>
      </c>
      <c r="BA525">
        <v>1</v>
      </c>
      <c r="BB525">
        <v>1440</v>
      </c>
      <c r="BC525">
        <v>0</v>
      </c>
      <c r="BD525">
        <v>0</v>
      </c>
      <c r="BE525">
        <v>14</v>
      </c>
      <c r="BF525">
        <v>25</v>
      </c>
      <c r="BG525">
        <v>3</v>
      </c>
      <c r="BH525">
        <v>8</v>
      </c>
      <c r="BI525">
        <v>3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0</v>
      </c>
      <c r="BQ525">
        <v>60</v>
      </c>
      <c r="BR525">
        <v>0</v>
      </c>
      <c r="BS525">
        <v>3</v>
      </c>
      <c r="BT525" t="s">
        <v>246</v>
      </c>
      <c r="BU525" t="s">
        <v>267</v>
      </c>
      <c r="BV525" t="b">
        <v>0</v>
      </c>
      <c r="BW525" t="s">
        <v>268</v>
      </c>
    </row>
    <row r="526" spans="1:75">
      <c r="A526" t="s">
        <v>246</v>
      </c>
      <c r="B526" t="s">
        <v>252</v>
      </c>
      <c r="C526">
        <v>880</v>
      </c>
      <c r="D526" t="s">
        <v>253</v>
      </c>
      <c r="E526" t="s">
        <v>254</v>
      </c>
      <c r="F526">
        <v>5</v>
      </c>
      <c r="G526" s="13">
        <v>46267.557372685187</v>
      </c>
      <c r="H526" s="13">
        <v>46267.591423611113</v>
      </c>
      <c r="I526">
        <v>2942</v>
      </c>
      <c r="J526" t="s">
        <v>255</v>
      </c>
      <c r="K526">
        <v>3</v>
      </c>
      <c r="L526">
        <v>0.03</v>
      </c>
      <c r="M526">
        <v>0.01</v>
      </c>
      <c r="N526">
        <v>3</v>
      </c>
      <c r="O526">
        <v>0.03</v>
      </c>
      <c r="P526">
        <v>7.2</v>
      </c>
      <c r="Q526">
        <v>8.14</v>
      </c>
      <c r="R526">
        <v>5.1100000000000003</v>
      </c>
      <c r="S526" t="s">
        <v>263</v>
      </c>
      <c r="T526" t="s">
        <v>257</v>
      </c>
      <c r="U526">
        <v>11</v>
      </c>
      <c r="V526">
        <v>7196.31</v>
      </c>
      <c r="W526">
        <v>4999.84</v>
      </c>
      <c r="X526">
        <v>4992.8</v>
      </c>
      <c r="Y526">
        <v>0</v>
      </c>
      <c r="Z526">
        <v>0</v>
      </c>
      <c r="AA526">
        <v>35</v>
      </c>
      <c r="AB526">
        <v>50</v>
      </c>
      <c r="AC526">
        <v>5000</v>
      </c>
      <c r="AD526">
        <v>0</v>
      </c>
      <c r="AE526">
        <v>0</v>
      </c>
      <c r="AF526">
        <v>7201.53</v>
      </c>
      <c r="AG526">
        <v>7201.53</v>
      </c>
      <c r="AH526" s="14">
        <v>46267</v>
      </c>
      <c r="AI526" t="s">
        <v>266</v>
      </c>
      <c r="AJ526" s="13">
        <v>46265.054768518516</v>
      </c>
      <c r="AK526">
        <v>6763.31</v>
      </c>
      <c r="AL526" t="s">
        <v>259</v>
      </c>
      <c r="AM526" t="s">
        <v>260</v>
      </c>
      <c r="AN526">
        <v>1400</v>
      </c>
      <c r="AO526">
        <v>0</v>
      </c>
      <c r="AP526">
        <v>35</v>
      </c>
      <c r="AQ526">
        <v>85</v>
      </c>
      <c r="AR526">
        <v>35</v>
      </c>
      <c r="AS526">
        <v>2</v>
      </c>
      <c r="AT526">
        <v>23</v>
      </c>
      <c r="AU526">
        <v>1</v>
      </c>
      <c r="AV526">
        <v>0</v>
      </c>
      <c r="AW526">
        <v>10</v>
      </c>
      <c r="AX526">
        <v>1</v>
      </c>
      <c r="AY526">
        <v>5</v>
      </c>
      <c r="AZ526">
        <v>2</v>
      </c>
      <c r="BA526">
        <v>1</v>
      </c>
      <c r="BB526">
        <v>1440</v>
      </c>
      <c r="BC526">
        <v>0</v>
      </c>
      <c r="BD526">
        <v>0</v>
      </c>
      <c r="BE526">
        <v>14</v>
      </c>
      <c r="BF526">
        <v>25</v>
      </c>
      <c r="BG526">
        <v>3</v>
      </c>
      <c r="BH526">
        <v>8</v>
      </c>
      <c r="BI526">
        <v>3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0</v>
      </c>
      <c r="BQ526">
        <v>60</v>
      </c>
      <c r="BR526">
        <v>0</v>
      </c>
      <c r="BS526">
        <v>3</v>
      </c>
      <c r="BT526" t="s">
        <v>246</v>
      </c>
      <c r="BU526" t="s">
        <v>267</v>
      </c>
      <c r="BV526" t="b">
        <v>0</v>
      </c>
      <c r="BW526" t="s">
        <v>268</v>
      </c>
    </row>
    <row r="527" spans="1:75">
      <c r="A527" t="s">
        <v>246</v>
      </c>
      <c r="B527" t="s">
        <v>252</v>
      </c>
      <c r="C527">
        <v>881</v>
      </c>
      <c r="D527" t="s">
        <v>253</v>
      </c>
      <c r="E527" t="s">
        <v>254</v>
      </c>
      <c r="F527">
        <v>5</v>
      </c>
      <c r="G527" s="13">
        <v>46267.594837962963</v>
      </c>
      <c r="H527" s="13">
        <v>46267.594988425924</v>
      </c>
      <c r="I527">
        <v>13</v>
      </c>
      <c r="J527" t="s">
        <v>264</v>
      </c>
      <c r="K527">
        <v>1</v>
      </c>
      <c r="L527">
        <v>0.01</v>
      </c>
      <c r="M527">
        <v>0.01</v>
      </c>
      <c r="N527">
        <v>1</v>
      </c>
      <c r="O527">
        <v>0.01</v>
      </c>
      <c r="P527">
        <v>0.16</v>
      </c>
      <c r="Q527">
        <v>1.18</v>
      </c>
      <c r="R527">
        <v>0.99</v>
      </c>
      <c r="S527" t="s">
        <v>256</v>
      </c>
      <c r="T527" t="s">
        <v>257</v>
      </c>
      <c r="U527">
        <v>10</v>
      </c>
      <c r="V527">
        <v>7201.37</v>
      </c>
      <c r="W527">
        <v>4999.84</v>
      </c>
      <c r="X527">
        <v>4999.84</v>
      </c>
      <c r="Y527">
        <v>0</v>
      </c>
      <c r="Z527">
        <v>0</v>
      </c>
      <c r="AA527">
        <v>35</v>
      </c>
      <c r="AB527">
        <v>50</v>
      </c>
      <c r="AC527">
        <v>5000</v>
      </c>
      <c r="AD527">
        <v>0</v>
      </c>
      <c r="AE527">
        <v>0</v>
      </c>
      <c r="AF527">
        <v>7202.35</v>
      </c>
      <c r="AG527">
        <v>7202.35</v>
      </c>
      <c r="AH527" s="14">
        <v>46267</v>
      </c>
      <c r="AI527" t="s">
        <v>266</v>
      </c>
      <c r="AJ527" s="13">
        <v>46265.054768518516</v>
      </c>
      <c r="AK527">
        <v>6763.31</v>
      </c>
      <c r="AL527" t="s">
        <v>259</v>
      </c>
      <c r="AM527" t="s">
        <v>260</v>
      </c>
      <c r="AN527">
        <v>1400</v>
      </c>
      <c r="AO527">
        <v>0</v>
      </c>
      <c r="AP527">
        <v>35</v>
      </c>
      <c r="AQ527">
        <v>85</v>
      </c>
      <c r="AR527">
        <v>35</v>
      </c>
      <c r="AS527">
        <v>2</v>
      </c>
      <c r="AT527">
        <v>23</v>
      </c>
      <c r="AU527">
        <v>1</v>
      </c>
      <c r="AV527">
        <v>0</v>
      </c>
      <c r="AW527">
        <v>10</v>
      </c>
      <c r="AX527">
        <v>1</v>
      </c>
      <c r="AY527">
        <v>5</v>
      </c>
      <c r="AZ527">
        <v>2</v>
      </c>
      <c r="BA527">
        <v>1</v>
      </c>
      <c r="BB527">
        <v>1440</v>
      </c>
      <c r="BC527">
        <v>0</v>
      </c>
      <c r="BD527">
        <v>0</v>
      </c>
      <c r="BE527">
        <v>14</v>
      </c>
      <c r="BF527">
        <v>25</v>
      </c>
      <c r="BG527">
        <v>3</v>
      </c>
      <c r="BH527">
        <v>8</v>
      </c>
      <c r="BI527">
        <v>3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0</v>
      </c>
      <c r="BQ527">
        <v>60</v>
      </c>
      <c r="BR527">
        <v>0</v>
      </c>
      <c r="BS527">
        <v>3</v>
      </c>
      <c r="BT527" t="s">
        <v>246</v>
      </c>
      <c r="BU527" t="s">
        <v>267</v>
      </c>
      <c r="BV527" t="b">
        <v>0</v>
      </c>
      <c r="BW527" t="s">
        <v>268</v>
      </c>
    </row>
    <row r="528" spans="1:75">
      <c r="A528" t="s">
        <v>246</v>
      </c>
      <c r="B528" t="s">
        <v>252</v>
      </c>
      <c r="C528">
        <v>882</v>
      </c>
      <c r="D528" t="s">
        <v>253</v>
      </c>
      <c r="E528" t="s">
        <v>254</v>
      </c>
      <c r="F528">
        <v>5</v>
      </c>
      <c r="G528" s="13">
        <v>46267.599814814814</v>
      </c>
      <c r="H528" s="13">
        <v>46267.60328703704</v>
      </c>
      <c r="I528">
        <v>300</v>
      </c>
      <c r="J528" t="s">
        <v>255</v>
      </c>
      <c r="K528">
        <v>2</v>
      </c>
      <c r="L528">
        <v>0.02</v>
      </c>
      <c r="M528">
        <v>0.01</v>
      </c>
      <c r="N528">
        <v>2</v>
      </c>
      <c r="O528">
        <v>0.02</v>
      </c>
      <c r="P528">
        <v>2.86</v>
      </c>
      <c r="Q528">
        <v>5.62</v>
      </c>
      <c r="R528">
        <v>3.6</v>
      </c>
      <c r="S528" t="s">
        <v>263</v>
      </c>
      <c r="T528" t="s">
        <v>257</v>
      </c>
      <c r="U528">
        <v>11</v>
      </c>
      <c r="V528">
        <v>7202.18</v>
      </c>
      <c r="W528">
        <v>4999.83</v>
      </c>
      <c r="X528">
        <v>4997.1400000000003</v>
      </c>
      <c r="Y528">
        <v>0</v>
      </c>
      <c r="Z528">
        <v>0</v>
      </c>
      <c r="AA528">
        <v>35</v>
      </c>
      <c r="AB528">
        <v>50</v>
      </c>
      <c r="AC528">
        <v>5000</v>
      </c>
      <c r="AD528">
        <v>0</v>
      </c>
      <c r="AE528">
        <v>0</v>
      </c>
      <c r="AF528">
        <v>7205.93</v>
      </c>
      <c r="AG528">
        <v>7205.93</v>
      </c>
      <c r="AH528" s="14">
        <v>46267</v>
      </c>
      <c r="AI528" t="s">
        <v>266</v>
      </c>
      <c r="AJ528" s="13">
        <v>46265.054768518516</v>
      </c>
      <c r="AK528">
        <v>6763.31</v>
      </c>
      <c r="AL528" t="s">
        <v>259</v>
      </c>
      <c r="AM528" t="s">
        <v>260</v>
      </c>
      <c r="AN528">
        <v>1400</v>
      </c>
      <c r="AO528">
        <v>0</v>
      </c>
      <c r="AP528">
        <v>35</v>
      </c>
      <c r="AQ528">
        <v>85</v>
      </c>
      <c r="AR528">
        <v>35</v>
      </c>
      <c r="AS528">
        <v>2</v>
      </c>
      <c r="AT528">
        <v>23</v>
      </c>
      <c r="AU528">
        <v>1</v>
      </c>
      <c r="AV528">
        <v>0</v>
      </c>
      <c r="AW528">
        <v>10</v>
      </c>
      <c r="AX528">
        <v>1</v>
      </c>
      <c r="AY528">
        <v>5</v>
      </c>
      <c r="AZ528">
        <v>2</v>
      </c>
      <c r="BA528">
        <v>1</v>
      </c>
      <c r="BB528">
        <v>1440</v>
      </c>
      <c r="BC528">
        <v>0</v>
      </c>
      <c r="BD528">
        <v>0</v>
      </c>
      <c r="BE528">
        <v>14</v>
      </c>
      <c r="BF528">
        <v>25</v>
      </c>
      <c r="BG528">
        <v>3</v>
      </c>
      <c r="BH528">
        <v>8</v>
      </c>
      <c r="BI528">
        <v>3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60</v>
      </c>
      <c r="BR528">
        <v>0</v>
      </c>
      <c r="BS528">
        <v>3</v>
      </c>
      <c r="BT528" t="s">
        <v>246</v>
      </c>
      <c r="BU528" t="s">
        <v>267</v>
      </c>
      <c r="BV528" t="b">
        <v>0</v>
      </c>
      <c r="BW528" t="s">
        <v>268</v>
      </c>
    </row>
    <row r="529" spans="1:75">
      <c r="A529" t="s">
        <v>246</v>
      </c>
      <c r="B529" t="s">
        <v>252</v>
      </c>
      <c r="C529">
        <v>883</v>
      </c>
      <c r="D529" t="s">
        <v>253</v>
      </c>
      <c r="E529" t="s">
        <v>254</v>
      </c>
      <c r="F529">
        <v>5</v>
      </c>
      <c r="G529" s="13">
        <v>46267.606122685182</v>
      </c>
      <c r="H529" s="13">
        <v>46267.606620370374</v>
      </c>
      <c r="I529">
        <v>43</v>
      </c>
      <c r="J529" t="s">
        <v>255</v>
      </c>
      <c r="K529">
        <v>1</v>
      </c>
      <c r="L529">
        <v>0.01</v>
      </c>
      <c r="M529">
        <v>0.01</v>
      </c>
      <c r="N529">
        <v>1</v>
      </c>
      <c r="O529">
        <v>0.01</v>
      </c>
      <c r="P529">
        <v>0.17</v>
      </c>
      <c r="Q529">
        <v>1.29</v>
      </c>
      <c r="R529">
        <v>1.2</v>
      </c>
      <c r="S529" t="s">
        <v>256</v>
      </c>
      <c r="T529" t="s">
        <v>257</v>
      </c>
      <c r="U529">
        <v>10</v>
      </c>
      <c r="V529">
        <v>7205.76</v>
      </c>
      <c r="W529">
        <v>4999.83</v>
      </c>
      <c r="X529">
        <v>4999.83</v>
      </c>
      <c r="Y529">
        <v>0</v>
      </c>
      <c r="Z529">
        <v>0</v>
      </c>
      <c r="AA529">
        <v>35</v>
      </c>
      <c r="AB529">
        <v>50</v>
      </c>
      <c r="AC529">
        <v>5000</v>
      </c>
      <c r="AD529">
        <v>0</v>
      </c>
      <c r="AE529">
        <v>0</v>
      </c>
      <c r="AF529">
        <v>7206.87</v>
      </c>
      <c r="AG529">
        <v>7206.87</v>
      </c>
      <c r="AH529" s="14">
        <v>46267</v>
      </c>
      <c r="AI529" t="s">
        <v>266</v>
      </c>
      <c r="AJ529" s="13">
        <v>46265.054768518516</v>
      </c>
      <c r="AK529">
        <v>6763.31</v>
      </c>
      <c r="AL529" t="s">
        <v>259</v>
      </c>
      <c r="AM529" t="s">
        <v>260</v>
      </c>
      <c r="AN529">
        <v>1400</v>
      </c>
      <c r="AO529">
        <v>0</v>
      </c>
      <c r="AP529">
        <v>35</v>
      </c>
      <c r="AQ529">
        <v>85</v>
      </c>
      <c r="AR529">
        <v>35</v>
      </c>
      <c r="AS529">
        <v>2</v>
      </c>
      <c r="AT529">
        <v>23</v>
      </c>
      <c r="AU529">
        <v>1</v>
      </c>
      <c r="AV529">
        <v>0</v>
      </c>
      <c r="AW529">
        <v>10</v>
      </c>
      <c r="AX529">
        <v>1</v>
      </c>
      <c r="AY529">
        <v>5</v>
      </c>
      <c r="AZ529">
        <v>2</v>
      </c>
      <c r="BA529">
        <v>1</v>
      </c>
      <c r="BB529">
        <v>1440</v>
      </c>
      <c r="BC529">
        <v>0</v>
      </c>
      <c r="BD529">
        <v>0</v>
      </c>
      <c r="BE529">
        <v>14</v>
      </c>
      <c r="BF529">
        <v>25</v>
      </c>
      <c r="BG529">
        <v>3</v>
      </c>
      <c r="BH529">
        <v>8</v>
      </c>
      <c r="BI529">
        <v>3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0</v>
      </c>
      <c r="BQ529">
        <v>60</v>
      </c>
      <c r="BR529">
        <v>0</v>
      </c>
      <c r="BS529">
        <v>3</v>
      </c>
      <c r="BT529" t="s">
        <v>246</v>
      </c>
      <c r="BU529" t="s">
        <v>267</v>
      </c>
      <c r="BV529" t="b">
        <v>0</v>
      </c>
      <c r="BW529" t="s">
        <v>268</v>
      </c>
    </row>
    <row r="530" spans="1:75">
      <c r="A530" t="s">
        <v>246</v>
      </c>
      <c r="B530" t="s">
        <v>252</v>
      </c>
      <c r="C530">
        <v>884</v>
      </c>
      <c r="D530" t="s">
        <v>253</v>
      </c>
      <c r="E530" t="s">
        <v>254</v>
      </c>
      <c r="F530">
        <v>5</v>
      </c>
      <c r="G530" s="13">
        <v>46267.609456018516</v>
      </c>
      <c r="H530" s="13">
        <v>46267.621249999997</v>
      </c>
      <c r="I530">
        <v>1019</v>
      </c>
      <c r="J530" t="s">
        <v>255</v>
      </c>
      <c r="K530">
        <v>3</v>
      </c>
      <c r="L530">
        <v>0.03</v>
      </c>
      <c r="M530">
        <v>0.01</v>
      </c>
      <c r="N530">
        <v>3</v>
      </c>
      <c r="O530">
        <v>0.03</v>
      </c>
      <c r="P530">
        <v>12.66</v>
      </c>
      <c r="Q530">
        <v>6.61</v>
      </c>
      <c r="R530">
        <v>4</v>
      </c>
      <c r="S530" t="s">
        <v>263</v>
      </c>
      <c r="T530" t="s">
        <v>257</v>
      </c>
      <c r="U530">
        <v>11</v>
      </c>
      <c r="V530">
        <v>7206.71</v>
      </c>
      <c r="W530">
        <v>4999.84</v>
      </c>
      <c r="X530">
        <v>4987.34</v>
      </c>
      <c r="Y530">
        <v>0</v>
      </c>
      <c r="Z530">
        <v>0</v>
      </c>
      <c r="AA530">
        <v>35</v>
      </c>
      <c r="AB530">
        <v>50</v>
      </c>
      <c r="AC530">
        <v>5000</v>
      </c>
      <c r="AD530">
        <v>0</v>
      </c>
      <c r="AE530">
        <v>0</v>
      </c>
      <c r="AF530">
        <v>7210.87</v>
      </c>
      <c r="AG530">
        <v>7210.87</v>
      </c>
      <c r="AH530" s="14">
        <v>46267</v>
      </c>
      <c r="AI530" t="s">
        <v>266</v>
      </c>
      <c r="AJ530" s="13">
        <v>46265.054768518516</v>
      </c>
      <c r="AK530">
        <v>6763.31</v>
      </c>
      <c r="AL530" t="s">
        <v>259</v>
      </c>
      <c r="AM530" t="s">
        <v>260</v>
      </c>
      <c r="AN530">
        <v>1400</v>
      </c>
      <c r="AO530">
        <v>0</v>
      </c>
      <c r="AP530">
        <v>35</v>
      </c>
      <c r="AQ530">
        <v>85</v>
      </c>
      <c r="AR530">
        <v>35</v>
      </c>
      <c r="AS530">
        <v>2</v>
      </c>
      <c r="AT530">
        <v>23</v>
      </c>
      <c r="AU530">
        <v>1</v>
      </c>
      <c r="AV530">
        <v>0</v>
      </c>
      <c r="AW530">
        <v>10</v>
      </c>
      <c r="AX530">
        <v>1</v>
      </c>
      <c r="AY530">
        <v>5</v>
      </c>
      <c r="AZ530">
        <v>2</v>
      </c>
      <c r="BA530">
        <v>1</v>
      </c>
      <c r="BB530">
        <v>1440</v>
      </c>
      <c r="BC530">
        <v>0</v>
      </c>
      <c r="BD530">
        <v>0</v>
      </c>
      <c r="BE530">
        <v>14</v>
      </c>
      <c r="BF530">
        <v>25</v>
      </c>
      <c r="BG530">
        <v>3</v>
      </c>
      <c r="BH530">
        <v>8</v>
      </c>
      <c r="BI530">
        <v>3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0</v>
      </c>
      <c r="BQ530">
        <v>60</v>
      </c>
      <c r="BR530">
        <v>0</v>
      </c>
      <c r="BS530">
        <v>3</v>
      </c>
      <c r="BT530" t="s">
        <v>246</v>
      </c>
      <c r="BU530" t="s">
        <v>267</v>
      </c>
      <c r="BV530" t="b">
        <v>0</v>
      </c>
      <c r="BW530" t="s">
        <v>268</v>
      </c>
    </row>
    <row r="531" spans="1:75">
      <c r="A531" t="s">
        <v>246</v>
      </c>
      <c r="B531" t="s">
        <v>252</v>
      </c>
      <c r="C531">
        <v>885</v>
      </c>
      <c r="D531" t="s">
        <v>253</v>
      </c>
      <c r="E531" t="s">
        <v>254</v>
      </c>
      <c r="F531">
        <v>5</v>
      </c>
      <c r="G531" s="13">
        <v>46267.625231481485</v>
      </c>
      <c r="H531" s="13">
        <v>46267.627233796295</v>
      </c>
      <c r="I531">
        <v>173</v>
      </c>
      <c r="J531" t="s">
        <v>264</v>
      </c>
      <c r="K531">
        <v>1</v>
      </c>
      <c r="L531">
        <v>0.01</v>
      </c>
      <c r="M531">
        <v>0.01</v>
      </c>
      <c r="N531">
        <v>1</v>
      </c>
      <c r="O531">
        <v>0.01</v>
      </c>
      <c r="P531">
        <v>3.33</v>
      </c>
      <c r="Q531">
        <v>1.1499999999999999</v>
      </c>
      <c r="R531">
        <v>1.01</v>
      </c>
      <c r="S531" t="s">
        <v>256</v>
      </c>
      <c r="T531" t="s">
        <v>257</v>
      </c>
      <c r="U531">
        <v>10</v>
      </c>
      <c r="V531">
        <v>7210.7</v>
      </c>
      <c r="W531">
        <v>4999.83</v>
      </c>
      <c r="X531">
        <v>4996.67</v>
      </c>
      <c r="Y531">
        <v>0</v>
      </c>
      <c r="Z531">
        <v>0</v>
      </c>
      <c r="AA531">
        <v>35</v>
      </c>
      <c r="AB531">
        <v>50</v>
      </c>
      <c r="AC531">
        <v>5000</v>
      </c>
      <c r="AD531">
        <v>0</v>
      </c>
      <c r="AE531">
        <v>0</v>
      </c>
      <c r="AF531">
        <v>7211.67</v>
      </c>
      <c r="AG531">
        <v>7211.67</v>
      </c>
      <c r="AH531" s="14">
        <v>46267</v>
      </c>
      <c r="AI531" t="s">
        <v>266</v>
      </c>
      <c r="AJ531" s="13">
        <v>46265.054768518516</v>
      </c>
      <c r="AK531">
        <v>6763.31</v>
      </c>
      <c r="AL531" t="s">
        <v>259</v>
      </c>
      <c r="AM531" t="s">
        <v>260</v>
      </c>
      <c r="AN531">
        <v>1400</v>
      </c>
      <c r="AO531">
        <v>0</v>
      </c>
      <c r="AP531">
        <v>35</v>
      </c>
      <c r="AQ531">
        <v>85</v>
      </c>
      <c r="AR531">
        <v>35</v>
      </c>
      <c r="AS531">
        <v>2</v>
      </c>
      <c r="AT531">
        <v>23</v>
      </c>
      <c r="AU531">
        <v>1</v>
      </c>
      <c r="AV531">
        <v>0</v>
      </c>
      <c r="AW531">
        <v>10</v>
      </c>
      <c r="AX531">
        <v>1</v>
      </c>
      <c r="AY531">
        <v>5</v>
      </c>
      <c r="AZ531">
        <v>2</v>
      </c>
      <c r="BA531">
        <v>1</v>
      </c>
      <c r="BB531">
        <v>1440</v>
      </c>
      <c r="BC531">
        <v>0</v>
      </c>
      <c r="BD531">
        <v>0</v>
      </c>
      <c r="BE531">
        <v>14</v>
      </c>
      <c r="BF531">
        <v>25</v>
      </c>
      <c r="BG531">
        <v>3</v>
      </c>
      <c r="BH531">
        <v>8</v>
      </c>
      <c r="BI531">
        <v>3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0</v>
      </c>
      <c r="BQ531">
        <v>60</v>
      </c>
      <c r="BR531">
        <v>0</v>
      </c>
      <c r="BS531">
        <v>3</v>
      </c>
      <c r="BT531" t="s">
        <v>246</v>
      </c>
      <c r="BU531" t="s">
        <v>267</v>
      </c>
      <c r="BV531" t="b">
        <v>0</v>
      </c>
      <c r="BW531" t="s">
        <v>268</v>
      </c>
    </row>
    <row r="532" spans="1:75">
      <c r="A532" t="s">
        <v>246</v>
      </c>
      <c r="B532" t="s">
        <v>252</v>
      </c>
      <c r="C532">
        <v>886</v>
      </c>
      <c r="D532" t="s">
        <v>253</v>
      </c>
      <c r="E532" t="s">
        <v>254</v>
      </c>
      <c r="F532">
        <v>5</v>
      </c>
      <c r="G532" s="13">
        <v>46267.629502314812</v>
      </c>
      <c r="H532" s="13">
        <v>46267.630925925929</v>
      </c>
      <c r="I532">
        <v>123</v>
      </c>
      <c r="J532" t="s">
        <v>264</v>
      </c>
      <c r="K532">
        <v>1</v>
      </c>
      <c r="L532">
        <v>0.01</v>
      </c>
      <c r="M532">
        <v>0.01</v>
      </c>
      <c r="N532">
        <v>1</v>
      </c>
      <c r="O532">
        <v>0.01</v>
      </c>
      <c r="P532">
        <v>3.06</v>
      </c>
      <c r="Q532">
        <v>1.7</v>
      </c>
      <c r="R532">
        <v>1.5</v>
      </c>
      <c r="S532" t="s">
        <v>256</v>
      </c>
      <c r="T532" t="s">
        <v>257</v>
      </c>
      <c r="U532">
        <v>11</v>
      </c>
      <c r="V532">
        <v>7211.5</v>
      </c>
      <c r="W532">
        <v>4999.83</v>
      </c>
      <c r="X532">
        <v>4996.9399999999996</v>
      </c>
      <c r="Y532">
        <v>0</v>
      </c>
      <c r="Z532">
        <v>0</v>
      </c>
      <c r="AA532">
        <v>35</v>
      </c>
      <c r="AB532">
        <v>50</v>
      </c>
      <c r="AC532">
        <v>5000</v>
      </c>
      <c r="AD532">
        <v>0</v>
      </c>
      <c r="AE532">
        <v>0</v>
      </c>
      <c r="AF532">
        <v>7213.01</v>
      </c>
      <c r="AG532">
        <v>7213.01</v>
      </c>
      <c r="AH532" s="14">
        <v>46267</v>
      </c>
      <c r="AI532" t="s">
        <v>266</v>
      </c>
      <c r="AJ532" s="13">
        <v>46265.054768518516</v>
      </c>
      <c r="AK532">
        <v>6763.31</v>
      </c>
      <c r="AL532" t="s">
        <v>259</v>
      </c>
      <c r="AM532" t="s">
        <v>260</v>
      </c>
      <c r="AN532">
        <v>1400</v>
      </c>
      <c r="AO532">
        <v>0</v>
      </c>
      <c r="AP532">
        <v>35</v>
      </c>
      <c r="AQ532">
        <v>85</v>
      </c>
      <c r="AR532">
        <v>35</v>
      </c>
      <c r="AS532">
        <v>2</v>
      </c>
      <c r="AT532">
        <v>23</v>
      </c>
      <c r="AU532">
        <v>1</v>
      </c>
      <c r="AV532">
        <v>0</v>
      </c>
      <c r="AW532">
        <v>10</v>
      </c>
      <c r="AX532">
        <v>1</v>
      </c>
      <c r="AY532">
        <v>5</v>
      </c>
      <c r="AZ532">
        <v>2</v>
      </c>
      <c r="BA532">
        <v>1</v>
      </c>
      <c r="BB532">
        <v>1440</v>
      </c>
      <c r="BC532">
        <v>0</v>
      </c>
      <c r="BD532">
        <v>0</v>
      </c>
      <c r="BE532">
        <v>14</v>
      </c>
      <c r="BF532">
        <v>25</v>
      </c>
      <c r="BG532">
        <v>3</v>
      </c>
      <c r="BH532">
        <v>8</v>
      </c>
      <c r="BI532">
        <v>3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0</v>
      </c>
      <c r="BQ532">
        <v>60</v>
      </c>
      <c r="BR532">
        <v>0</v>
      </c>
      <c r="BS532">
        <v>3</v>
      </c>
      <c r="BT532" t="s">
        <v>246</v>
      </c>
      <c r="BU532" t="s">
        <v>267</v>
      </c>
      <c r="BV532" t="b">
        <v>0</v>
      </c>
      <c r="BW532" t="s">
        <v>268</v>
      </c>
    </row>
    <row r="533" spans="1:75">
      <c r="A533" t="s">
        <v>246</v>
      </c>
      <c r="B533" t="s">
        <v>252</v>
      </c>
      <c r="C533">
        <v>887</v>
      </c>
      <c r="D533" t="s">
        <v>253</v>
      </c>
      <c r="E533" t="s">
        <v>254</v>
      </c>
      <c r="F533">
        <v>5</v>
      </c>
      <c r="G533" s="13">
        <v>46267.633379629631</v>
      </c>
      <c r="H533" s="13">
        <v>46267.633634259262</v>
      </c>
      <c r="I533">
        <v>22</v>
      </c>
      <c r="J533" t="s">
        <v>264</v>
      </c>
      <c r="K533">
        <v>1</v>
      </c>
      <c r="L533">
        <v>0.01</v>
      </c>
      <c r="M533">
        <v>0.01</v>
      </c>
      <c r="N533">
        <v>1</v>
      </c>
      <c r="O533">
        <v>0.01</v>
      </c>
      <c r="P533">
        <v>0.17</v>
      </c>
      <c r="Q533">
        <v>0.9</v>
      </c>
      <c r="R533">
        <v>0.63</v>
      </c>
      <c r="S533" t="s">
        <v>256</v>
      </c>
      <c r="T533" t="s">
        <v>257</v>
      </c>
      <c r="U533">
        <v>11</v>
      </c>
      <c r="V533">
        <v>7212.84</v>
      </c>
      <c r="W533">
        <v>4999.83</v>
      </c>
      <c r="X533">
        <v>4999.83</v>
      </c>
      <c r="Y533">
        <v>0</v>
      </c>
      <c r="Z533">
        <v>0</v>
      </c>
      <c r="AA533">
        <v>35</v>
      </c>
      <c r="AB533">
        <v>50</v>
      </c>
      <c r="AC533">
        <v>5000</v>
      </c>
      <c r="AD533">
        <v>0</v>
      </c>
      <c r="AE533">
        <v>0</v>
      </c>
      <c r="AF533">
        <v>7213.56</v>
      </c>
      <c r="AG533">
        <v>7213.56</v>
      </c>
      <c r="AH533" s="14">
        <v>46267</v>
      </c>
      <c r="AI533" t="s">
        <v>266</v>
      </c>
      <c r="AJ533" s="13">
        <v>46265.054768518516</v>
      </c>
      <c r="AK533">
        <v>6763.31</v>
      </c>
      <c r="AL533" t="s">
        <v>259</v>
      </c>
      <c r="AM533" t="s">
        <v>260</v>
      </c>
      <c r="AN533">
        <v>1400</v>
      </c>
      <c r="AO533">
        <v>0</v>
      </c>
      <c r="AP533">
        <v>35</v>
      </c>
      <c r="AQ533">
        <v>85</v>
      </c>
      <c r="AR533">
        <v>35</v>
      </c>
      <c r="AS533">
        <v>2</v>
      </c>
      <c r="AT533">
        <v>23</v>
      </c>
      <c r="AU533">
        <v>1</v>
      </c>
      <c r="AV533">
        <v>0</v>
      </c>
      <c r="AW533">
        <v>10</v>
      </c>
      <c r="AX533">
        <v>1</v>
      </c>
      <c r="AY533">
        <v>5</v>
      </c>
      <c r="AZ533">
        <v>2</v>
      </c>
      <c r="BA533">
        <v>1</v>
      </c>
      <c r="BB533">
        <v>1440</v>
      </c>
      <c r="BC533">
        <v>0</v>
      </c>
      <c r="BD533">
        <v>0</v>
      </c>
      <c r="BE533">
        <v>14</v>
      </c>
      <c r="BF533">
        <v>25</v>
      </c>
      <c r="BG533">
        <v>3</v>
      </c>
      <c r="BH533">
        <v>8</v>
      </c>
      <c r="BI533">
        <v>3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0</v>
      </c>
      <c r="BQ533">
        <v>60</v>
      </c>
      <c r="BR533">
        <v>0</v>
      </c>
      <c r="BS533">
        <v>3</v>
      </c>
      <c r="BT533" t="s">
        <v>246</v>
      </c>
      <c r="BU533" t="s">
        <v>267</v>
      </c>
      <c r="BV533" t="b">
        <v>0</v>
      </c>
      <c r="BW533" t="s">
        <v>268</v>
      </c>
    </row>
    <row r="534" spans="1:75">
      <c r="A534" t="s">
        <v>246</v>
      </c>
      <c r="B534" t="s">
        <v>252</v>
      </c>
      <c r="C534">
        <v>888</v>
      </c>
      <c r="D534" t="s">
        <v>253</v>
      </c>
      <c r="E534" t="s">
        <v>254</v>
      </c>
      <c r="F534">
        <v>5</v>
      </c>
      <c r="G534" s="13">
        <v>46267.636458333334</v>
      </c>
      <c r="H534" s="13">
        <v>46267.649039351854</v>
      </c>
      <c r="I534">
        <v>1087</v>
      </c>
      <c r="J534" t="s">
        <v>264</v>
      </c>
      <c r="K534">
        <v>4</v>
      </c>
      <c r="L534">
        <v>0.04</v>
      </c>
      <c r="M534">
        <v>0.01</v>
      </c>
      <c r="N534">
        <v>4</v>
      </c>
      <c r="O534">
        <v>0.04</v>
      </c>
      <c r="P534">
        <v>18.05</v>
      </c>
      <c r="Q534">
        <v>17.260000000000002</v>
      </c>
      <c r="R534">
        <v>15.22</v>
      </c>
      <c r="S534" t="s">
        <v>263</v>
      </c>
      <c r="T534" t="s">
        <v>257</v>
      </c>
      <c r="U534">
        <v>11</v>
      </c>
      <c r="V534">
        <v>7213.4</v>
      </c>
      <c r="W534">
        <v>4999.84</v>
      </c>
      <c r="X534">
        <v>4981.95</v>
      </c>
      <c r="Y534">
        <v>0</v>
      </c>
      <c r="Z534">
        <v>0</v>
      </c>
      <c r="AA534">
        <v>35</v>
      </c>
      <c r="AB534">
        <v>50</v>
      </c>
      <c r="AC534">
        <v>5000</v>
      </c>
      <c r="AD534">
        <v>0</v>
      </c>
      <c r="AE534">
        <v>0</v>
      </c>
      <c r="AF534">
        <v>7228.83</v>
      </c>
      <c r="AG534">
        <v>7228.83</v>
      </c>
      <c r="AH534" s="14">
        <v>46267</v>
      </c>
      <c r="AI534" t="s">
        <v>266</v>
      </c>
      <c r="AJ534" s="13">
        <v>46265.054768518516</v>
      </c>
      <c r="AK534">
        <v>6763.31</v>
      </c>
      <c r="AL534" t="s">
        <v>259</v>
      </c>
      <c r="AM534" t="s">
        <v>260</v>
      </c>
      <c r="AN534">
        <v>1400</v>
      </c>
      <c r="AO534">
        <v>0</v>
      </c>
      <c r="AP534">
        <v>35</v>
      </c>
      <c r="AQ534">
        <v>85</v>
      </c>
      <c r="AR534">
        <v>35</v>
      </c>
      <c r="AS534">
        <v>2</v>
      </c>
      <c r="AT534">
        <v>23</v>
      </c>
      <c r="AU534">
        <v>1</v>
      </c>
      <c r="AV534">
        <v>0</v>
      </c>
      <c r="AW534">
        <v>10</v>
      </c>
      <c r="AX534">
        <v>1</v>
      </c>
      <c r="AY534">
        <v>5</v>
      </c>
      <c r="AZ534">
        <v>2</v>
      </c>
      <c r="BA534">
        <v>1</v>
      </c>
      <c r="BB534">
        <v>1440</v>
      </c>
      <c r="BC534">
        <v>0</v>
      </c>
      <c r="BD534">
        <v>0</v>
      </c>
      <c r="BE534">
        <v>14</v>
      </c>
      <c r="BF534">
        <v>25</v>
      </c>
      <c r="BG534">
        <v>3</v>
      </c>
      <c r="BH534">
        <v>8</v>
      </c>
      <c r="BI534">
        <v>3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0</v>
      </c>
      <c r="BQ534">
        <v>60</v>
      </c>
      <c r="BR534">
        <v>0</v>
      </c>
      <c r="BS534">
        <v>3</v>
      </c>
      <c r="BT534" t="s">
        <v>246</v>
      </c>
      <c r="BU534" t="s">
        <v>267</v>
      </c>
      <c r="BV534" t="b">
        <v>0</v>
      </c>
      <c r="BW534" t="s">
        <v>268</v>
      </c>
    </row>
    <row r="535" spans="1:75">
      <c r="A535" t="s">
        <v>246</v>
      </c>
      <c r="B535" t="s">
        <v>252</v>
      </c>
      <c r="C535">
        <v>889</v>
      </c>
      <c r="D535" t="s">
        <v>253</v>
      </c>
      <c r="E535" t="s">
        <v>254</v>
      </c>
      <c r="F535">
        <v>5</v>
      </c>
      <c r="G535" s="13">
        <v>46267.650856481479</v>
      </c>
      <c r="H535" s="13">
        <v>46267.764374999999</v>
      </c>
      <c r="I535">
        <v>9808</v>
      </c>
      <c r="J535" t="s">
        <v>264</v>
      </c>
      <c r="K535">
        <v>24</v>
      </c>
      <c r="L535">
        <v>0.24</v>
      </c>
      <c r="M535">
        <v>0.01</v>
      </c>
      <c r="N535">
        <v>24</v>
      </c>
      <c r="O535">
        <v>0.24</v>
      </c>
      <c r="P535">
        <v>525.97</v>
      </c>
      <c r="Q535">
        <v>12.95</v>
      </c>
      <c r="R535">
        <v>10.79</v>
      </c>
      <c r="S535" t="s">
        <v>263</v>
      </c>
      <c r="T535" t="s">
        <v>257</v>
      </c>
      <c r="U535">
        <v>11</v>
      </c>
      <c r="V535">
        <v>7228.67</v>
      </c>
      <c r="W535">
        <v>4999.84</v>
      </c>
      <c r="X535">
        <v>4474.03</v>
      </c>
      <c r="Y535">
        <v>0</v>
      </c>
      <c r="Z535">
        <v>0</v>
      </c>
      <c r="AA535">
        <v>35</v>
      </c>
      <c r="AB535">
        <v>50</v>
      </c>
      <c r="AC535">
        <v>5000</v>
      </c>
      <c r="AD535">
        <v>0</v>
      </c>
      <c r="AE535">
        <v>0</v>
      </c>
      <c r="AF535">
        <v>7237.75</v>
      </c>
      <c r="AG535">
        <v>7237.75</v>
      </c>
      <c r="AH535" s="14">
        <v>46267</v>
      </c>
      <c r="AI535" t="s">
        <v>266</v>
      </c>
      <c r="AJ535" s="13">
        <v>46265.054768518516</v>
      </c>
      <c r="AK535">
        <v>6763.31</v>
      </c>
      <c r="AL535" t="s">
        <v>259</v>
      </c>
      <c r="AM535" t="s">
        <v>260</v>
      </c>
      <c r="AN535">
        <v>1400</v>
      </c>
      <c r="AO535">
        <v>0</v>
      </c>
      <c r="AP535">
        <v>35</v>
      </c>
      <c r="AQ535">
        <v>85</v>
      </c>
      <c r="AR535">
        <v>35</v>
      </c>
      <c r="AS535">
        <v>2</v>
      </c>
      <c r="AT535">
        <v>23</v>
      </c>
      <c r="AU535">
        <v>1</v>
      </c>
      <c r="AV535">
        <v>0</v>
      </c>
      <c r="AW535">
        <v>10</v>
      </c>
      <c r="AX535">
        <v>1</v>
      </c>
      <c r="AY535">
        <v>5</v>
      </c>
      <c r="AZ535">
        <v>2</v>
      </c>
      <c r="BA535">
        <v>1</v>
      </c>
      <c r="BB535">
        <v>1440</v>
      </c>
      <c r="BC535">
        <v>0</v>
      </c>
      <c r="BD535">
        <v>0</v>
      </c>
      <c r="BE535">
        <v>14</v>
      </c>
      <c r="BF535">
        <v>25</v>
      </c>
      <c r="BG535">
        <v>3</v>
      </c>
      <c r="BH535">
        <v>8</v>
      </c>
      <c r="BI535">
        <v>3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0</v>
      </c>
      <c r="BQ535">
        <v>60</v>
      </c>
      <c r="BR535">
        <v>0</v>
      </c>
      <c r="BS535">
        <v>3</v>
      </c>
      <c r="BT535" t="s">
        <v>246</v>
      </c>
      <c r="BU535" t="s">
        <v>267</v>
      </c>
      <c r="BV535" t="b">
        <v>0</v>
      </c>
      <c r="BW535" t="s">
        <v>268</v>
      </c>
    </row>
    <row r="536" spans="1:75">
      <c r="A536" t="s">
        <v>246</v>
      </c>
      <c r="B536" t="s">
        <v>252</v>
      </c>
      <c r="C536">
        <v>890</v>
      </c>
      <c r="D536" t="s">
        <v>253</v>
      </c>
      <c r="E536" t="s">
        <v>254</v>
      </c>
      <c r="F536">
        <v>5</v>
      </c>
      <c r="G536" s="13">
        <v>46267.764837962961</v>
      </c>
      <c r="H536" s="13">
        <v>46267.765497685185</v>
      </c>
      <c r="I536">
        <v>57</v>
      </c>
      <c r="J536" t="s">
        <v>264</v>
      </c>
      <c r="K536">
        <v>1</v>
      </c>
      <c r="L536">
        <v>0.01</v>
      </c>
      <c r="M536">
        <v>0.01</v>
      </c>
      <c r="N536">
        <v>1</v>
      </c>
      <c r="O536">
        <v>0.01</v>
      </c>
      <c r="P536">
        <v>0.16</v>
      </c>
      <c r="Q536">
        <v>0.93</v>
      </c>
      <c r="R536">
        <v>0.64</v>
      </c>
      <c r="S536" t="s">
        <v>256</v>
      </c>
      <c r="T536" t="s">
        <v>257</v>
      </c>
      <c r="U536">
        <v>11</v>
      </c>
      <c r="V536">
        <v>7237.59</v>
      </c>
      <c r="W536">
        <v>4999.84</v>
      </c>
      <c r="X536">
        <v>4999.84</v>
      </c>
      <c r="Y536">
        <v>0</v>
      </c>
      <c r="Z536">
        <v>0</v>
      </c>
      <c r="AA536">
        <v>35</v>
      </c>
      <c r="AB536">
        <v>50</v>
      </c>
      <c r="AC536">
        <v>5000</v>
      </c>
      <c r="AD536">
        <v>0</v>
      </c>
      <c r="AE536">
        <v>0</v>
      </c>
      <c r="AF536">
        <v>7238.33</v>
      </c>
      <c r="AG536">
        <v>7238.33</v>
      </c>
      <c r="AH536" s="14">
        <v>46267</v>
      </c>
      <c r="AI536" t="s">
        <v>266</v>
      </c>
      <c r="AJ536" s="13">
        <v>46265.054768518516</v>
      </c>
      <c r="AK536">
        <v>6763.31</v>
      </c>
      <c r="AL536" t="s">
        <v>259</v>
      </c>
      <c r="AM536" t="s">
        <v>260</v>
      </c>
      <c r="AN536">
        <v>1400</v>
      </c>
      <c r="AO536">
        <v>0</v>
      </c>
      <c r="AP536">
        <v>35</v>
      </c>
      <c r="AQ536">
        <v>85</v>
      </c>
      <c r="AR536">
        <v>35</v>
      </c>
      <c r="AS536">
        <v>2</v>
      </c>
      <c r="AT536">
        <v>23</v>
      </c>
      <c r="AU536">
        <v>1</v>
      </c>
      <c r="AV536">
        <v>0</v>
      </c>
      <c r="AW536">
        <v>10</v>
      </c>
      <c r="AX536">
        <v>1</v>
      </c>
      <c r="AY536">
        <v>5</v>
      </c>
      <c r="AZ536">
        <v>2</v>
      </c>
      <c r="BA536">
        <v>1</v>
      </c>
      <c r="BB536">
        <v>1440</v>
      </c>
      <c r="BC536">
        <v>0</v>
      </c>
      <c r="BD536">
        <v>0</v>
      </c>
      <c r="BE536">
        <v>14</v>
      </c>
      <c r="BF536">
        <v>25</v>
      </c>
      <c r="BG536">
        <v>3</v>
      </c>
      <c r="BH536">
        <v>8</v>
      </c>
      <c r="BI536">
        <v>3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0</v>
      </c>
      <c r="BQ536">
        <v>60</v>
      </c>
      <c r="BR536">
        <v>0</v>
      </c>
      <c r="BS536">
        <v>3</v>
      </c>
      <c r="BT536" t="s">
        <v>246</v>
      </c>
      <c r="BU536" t="s">
        <v>267</v>
      </c>
      <c r="BV536" t="b">
        <v>0</v>
      </c>
      <c r="BW536" t="s">
        <v>268</v>
      </c>
    </row>
    <row r="537" spans="1:75">
      <c r="A537" t="s">
        <v>246</v>
      </c>
      <c r="B537" t="s">
        <v>252</v>
      </c>
      <c r="C537">
        <v>891</v>
      </c>
      <c r="D537" t="s">
        <v>253</v>
      </c>
      <c r="E537" t="s">
        <v>254</v>
      </c>
      <c r="F537">
        <v>5</v>
      </c>
      <c r="G537" s="13">
        <v>46267.769108796296</v>
      </c>
      <c r="H537" s="13">
        <v>46267.776747685188</v>
      </c>
      <c r="I537">
        <v>660</v>
      </c>
      <c r="J537" t="s">
        <v>264</v>
      </c>
      <c r="K537">
        <v>3</v>
      </c>
      <c r="L537">
        <v>0.03</v>
      </c>
      <c r="M537">
        <v>0.01</v>
      </c>
      <c r="N537">
        <v>3</v>
      </c>
      <c r="O537">
        <v>0.03</v>
      </c>
      <c r="P537">
        <v>6.8</v>
      </c>
      <c r="Q537">
        <v>5.23</v>
      </c>
      <c r="R537">
        <v>2.56</v>
      </c>
      <c r="S537" t="s">
        <v>263</v>
      </c>
      <c r="T537" t="s">
        <v>257</v>
      </c>
      <c r="U537">
        <v>11</v>
      </c>
      <c r="V537">
        <v>7238.17</v>
      </c>
      <c r="W537">
        <v>4999.84</v>
      </c>
      <c r="X537">
        <v>4993.2</v>
      </c>
      <c r="Y537">
        <v>0</v>
      </c>
      <c r="Z537">
        <v>0</v>
      </c>
      <c r="AA537">
        <v>35</v>
      </c>
      <c r="AB537">
        <v>50</v>
      </c>
      <c r="AC537">
        <v>5000</v>
      </c>
      <c r="AD537">
        <v>0</v>
      </c>
      <c r="AE537">
        <v>0</v>
      </c>
      <c r="AF537">
        <v>7240.89</v>
      </c>
      <c r="AG537">
        <v>7240.89</v>
      </c>
      <c r="AH537" s="14">
        <v>46267</v>
      </c>
      <c r="AI537" t="s">
        <v>266</v>
      </c>
      <c r="AJ537" s="13">
        <v>46265.054768518516</v>
      </c>
      <c r="AK537">
        <v>6763.31</v>
      </c>
      <c r="AL537" t="s">
        <v>259</v>
      </c>
      <c r="AM537" t="s">
        <v>260</v>
      </c>
      <c r="AN537">
        <v>1400</v>
      </c>
      <c r="AO537">
        <v>0</v>
      </c>
      <c r="AP537">
        <v>35</v>
      </c>
      <c r="AQ537">
        <v>85</v>
      </c>
      <c r="AR537">
        <v>35</v>
      </c>
      <c r="AS537">
        <v>2</v>
      </c>
      <c r="AT537">
        <v>23</v>
      </c>
      <c r="AU537">
        <v>1</v>
      </c>
      <c r="AV537">
        <v>0</v>
      </c>
      <c r="AW537">
        <v>10</v>
      </c>
      <c r="AX537">
        <v>1</v>
      </c>
      <c r="AY537">
        <v>5</v>
      </c>
      <c r="AZ537">
        <v>2</v>
      </c>
      <c r="BA537">
        <v>1</v>
      </c>
      <c r="BB537">
        <v>1440</v>
      </c>
      <c r="BC537">
        <v>0</v>
      </c>
      <c r="BD537">
        <v>0</v>
      </c>
      <c r="BE537">
        <v>14</v>
      </c>
      <c r="BF537">
        <v>25</v>
      </c>
      <c r="BG537">
        <v>3</v>
      </c>
      <c r="BH537">
        <v>8</v>
      </c>
      <c r="BI537">
        <v>3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0</v>
      </c>
      <c r="BQ537">
        <v>60</v>
      </c>
      <c r="BR537">
        <v>0</v>
      </c>
      <c r="BS537">
        <v>3</v>
      </c>
      <c r="BT537" t="s">
        <v>246</v>
      </c>
      <c r="BU537" t="s">
        <v>267</v>
      </c>
      <c r="BV537" t="b">
        <v>0</v>
      </c>
      <c r="BW537" t="s">
        <v>268</v>
      </c>
    </row>
    <row r="538" spans="1:75">
      <c r="A538" t="s">
        <v>246</v>
      </c>
      <c r="B538" t="s">
        <v>252</v>
      </c>
      <c r="C538">
        <v>892</v>
      </c>
      <c r="D538" t="s">
        <v>253</v>
      </c>
      <c r="E538" t="s">
        <v>254</v>
      </c>
      <c r="F538">
        <v>5</v>
      </c>
      <c r="G538" s="13">
        <v>46267.778912037036</v>
      </c>
      <c r="H538" s="13">
        <v>46267.779340277775</v>
      </c>
      <c r="I538">
        <v>37</v>
      </c>
      <c r="J538" t="s">
        <v>264</v>
      </c>
      <c r="K538">
        <v>1</v>
      </c>
      <c r="L538">
        <v>0.01</v>
      </c>
      <c r="M538">
        <v>0.01</v>
      </c>
      <c r="N538">
        <v>1</v>
      </c>
      <c r="O538">
        <v>0.01</v>
      </c>
      <c r="P538">
        <v>0.57999999999999996</v>
      </c>
      <c r="Q538">
        <v>1.1399999999999999</v>
      </c>
      <c r="R538">
        <v>0.93</v>
      </c>
      <c r="S538" t="s">
        <v>256</v>
      </c>
      <c r="T538" t="s">
        <v>257</v>
      </c>
      <c r="U538">
        <v>11</v>
      </c>
      <c r="V538">
        <v>7240.72</v>
      </c>
      <c r="W538">
        <v>4999.83</v>
      </c>
      <c r="X538">
        <v>4999.42</v>
      </c>
      <c r="Y538">
        <v>0</v>
      </c>
      <c r="Z538">
        <v>0</v>
      </c>
      <c r="AA538">
        <v>35</v>
      </c>
      <c r="AB538">
        <v>50</v>
      </c>
      <c r="AC538">
        <v>5000</v>
      </c>
      <c r="AD538">
        <v>0</v>
      </c>
      <c r="AE538">
        <v>0</v>
      </c>
      <c r="AF538">
        <v>7241.68</v>
      </c>
      <c r="AG538">
        <v>7241.68</v>
      </c>
      <c r="AH538" s="14">
        <v>46267</v>
      </c>
      <c r="AI538" t="s">
        <v>266</v>
      </c>
      <c r="AJ538" s="13">
        <v>46265.054768518516</v>
      </c>
      <c r="AK538">
        <v>6763.31</v>
      </c>
      <c r="AL538" t="s">
        <v>259</v>
      </c>
      <c r="AM538" t="s">
        <v>260</v>
      </c>
      <c r="AN538">
        <v>1400</v>
      </c>
      <c r="AO538">
        <v>0</v>
      </c>
      <c r="AP538">
        <v>35</v>
      </c>
      <c r="AQ538">
        <v>85</v>
      </c>
      <c r="AR538">
        <v>35</v>
      </c>
      <c r="AS538">
        <v>2</v>
      </c>
      <c r="AT538">
        <v>23</v>
      </c>
      <c r="AU538">
        <v>1</v>
      </c>
      <c r="AV538">
        <v>0</v>
      </c>
      <c r="AW538">
        <v>10</v>
      </c>
      <c r="AX538">
        <v>1</v>
      </c>
      <c r="AY538">
        <v>5</v>
      </c>
      <c r="AZ538">
        <v>2</v>
      </c>
      <c r="BA538">
        <v>1</v>
      </c>
      <c r="BB538">
        <v>1440</v>
      </c>
      <c r="BC538">
        <v>0</v>
      </c>
      <c r="BD538">
        <v>0</v>
      </c>
      <c r="BE538">
        <v>14</v>
      </c>
      <c r="BF538">
        <v>25</v>
      </c>
      <c r="BG538">
        <v>3</v>
      </c>
      <c r="BH538">
        <v>8</v>
      </c>
      <c r="BI538">
        <v>3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0</v>
      </c>
      <c r="BQ538">
        <v>60</v>
      </c>
      <c r="BR538">
        <v>0</v>
      </c>
      <c r="BS538">
        <v>3</v>
      </c>
      <c r="BT538" t="s">
        <v>246</v>
      </c>
      <c r="BU538" t="s">
        <v>267</v>
      </c>
      <c r="BV538" t="b">
        <v>0</v>
      </c>
      <c r="BW538" t="s">
        <v>268</v>
      </c>
    </row>
    <row r="539" spans="1:75">
      <c r="A539" t="s">
        <v>246</v>
      </c>
      <c r="B539" t="s">
        <v>252</v>
      </c>
      <c r="C539">
        <v>893</v>
      </c>
      <c r="D539" t="s">
        <v>253</v>
      </c>
      <c r="E539" t="s">
        <v>254</v>
      </c>
      <c r="F539">
        <v>5</v>
      </c>
      <c r="G539" s="13">
        <v>46267.782164351855</v>
      </c>
      <c r="H539" s="13">
        <v>46267.783229166664</v>
      </c>
      <c r="I539">
        <v>92</v>
      </c>
      <c r="J539" t="s">
        <v>255</v>
      </c>
      <c r="K539">
        <v>1</v>
      </c>
      <c r="L539">
        <v>0.01</v>
      </c>
      <c r="M539">
        <v>0.01</v>
      </c>
      <c r="N539">
        <v>1</v>
      </c>
      <c r="O539">
        <v>0.01</v>
      </c>
      <c r="P539">
        <v>0.97</v>
      </c>
      <c r="Q539">
        <v>0.93</v>
      </c>
      <c r="R539">
        <v>0.59</v>
      </c>
      <c r="S539" t="s">
        <v>256</v>
      </c>
      <c r="T539" t="s">
        <v>257</v>
      </c>
      <c r="U539">
        <v>11</v>
      </c>
      <c r="V539">
        <v>7241.52</v>
      </c>
      <c r="W539">
        <v>4999.84</v>
      </c>
      <c r="X539">
        <v>4999.03</v>
      </c>
      <c r="Y539">
        <v>0</v>
      </c>
      <c r="Z539">
        <v>0</v>
      </c>
      <c r="AA539">
        <v>35</v>
      </c>
      <c r="AB539">
        <v>50</v>
      </c>
      <c r="AC539">
        <v>5000</v>
      </c>
      <c r="AD539">
        <v>0</v>
      </c>
      <c r="AE539">
        <v>0</v>
      </c>
      <c r="AF539">
        <v>7242.26</v>
      </c>
      <c r="AG539">
        <v>7242.26</v>
      </c>
      <c r="AH539" s="14">
        <v>46267</v>
      </c>
      <c r="AI539" t="s">
        <v>266</v>
      </c>
      <c r="AJ539" s="13">
        <v>46265.054768518516</v>
      </c>
      <c r="AK539">
        <v>6763.31</v>
      </c>
      <c r="AL539" t="s">
        <v>259</v>
      </c>
      <c r="AM539" t="s">
        <v>260</v>
      </c>
      <c r="AN539">
        <v>1400</v>
      </c>
      <c r="AO539">
        <v>0</v>
      </c>
      <c r="AP539">
        <v>35</v>
      </c>
      <c r="AQ539">
        <v>85</v>
      </c>
      <c r="AR539">
        <v>35</v>
      </c>
      <c r="AS539">
        <v>2</v>
      </c>
      <c r="AT539">
        <v>23</v>
      </c>
      <c r="AU539">
        <v>1</v>
      </c>
      <c r="AV539">
        <v>0</v>
      </c>
      <c r="AW539">
        <v>10</v>
      </c>
      <c r="AX539">
        <v>1</v>
      </c>
      <c r="AY539">
        <v>5</v>
      </c>
      <c r="AZ539">
        <v>2</v>
      </c>
      <c r="BA539">
        <v>1</v>
      </c>
      <c r="BB539">
        <v>1440</v>
      </c>
      <c r="BC539">
        <v>0</v>
      </c>
      <c r="BD539">
        <v>0</v>
      </c>
      <c r="BE539">
        <v>14</v>
      </c>
      <c r="BF539">
        <v>25</v>
      </c>
      <c r="BG539">
        <v>3</v>
      </c>
      <c r="BH539">
        <v>8</v>
      </c>
      <c r="BI539">
        <v>3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0</v>
      </c>
      <c r="BQ539">
        <v>60</v>
      </c>
      <c r="BR539">
        <v>0</v>
      </c>
      <c r="BS539">
        <v>3</v>
      </c>
      <c r="BT539" t="s">
        <v>246</v>
      </c>
      <c r="BU539" t="s">
        <v>267</v>
      </c>
      <c r="BV539" t="b">
        <v>0</v>
      </c>
      <c r="BW539" t="s">
        <v>268</v>
      </c>
    </row>
    <row r="540" spans="1:75">
      <c r="A540" t="s">
        <v>246</v>
      </c>
      <c r="B540" t="s">
        <v>252</v>
      </c>
      <c r="C540">
        <v>894</v>
      </c>
      <c r="D540" t="s">
        <v>253</v>
      </c>
      <c r="E540" t="s">
        <v>254</v>
      </c>
      <c r="F540">
        <v>5</v>
      </c>
      <c r="G540" s="13">
        <v>46267.789236111108</v>
      </c>
      <c r="H540" s="13">
        <v>46267.790300925924</v>
      </c>
      <c r="I540">
        <v>92</v>
      </c>
      <c r="J540" t="s">
        <v>255</v>
      </c>
      <c r="K540">
        <v>1</v>
      </c>
      <c r="L540">
        <v>0.01</v>
      </c>
      <c r="M540">
        <v>0.01</v>
      </c>
      <c r="N540">
        <v>1</v>
      </c>
      <c r="O540">
        <v>0.01</v>
      </c>
      <c r="P540">
        <v>1.0900000000000001</v>
      </c>
      <c r="Q540">
        <v>0.8</v>
      </c>
      <c r="R540">
        <v>0.67</v>
      </c>
      <c r="S540" t="s">
        <v>256</v>
      </c>
      <c r="T540" t="s">
        <v>257</v>
      </c>
      <c r="U540">
        <v>10</v>
      </c>
      <c r="V540">
        <v>7242.09</v>
      </c>
      <c r="W540">
        <v>4999.83</v>
      </c>
      <c r="X540">
        <v>4998.91</v>
      </c>
      <c r="Y540">
        <v>0</v>
      </c>
      <c r="Z540">
        <v>0</v>
      </c>
      <c r="AA540">
        <v>35</v>
      </c>
      <c r="AB540">
        <v>50</v>
      </c>
      <c r="AC540">
        <v>5000</v>
      </c>
      <c r="AD540">
        <v>0</v>
      </c>
      <c r="AE540">
        <v>0</v>
      </c>
      <c r="AF540">
        <v>7242.71</v>
      </c>
      <c r="AG540">
        <v>7242.71</v>
      </c>
      <c r="AH540" s="14">
        <v>46267</v>
      </c>
      <c r="AI540" t="s">
        <v>266</v>
      </c>
      <c r="AJ540" s="13">
        <v>46265.054768518516</v>
      </c>
      <c r="AK540">
        <v>6763.31</v>
      </c>
      <c r="AL540" t="s">
        <v>259</v>
      </c>
      <c r="AM540" t="s">
        <v>260</v>
      </c>
      <c r="AN540">
        <v>1400</v>
      </c>
      <c r="AO540">
        <v>0</v>
      </c>
      <c r="AP540">
        <v>35</v>
      </c>
      <c r="AQ540">
        <v>85</v>
      </c>
      <c r="AR540">
        <v>35</v>
      </c>
      <c r="AS540">
        <v>2</v>
      </c>
      <c r="AT540">
        <v>23</v>
      </c>
      <c r="AU540">
        <v>1</v>
      </c>
      <c r="AV540">
        <v>0</v>
      </c>
      <c r="AW540">
        <v>10</v>
      </c>
      <c r="AX540">
        <v>1</v>
      </c>
      <c r="AY540">
        <v>5</v>
      </c>
      <c r="AZ540">
        <v>2</v>
      </c>
      <c r="BA540">
        <v>1</v>
      </c>
      <c r="BB540">
        <v>1440</v>
      </c>
      <c r="BC540">
        <v>0</v>
      </c>
      <c r="BD540">
        <v>0</v>
      </c>
      <c r="BE540">
        <v>14</v>
      </c>
      <c r="BF540">
        <v>25</v>
      </c>
      <c r="BG540">
        <v>3</v>
      </c>
      <c r="BH540">
        <v>8</v>
      </c>
      <c r="BI540">
        <v>3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0</v>
      </c>
      <c r="BQ540">
        <v>60</v>
      </c>
      <c r="BR540">
        <v>0</v>
      </c>
      <c r="BS540">
        <v>3</v>
      </c>
      <c r="BT540" t="s">
        <v>246</v>
      </c>
      <c r="BU540" t="s">
        <v>267</v>
      </c>
      <c r="BV540" t="b">
        <v>0</v>
      </c>
      <c r="BW540" t="s">
        <v>268</v>
      </c>
    </row>
    <row r="541" spans="1:75">
      <c r="A541" t="s">
        <v>246</v>
      </c>
      <c r="B541" t="s">
        <v>252</v>
      </c>
      <c r="C541">
        <v>895</v>
      </c>
      <c r="D541" t="s">
        <v>253</v>
      </c>
      <c r="E541" t="s">
        <v>254</v>
      </c>
      <c r="F541">
        <v>5</v>
      </c>
      <c r="G541" s="13">
        <v>46267.793043981481</v>
      </c>
      <c r="H541" s="13">
        <v>46267.863078703704</v>
      </c>
      <c r="I541">
        <v>6051</v>
      </c>
      <c r="J541" t="s">
        <v>255</v>
      </c>
      <c r="K541">
        <v>4</v>
      </c>
      <c r="L541">
        <v>0.04</v>
      </c>
      <c r="M541">
        <v>0.01</v>
      </c>
      <c r="N541">
        <v>4</v>
      </c>
      <c r="O541">
        <v>0.04</v>
      </c>
      <c r="P541">
        <v>21.17</v>
      </c>
      <c r="Q541">
        <v>5.08</v>
      </c>
      <c r="R541">
        <v>2.92</v>
      </c>
      <c r="S541" t="s">
        <v>263</v>
      </c>
      <c r="T541" t="s">
        <v>257</v>
      </c>
      <c r="U541">
        <v>10</v>
      </c>
      <c r="V541">
        <v>7242.55</v>
      </c>
      <c r="W541">
        <v>4999.84</v>
      </c>
      <c r="X541">
        <v>4978.83</v>
      </c>
      <c r="Y541">
        <v>0</v>
      </c>
      <c r="Z541">
        <v>0</v>
      </c>
      <c r="AA541">
        <v>35</v>
      </c>
      <c r="AB541">
        <v>50</v>
      </c>
      <c r="AC541">
        <v>5000</v>
      </c>
      <c r="AD541">
        <v>0</v>
      </c>
      <c r="AE541">
        <v>0</v>
      </c>
      <c r="AF541">
        <v>7245.55</v>
      </c>
      <c r="AG541">
        <v>7245.55</v>
      </c>
      <c r="AH541" s="14">
        <v>46267</v>
      </c>
      <c r="AI541" t="s">
        <v>266</v>
      </c>
      <c r="AJ541" s="13">
        <v>46265.054768518516</v>
      </c>
      <c r="AK541">
        <v>6763.31</v>
      </c>
      <c r="AL541" t="s">
        <v>259</v>
      </c>
      <c r="AM541" t="s">
        <v>260</v>
      </c>
      <c r="AN541">
        <v>1400</v>
      </c>
      <c r="AO541">
        <v>0</v>
      </c>
      <c r="AP541">
        <v>35</v>
      </c>
      <c r="AQ541">
        <v>85</v>
      </c>
      <c r="AR541">
        <v>35</v>
      </c>
      <c r="AS541">
        <v>2</v>
      </c>
      <c r="AT541">
        <v>23</v>
      </c>
      <c r="AU541">
        <v>1</v>
      </c>
      <c r="AV541">
        <v>0</v>
      </c>
      <c r="AW541">
        <v>10</v>
      </c>
      <c r="AX541">
        <v>1</v>
      </c>
      <c r="AY541">
        <v>5</v>
      </c>
      <c r="AZ541">
        <v>2</v>
      </c>
      <c r="BA541">
        <v>1</v>
      </c>
      <c r="BB541">
        <v>1440</v>
      </c>
      <c r="BC541">
        <v>0</v>
      </c>
      <c r="BD541">
        <v>0</v>
      </c>
      <c r="BE541">
        <v>14</v>
      </c>
      <c r="BF541">
        <v>25</v>
      </c>
      <c r="BG541">
        <v>3</v>
      </c>
      <c r="BH541">
        <v>8</v>
      </c>
      <c r="BI541">
        <v>3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0</v>
      </c>
      <c r="BQ541">
        <v>60</v>
      </c>
      <c r="BR541">
        <v>0</v>
      </c>
      <c r="BS541">
        <v>3</v>
      </c>
      <c r="BT541" t="s">
        <v>246</v>
      </c>
      <c r="BU541" t="s">
        <v>267</v>
      </c>
      <c r="BV541" t="b">
        <v>0</v>
      </c>
      <c r="BW541" t="s">
        <v>268</v>
      </c>
    </row>
    <row r="542" spans="1:75">
      <c r="A542" t="s">
        <v>246</v>
      </c>
      <c r="B542" t="s">
        <v>252</v>
      </c>
      <c r="C542">
        <v>896</v>
      </c>
      <c r="D542" t="s">
        <v>253</v>
      </c>
      <c r="E542" t="s">
        <v>254</v>
      </c>
      <c r="F542">
        <v>5</v>
      </c>
      <c r="G542" s="13">
        <v>46267.86513888889</v>
      </c>
      <c r="H542" s="13">
        <v>46267.889780092592</v>
      </c>
      <c r="I542">
        <v>2129</v>
      </c>
      <c r="J542" t="s">
        <v>255</v>
      </c>
      <c r="K542">
        <v>3</v>
      </c>
      <c r="L542">
        <v>0.03</v>
      </c>
      <c r="M542">
        <v>0.01</v>
      </c>
      <c r="N542">
        <v>3</v>
      </c>
      <c r="O542">
        <v>0.03</v>
      </c>
      <c r="P542">
        <v>17.559999999999999</v>
      </c>
      <c r="Q542">
        <v>5.14</v>
      </c>
      <c r="R542">
        <v>-0.38</v>
      </c>
      <c r="S542" t="s">
        <v>263</v>
      </c>
      <c r="T542" t="s">
        <v>256</v>
      </c>
      <c r="U542">
        <v>10</v>
      </c>
      <c r="V542">
        <v>7245.38</v>
      </c>
      <c r="W542">
        <v>4999.83</v>
      </c>
      <c r="X542">
        <v>4982.4399999999996</v>
      </c>
      <c r="Y542">
        <v>0</v>
      </c>
      <c r="Z542">
        <v>0</v>
      </c>
      <c r="AA542">
        <v>35</v>
      </c>
      <c r="AB542">
        <v>50</v>
      </c>
      <c r="AC542">
        <v>5000</v>
      </c>
      <c r="AD542">
        <v>0</v>
      </c>
      <c r="AE542">
        <v>0</v>
      </c>
      <c r="AF542">
        <v>7245.51</v>
      </c>
      <c r="AG542">
        <v>7245.51</v>
      </c>
      <c r="AH542" s="14">
        <v>46267</v>
      </c>
      <c r="AI542" t="s">
        <v>266</v>
      </c>
      <c r="AJ542" s="13">
        <v>46265.054768518516</v>
      </c>
      <c r="AK542">
        <v>6763.31</v>
      </c>
      <c r="AL542" t="s">
        <v>259</v>
      </c>
      <c r="AM542" t="s">
        <v>260</v>
      </c>
      <c r="AN542">
        <v>1400</v>
      </c>
      <c r="AO542">
        <v>0</v>
      </c>
      <c r="AP542">
        <v>35</v>
      </c>
      <c r="AQ542">
        <v>85</v>
      </c>
      <c r="AR542">
        <v>35</v>
      </c>
      <c r="AS542">
        <v>2</v>
      </c>
      <c r="AT542">
        <v>23</v>
      </c>
      <c r="AU542">
        <v>1</v>
      </c>
      <c r="AV542">
        <v>0</v>
      </c>
      <c r="AW542">
        <v>10</v>
      </c>
      <c r="AX542">
        <v>1</v>
      </c>
      <c r="AY542">
        <v>5</v>
      </c>
      <c r="AZ542">
        <v>2</v>
      </c>
      <c r="BA542">
        <v>1</v>
      </c>
      <c r="BB542">
        <v>1440</v>
      </c>
      <c r="BC542">
        <v>0</v>
      </c>
      <c r="BD542">
        <v>0</v>
      </c>
      <c r="BE542">
        <v>14</v>
      </c>
      <c r="BF542">
        <v>25</v>
      </c>
      <c r="BG542">
        <v>3</v>
      </c>
      <c r="BH542">
        <v>8</v>
      </c>
      <c r="BI542">
        <v>3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0</v>
      </c>
      <c r="BQ542">
        <v>60</v>
      </c>
      <c r="BR542">
        <v>0</v>
      </c>
      <c r="BS542">
        <v>3</v>
      </c>
      <c r="BT542" t="s">
        <v>246</v>
      </c>
      <c r="BU542" t="s">
        <v>267</v>
      </c>
      <c r="BV542" t="b">
        <v>0</v>
      </c>
      <c r="BW542" t="s">
        <v>268</v>
      </c>
    </row>
    <row r="543" spans="1:75">
      <c r="A543" t="s">
        <v>246</v>
      </c>
      <c r="B543" t="s">
        <v>252</v>
      </c>
      <c r="C543">
        <v>897</v>
      </c>
      <c r="D543" t="s">
        <v>253</v>
      </c>
      <c r="E543" t="s">
        <v>254</v>
      </c>
      <c r="F543">
        <v>5</v>
      </c>
      <c r="G543" s="13">
        <v>46267.890057870369</v>
      </c>
      <c r="H543" s="13">
        <v>46267.890173611115</v>
      </c>
      <c r="I543">
        <v>10</v>
      </c>
      <c r="J543" t="s">
        <v>264</v>
      </c>
      <c r="K543">
        <v>1</v>
      </c>
      <c r="L543">
        <v>0.01</v>
      </c>
      <c r="M543">
        <v>0.01</v>
      </c>
      <c r="N543">
        <v>1</v>
      </c>
      <c r="O543">
        <v>0.01</v>
      </c>
      <c r="P543">
        <v>0.17</v>
      </c>
      <c r="Q543">
        <v>1.1599999999999999</v>
      </c>
      <c r="R543">
        <v>0.86</v>
      </c>
      <c r="S543" t="s">
        <v>256</v>
      </c>
      <c r="T543" t="s">
        <v>257</v>
      </c>
      <c r="U543">
        <v>11</v>
      </c>
      <c r="V543">
        <v>7245.35</v>
      </c>
      <c r="W543">
        <v>4999.84</v>
      </c>
      <c r="X543">
        <v>4999.83</v>
      </c>
      <c r="Y543">
        <v>0</v>
      </c>
      <c r="Z543">
        <v>0</v>
      </c>
      <c r="AA543">
        <v>35</v>
      </c>
      <c r="AB543">
        <v>50</v>
      </c>
      <c r="AC543">
        <v>5000</v>
      </c>
      <c r="AD543">
        <v>0</v>
      </c>
      <c r="AE543">
        <v>0</v>
      </c>
      <c r="AF543">
        <v>7246.32</v>
      </c>
      <c r="AG543">
        <v>7246.32</v>
      </c>
      <c r="AH543" s="14">
        <v>46267</v>
      </c>
      <c r="AI543" t="s">
        <v>266</v>
      </c>
      <c r="AJ543" s="13">
        <v>46265.054768518516</v>
      </c>
      <c r="AK543">
        <v>6763.31</v>
      </c>
      <c r="AL543" t="s">
        <v>259</v>
      </c>
      <c r="AM543" t="s">
        <v>260</v>
      </c>
      <c r="AN543">
        <v>1400</v>
      </c>
      <c r="AO543">
        <v>0</v>
      </c>
      <c r="AP543">
        <v>35</v>
      </c>
      <c r="AQ543">
        <v>85</v>
      </c>
      <c r="AR543">
        <v>35</v>
      </c>
      <c r="AS543">
        <v>2</v>
      </c>
      <c r="AT543">
        <v>23</v>
      </c>
      <c r="AU543">
        <v>1</v>
      </c>
      <c r="AV543">
        <v>0</v>
      </c>
      <c r="AW543">
        <v>10</v>
      </c>
      <c r="AX543">
        <v>1</v>
      </c>
      <c r="AY543">
        <v>5</v>
      </c>
      <c r="AZ543">
        <v>2</v>
      </c>
      <c r="BA543">
        <v>1</v>
      </c>
      <c r="BB543">
        <v>1440</v>
      </c>
      <c r="BC543">
        <v>0</v>
      </c>
      <c r="BD543">
        <v>0</v>
      </c>
      <c r="BE543">
        <v>14</v>
      </c>
      <c r="BF543">
        <v>25</v>
      </c>
      <c r="BG543">
        <v>3</v>
      </c>
      <c r="BH543">
        <v>8</v>
      </c>
      <c r="BI543">
        <v>3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0</v>
      </c>
      <c r="BQ543">
        <v>60</v>
      </c>
      <c r="BR543">
        <v>0</v>
      </c>
      <c r="BS543">
        <v>3</v>
      </c>
      <c r="BT543" t="s">
        <v>246</v>
      </c>
      <c r="BU543" t="s">
        <v>267</v>
      </c>
      <c r="BV543" t="b">
        <v>0</v>
      </c>
      <c r="BW543" t="s">
        <v>268</v>
      </c>
    </row>
    <row r="544" spans="1:75">
      <c r="A544" t="s">
        <v>246</v>
      </c>
      <c r="B544" t="s">
        <v>252</v>
      </c>
      <c r="C544">
        <v>898</v>
      </c>
      <c r="D544" t="s">
        <v>253</v>
      </c>
      <c r="E544" t="s">
        <v>254</v>
      </c>
      <c r="F544">
        <v>5</v>
      </c>
      <c r="G544" s="13">
        <v>46267.897974537038</v>
      </c>
      <c r="H544" s="13">
        <v>46267.898634259262</v>
      </c>
      <c r="I544">
        <v>57</v>
      </c>
      <c r="J544" t="s">
        <v>255</v>
      </c>
      <c r="K544">
        <v>1</v>
      </c>
      <c r="L544">
        <v>0.01</v>
      </c>
      <c r="M544">
        <v>0.01</v>
      </c>
      <c r="N544">
        <v>1</v>
      </c>
      <c r="O544">
        <v>0.01</v>
      </c>
      <c r="P544">
        <v>0.17</v>
      </c>
      <c r="Q544">
        <v>1.43</v>
      </c>
      <c r="R544">
        <v>1.31</v>
      </c>
      <c r="S544" t="s">
        <v>256</v>
      </c>
      <c r="T544" t="s">
        <v>257</v>
      </c>
      <c r="U544">
        <v>11</v>
      </c>
      <c r="V544">
        <v>7246.15</v>
      </c>
      <c r="W544">
        <v>4999.83</v>
      </c>
      <c r="X544">
        <v>4999.83</v>
      </c>
      <c r="Y544">
        <v>0</v>
      </c>
      <c r="Z544">
        <v>0</v>
      </c>
      <c r="AA544">
        <v>35</v>
      </c>
      <c r="AB544">
        <v>50</v>
      </c>
      <c r="AC544">
        <v>5000</v>
      </c>
      <c r="AD544">
        <v>0</v>
      </c>
      <c r="AE544">
        <v>0</v>
      </c>
      <c r="AF544">
        <v>7247.39</v>
      </c>
      <c r="AG544">
        <v>7247.39</v>
      </c>
      <c r="AH544" s="14">
        <v>46267</v>
      </c>
      <c r="AI544" t="s">
        <v>266</v>
      </c>
      <c r="AJ544" s="13">
        <v>46265.054768518516</v>
      </c>
      <c r="AK544">
        <v>6763.31</v>
      </c>
      <c r="AL544" t="s">
        <v>259</v>
      </c>
      <c r="AM544" t="s">
        <v>260</v>
      </c>
      <c r="AN544">
        <v>1400</v>
      </c>
      <c r="AO544">
        <v>0</v>
      </c>
      <c r="AP544">
        <v>35</v>
      </c>
      <c r="AQ544">
        <v>85</v>
      </c>
      <c r="AR544">
        <v>35</v>
      </c>
      <c r="AS544">
        <v>2</v>
      </c>
      <c r="AT544">
        <v>23</v>
      </c>
      <c r="AU544">
        <v>1</v>
      </c>
      <c r="AV544">
        <v>0</v>
      </c>
      <c r="AW544">
        <v>10</v>
      </c>
      <c r="AX544">
        <v>1</v>
      </c>
      <c r="AY544">
        <v>5</v>
      </c>
      <c r="AZ544">
        <v>2</v>
      </c>
      <c r="BA544">
        <v>1</v>
      </c>
      <c r="BB544">
        <v>1440</v>
      </c>
      <c r="BC544">
        <v>0</v>
      </c>
      <c r="BD544">
        <v>0</v>
      </c>
      <c r="BE544">
        <v>14</v>
      </c>
      <c r="BF544">
        <v>25</v>
      </c>
      <c r="BG544">
        <v>3</v>
      </c>
      <c r="BH544">
        <v>8</v>
      </c>
      <c r="BI544">
        <v>3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0</v>
      </c>
      <c r="BQ544">
        <v>60</v>
      </c>
      <c r="BR544">
        <v>0</v>
      </c>
      <c r="BS544">
        <v>3</v>
      </c>
      <c r="BT544" t="s">
        <v>246</v>
      </c>
      <c r="BU544" t="s">
        <v>267</v>
      </c>
      <c r="BV544" t="b">
        <v>0</v>
      </c>
      <c r="BW544" t="s">
        <v>268</v>
      </c>
    </row>
    <row r="545" spans="1:75">
      <c r="A545" t="s">
        <v>246</v>
      </c>
      <c r="B545" t="s">
        <v>252</v>
      </c>
      <c r="C545">
        <v>899</v>
      </c>
      <c r="D545" t="s">
        <v>253</v>
      </c>
      <c r="E545" t="s">
        <v>254</v>
      </c>
      <c r="F545">
        <v>5</v>
      </c>
      <c r="G545" s="13">
        <v>46267.906111111108</v>
      </c>
      <c r="H545" s="13">
        <v>46268.100428240738</v>
      </c>
      <c r="I545">
        <v>16789</v>
      </c>
      <c r="J545" t="s">
        <v>264</v>
      </c>
      <c r="K545">
        <v>4</v>
      </c>
      <c r="L545">
        <v>0.04</v>
      </c>
      <c r="M545">
        <v>0.01</v>
      </c>
      <c r="N545">
        <v>4</v>
      </c>
      <c r="O545">
        <v>0.04</v>
      </c>
      <c r="P545">
        <v>38.29</v>
      </c>
      <c r="Q545">
        <v>5.43</v>
      </c>
      <c r="R545">
        <v>3.39</v>
      </c>
      <c r="S545" t="s">
        <v>263</v>
      </c>
      <c r="T545" t="s">
        <v>257</v>
      </c>
      <c r="U545">
        <v>11</v>
      </c>
      <c r="V545">
        <v>7247.3</v>
      </c>
      <c r="W545">
        <v>4999.91</v>
      </c>
      <c r="X545">
        <v>4961.71</v>
      </c>
      <c r="Y545">
        <v>0</v>
      </c>
      <c r="Z545">
        <v>0</v>
      </c>
      <c r="AA545">
        <v>35</v>
      </c>
      <c r="AB545">
        <v>50</v>
      </c>
      <c r="AC545">
        <v>5000</v>
      </c>
      <c r="AD545">
        <v>0</v>
      </c>
      <c r="AE545">
        <v>0</v>
      </c>
      <c r="AF545">
        <v>7250.74</v>
      </c>
      <c r="AG545">
        <v>7250.74</v>
      </c>
      <c r="AH545" s="14">
        <v>46267</v>
      </c>
      <c r="AI545" t="s">
        <v>266</v>
      </c>
      <c r="AJ545" s="13">
        <v>46265.054768518516</v>
      </c>
      <c r="AK545">
        <v>6763.31</v>
      </c>
      <c r="AL545" t="s">
        <v>259</v>
      </c>
      <c r="AM545" t="s">
        <v>260</v>
      </c>
      <c r="AN545">
        <v>1400</v>
      </c>
      <c r="AO545">
        <v>0</v>
      </c>
      <c r="AP545">
        <v>35</v>
      </c>
      <c r="AQ545">
        <v>85</v>
      </c>
      <c r="AR545">
        <v>35</v>
      </c>
      <c r="AS545">
        <v>2</v>
      </c>
      <c r="AT545">
        <v>23</v>
      </c>
      <c r="AU545">
        <v>1</v>
      </c>
      <c r="AV545">
        <v>0</v>
      </c>
      <c r="AW545">
        <v>10</v>
      </c>
      <c r="AX545">
        <v>1</v>
      </c>
      <c r="AY545">
        <v>5</v>
      </c>
      <c r="AZ545">
        <v>2</v>
      </c>
      <c r="BA545">
        <v>1</v>
      </c>
      <c r="BB545">
        <v>1440</v>
      </c>
      <c r="BC545">
        <v>0</v>
      </c>
      <c r="BD545">
        <v>0</v>
      </c>
      <c r="BE545">
        <v>14</v>
      </c>
      <c r="BF545">
        <v>25</v>
      </c>
      <c r="BG545">
        <v>3</v>
      </c>
      <c r="BH545">
        <v>8</v>
      </c>
      <c r="BI545">
        <v>3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0</v>
      </c>
      <c r="BQ545">
        <v>60</v>
      </c>
      <c r="BR545">
        <v>0</v>
      </c>
      <c r="BS545">
        <v>3</v>
      </c>
      <c r="BT545" t="s">
        <v>246</v>
      </c>
      <c r="BU545" t="s">
        <v>267</v>
      </c>
      <c r="BV545" t="b">
        <v>0</v>
      </c>
      <c r="BW545" t="s">
        <v>268</v>
      </c>
    </row>
    <row r="546" spans="1:75">
      <c r="A546" t="s">
        <v>246</v>
      </c>
      <c r="B546" t="s">
        <v>252</v>
      </c>
      <c r="C546">
        <v>900</v>
      </c>
      <c r="D546" t="s">
        <v>253</v>
      </c>
      <c r="E546" t="s">
        <v>254</v>
      </c>
      <c r="F546">
        <v>5</v>
      </c>
      <c r="G546" s="13">
        <v>46268.115682870368</v>
      </c>
      <c r="H546" s="13">
        <v>46268.133379629631</v>
      </c>
      <c r="I546">
        <v>1529</v>
      </c>
      <c r="J546" t="s">
        <v>255</v>
      </c>
      <c r="K546">
        <v>3</v>
      </c>
      <c r="L546">
        <v>0.03</v>
      </c>
      <c r="M546">
        <v>0.01</v>
      </c>
      <c r="N546">
        <v>3</v>
      </c>
      <c r="O546">
        <v>0.03</v>
      </c>
      <c r="P546">
        <v>6.98</v>
      </c>
      <c r="Q546">
        <v>9.6199999999999992</v>
      </c>
      <c r="R546">
        <v>5.72</v>
      </c>
      <c r="S546" t="s">
        <v>263</v>
      </c>
      <c r="T546" t="s">
        <v>257</v>
      </c>
      <c r="U546">
        <v>11</v>
      </c>
      <c r="V546">
        <v>7250.58</v>
      </c>
      <c r="W546">
        <v>4999.84</v>
      </c>
      <c r="X546">
        <v>4993.0200000000004</v>
      </c>
      <c r="Y546">
        <v>0</v>
      </c>
      <c r="Z546">
        <v>0</v>
      </c>
      <c r="AA546">
        <v>35</v>
      </c>
      <c r="AB546">
        <v>50</v>
      </c>
      <c r="AC546">
        <v>5000</v>
      </c>
      <c r="AD546">
        <v>0</v>
      </c>
      <c r="AE546">
        <v>0</v>
      </c>
      <c r="AF546">
        <v>7256.4</v>
      </c>
      <c r="AG546">
        <v>7256.4</v>
      </c>
      <c r="AH546" s="14">
        <v>46268</v>
      </c>
      <c r="AI546" t="s">
        <v>266</v>
      </c>
      <c r="AJ546" s="13">
        <v>46265.054768518516</v>
      </c>
      <c r="AK546">
        <v>6763.31</v>
      </c>
      <c r="AL546" t="s">
        <v>259</v>
      </c>
      <c r="AM546" t="s">
        <v>260</v>
      </c>
      <c r="AN546">
        <v>1400</v>
      </c>
      <c r="AO546">
        <v>0</v>
      </c>
      <c r="AP546">
        <v>35</v>
      </c>
      <c r="AQ546">
        <v>85</v>
      </c>
      <c r="AR546">
        <v>35</v>
      </c>
      <c r="AS546">
        <v>2</v>
      </c>
      <c r="AT546">
        <v>23</v>
      </c>
      <c r="AU546">
        <v>1</v>
      </c>
      <c r="AV546">
        <v>0</v>
      </c>
      <c r="AW546">
        <v>10</v>
      </c>
      <c r="AX546">
        <v>1</v>
      </c>
      <c r="AY546">
        <v>5</v>
      </c>
      <c r="AZ546">
        <v>2</v>
      </c>
      <c r="BA546">
        <v>1</v>
      </c>
      <c r="BB546">
        <v>1440</v>
      </c>
      <c r="BC546">
        <v>0</v>
      </c>
      <c r="BD546">
        <v>0</v>
      </c>
      <c r="BE546">
        <v>14</v>
      </c>
      <c r="BF546">
        <v>25</v>
      </c>
      <c r="BG546">
        <v>3</v>
      </c>
      <c r="BH546">
        <v>8</v>
      </c>
      <c r="BI546">
        <v>3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0</v>
      </c>
      <c r="BQ546">
        <v>60</v>
      </c>
      <c r="BR546">
        <v>0</v>
      </c>
      <c r="BS546">
        <v>3</v>
      </c>
      <c r="BT546" t="s">
        <v>246</v>
      </c>
      <c r="BU546" t="s">
        <v>267</v>
      </c>
      <c r="BV546" t="b">
        <v>0</v>
      </c>
      <c r="BW546" t="s">
        <v>268</v>
      </c>
    </row>
    <row r="547" spans="1:75">
      <c r="A547" t="s">
        <v>246</v>
      </c>
      <c r="B547" t="s">
        <v>252</v>
      </c>
      <c r="C547">
        <v>901</v>
      </c>
      <c r="D547" t="s">
        <v>253</v>
      </c>
      <c r="E547" t="s">
        <v>254</v>
      </c>
      <c r="F547">
        <v>5</v>
      </c>
      <c r="G547" s="13">
        <v>46268.135787037034</v>
      </c>
      <c r="H547" s="13">
        <v>46268.13585648148</v>
      </c>
      <c r="I547">
        <v>6</v>
      </c>
      <c r="J547" t="s">
        <v>264</v>
      </c>
      <c r="K547">
        <v>1</v>
      </c>
      <c r="L547">
        <v>0.01</v>
      </c>
      <c r="M547">
        <v>0.01</v>
      </c>
      <c r="N547">
        <v>1</v>
      </c>
      <c r="O547">
        <v>0.01</v>
      </c>
      <c r="P547">
        <v>0.17</v>
      </c>
      <c r="Q547">
        <v>0.85</v>
      </c>
      <c r="R547">
        <v>0.84</v>
      </c>
      <c r="S547" t="s">
        <v>256</v>
      </c>
      <c r="T547" t="s">
        <v>257</v>
      </c>
      <c r="U547">
        <v>11</v>
      </c>
      <c r="V547">
        <v>7256.23</v>
      </c>
      <c r="W547">
        <v>4999.83</v>
      </c>
      <c r="X547">
        <v>4999.83</v>
      </c>
      <c r="Y547">
        <v>0</v>
      </c>
      <c r="Z547">
        <v>0</v>
      </c>
      <c r="AA547">
        <v>35</v>
      </c>
      <c r="AB547">
        <v>50</v>
      </c>
      <c r="AC547">
        <v>5000</v>
      </c>
      <c r="AD547">
        <v>0</v>
      </c>
      <c r="AE547">
        <v>0</v>
      </c>
      <c r="AF547">
        <v>7256.9</v>
      </c>
      <c r="AG547">
        <v>7256.9</v>
      </c>
      <c r="AH547" s="14">
        <v>46268</v>
      </c>
      <c r="AI547" t="s">
        <v>266</v>
      </c>
      <c r="AJ547" s="13">
        <v>46265.054768518516</v>
      </c>
      <c r="AK547">
        <v>6763.31</v>
      </c>
      <c r="AL547" t="s">
        <v>259</v>
      </c>
      <c r="AM547" t="s">
        <v>260</v>
      </c>
      <c r="AN547">
        <v>1400</v>
      </c>
      <c r="AO547">
        <v>0</v>
      </c>
      <c r="AP547">
        <v>35</v>
      </c>
      <c r="AQ547">
        <v>85</v>
      </c>
      <c r="AR547">
        <v>35</v>
      </c>
      <c r="AS547">
        <v>2</v>
      </c>
      <c r="AT547">
        <v>23</v>
      </c>
      <c r="AU547">
        <v>1</v>
      </c>
      <c r="AV547">
        <v>0</v>
      </c>
      <c r="AW547">
        <v>10</v>
      </c>
      <c r="AX547">
        <v>1</v>
      </c>
      <c r="AY547">
        <v>5</v>
      </c>
      <c r="AZ547">
        <v>2</v>
      </c>
      <c r="BA547">
        <v>1</v>
      </c>
      <c r="BB547">
        <v>1440</v>
      </c>
      <c r="BC547">
        <v>0</v>
      </c>
      <c r="BD547">
        <v>0</v>
      </c>
      <c r="BE547">
        <v>14</v>
      </c>
      <c r="BF547">
        <v>25</v>
      </c>
      <c r="BG547">
        <v>3</v>
      </c>
      <c r="BH547">
        <v>8</v>
      </c>
      <c r="BI547">
        <v>3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0</v>
      </c>
      <c r="BQ547">
        <v>60</v>
      </c>
      <c r="BR547">
        <v>0</v>
      </c>
      <c r="BS547">
        <v>3</v>
      </c>
      <c r="BT547" t="s">
        <v>246</v>
      </c>
      <c r="BU547" t="s">
        <v>267</v>
      </c>
      <c r="BV547" t="b">
        <v>0</v>
      </c>
      <c r="BW547" t="s">
        <v>268</v>
      </c>
    </row>
    <row r="548" spans="1:75">
      <c r="A548" t="s">
        <v>246</v>
      </c>
      <c r="B548" t="s">
        <v>252</v>
      </c>
      <c r="C548">
        <v>902</v>
      </c>
      <c r="D548" t="s">
        <v>253</v>
      </c>
      <c r="E548" t="s">
        <v>254</v>
      </c>
      <c r="F548">
        <v>5</v>
      </c>
      <c r="G548" s="13">
        <v>46268.148657407408</v>
      </c>
      <c r="H548" s="13">
        <v>46268.149328703701</v>
      </c>
      <c r="I548">
        <v>58</v>
      </c>
      <c r="J548" t="s">
        <v>264</v>
      </c>
      <c r="K548">
        <v>1</v>
      </c>
      <c r="L548">
        <v>0.01</v>
      </c>
      <c r="M548">
        <v>0.01</v>
      </c>
      <c r="N548">
        <v>1</v>
      </c>
      <c r="O548">
        <v>0.01</v>
      </c>
      <c r="P548">
        <v>0.72</v>
      </c>
      <c r="Q548">
        <v>0.82</v>
      </c>
      <c r="R548">
        <v>0.53</v>
      </c>
      <c r="S548" t="s">
        <v>256</v>
      </c>
      <c r="T548" t="s">
        <v>257</v>
      </c>
      <c r="U548">
        <v>11</v>
      </c>
      <c r="V548">
        <v>7256.74</v>
      </c>
      <c r="W548">
        <v>4999.84</v>
      </c>
      <c r="X548">
        <v>4999.28</v>
      </c>
      <c r="Y548">
        <v>0</v>
      </c>
      <c r="Z548">
        <v>0</v>
      </c>
      <c r="AA548">
        <v>35</v>
      </c>
      <c r="AB548">
        <v>50</v>
      </c>
      <c r="AC548">
        <v>5000</v>
      </c>
      <c r="AD548">
        <v>0</v>
      </c>
      <c r="AE548">
        <v>0</v>
      </c>
      <c r="AF548">
        <v>7257.37</v>
      </c>
      <c r="AG548">
        <v>7257.37</v>
      </c>
      <c r="AH548" s="14">
        <v>46268</v>
      </c>
      <c r="AI548" t="s">
        <v>266</v>
      </c>
      <c r="AJ548" s="13">
        <v>46265.054768518516</v>
      </c>
      <c r="AK548">
        <v>6763.31</v>
      </c>
      <c r="AL548" t="s">
        <v>259</v>
      </c>
      <c r="AM548" t="s">
        <v>260</v>
      </c>
      <c r="AN548">
        <v>1400</v>
      </c>
      <c r="AO548">
        <v>0</v>
      </c>
      <c r="AP548">
        <v>35</v>
      </c>
      <c r="AQ548">
        <v>85</v>
      </c>
      <c r="AR548">
        <v>35</v>
      </c>
      <c r="AS548">
        <v>2</v>
      </c>
      <c r="AT548">
        <v>23</v>
      </c>
      <c r="AU548">
        <v>1</v>
      </c>
      <c r="AV548">
        <v>0</v>
      </c>
      <c r="AW548">
        <v>10</v>
      </c>
      <c r="AX548">
        <v>1</v>
      </c>
      <c r="AY548">
        <v>5</v>
      </c>
      <c r="AZ548">
        <v>2</v>
      </c>
      <c r="BA548">
        <v>1</v>
      </c>
      <c r="BB548">
        <v>1440</v>
      </c>
      <c r="BC548">
        <v>0</v>
      </c>
      <c r="BD548">
        <v>0</v>
      </c>
      <c r="BE548">
        <v>14</v>
      </c>
      <c r="BF548">
        <v>25</v>
      </c>
      <c r="BG548">
        <v>3</v>
      </c>
      <c r="BH548">
        <v>8</v>
      </c>
      <c r="BI548">
        <v>3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0</v>
      </c>
      <c r="BQ548">
        <v>60</v>
      </c>
      <c r="BR548">
        <v>0</v>
      </c>
      <c r="BS548">
        <v>3</v>
      </c>
      <c r="BT548" t="s">
        <v>246</v>
      </c>
      <c r="BU548" t="s">
        <v>267</v>
      </c>
      <c r="BV548" t="b">
        <v>0</v>
      </c>
      <c r="BW548" t="s">
        <v>268</v>
      </c>
    </row>
    <row r="549" spans="1:75">
      <c r="A549" t="s">
        <v>246</v>
      </c>
      <c r="B549" t="s">
        <v>252</v>
      </c>
      <c r="C549">
        <v>903</v>
      </c>
      <c r="D549" t="s">
        <v>253</v>
      </c>
      <c r="E549" t="s">
        <v>254</v>
      </c>
      <c r="F549">
        <v>5</v>
      </c>
      <c r="G549" s="13">
        <v>46268.151388888888</v>
      </c>
      <c r="H549" s="13">
        <v>46268.152094907404</v>
      </c>
      <c r="I549">
        <v>61</v>
      </c>
      <c r="J549" t="s">
        <v>255</v>
      </c>
      <c r="K549">
        <v>1</v>
      </c>
      <c r="L549">
        <v>0.01</v>
      </c>
      <c r="M549">
        <v>0.01</v>
      </c>
      <c r="N549">
        <v>1</v>
      </c>
      <c r="O549">
        <v>0.01</v>
      </c>
      <c r="P549">
        <v>0.7</v>
      </c>
      <c r="Q549">
        <v>2.42</v>
      </c>
      <c r="R549">
        <v>2.2599999999999998</v>
      </c>
      <c r="S549" t="s">
        <v>256</v>
      </c>
      <c r="T549" t="s">
        <v>257</v>
      </c>
      <c r="U549">
        <v>10</v>
      </c>
      <c r="V549">
        <v>7257.2</v>
      </c>
      <c r="W549">
        <v>4999.83</v>
      </c>
      <c r="X549">
        <v>4999.3</v>
      </c>
      <c r="Y549">
        <v>0</v>
      </c>
      <c r="Z549">
        <v>0</v>
      </c>
      <c r="AA549">
        <v>35</v>
      </c>
      <c r="AB549">
        <v>50</v>
      </c>
      <c r="AC549">
        <v>5000</v>
      </c>
      <c r="AD549">
        <v>0</v>
      </c>
      <c r="AE549">
        <v>0</v>
      </c>
      <c r="AF549">
        <v>7259.41</v>
      </c>
      <c r="AG549">
        <v>7259.41</v>
      </c>
      <c r="AH549" s="14">
        <v>46268</v>
      </c>
      <c r="AI549" t="s">
        <v>266</v>
      </c>
      <c r="AJ549" s="13">
        <v>46265.054768518516</v>
      </c>
      <c r="AK549">
        <v>6763.31</v>
      </c>
      <c r="AL549" t="s">
        <v>259</v>
      </c>
      <c r="AM549" t="s">
        <v>260</v>
      </c>
      <c r="AN549">
        <v>1400</v>
      </c>
      <c r="AO549">
        <v>0</v>
      </c>
      <c r="AP549">
        <v>35</v>
      </c>
      <c r="AQ549">
        <v>85</v>
      </c>
      <c r="AR549">
        <v>35</v>
      </c>
      <c r="AS549">
        <v>2</v>
      </c>
      <c r="AT549">
        <v>23</v>
      </c>
      <c r="AU549">
        <v>1</v>
      </c>
      <c r="AV549">
        <v>0</v>
      </c>
      <c r="AW549">
        <v>10</v>
      </c>
      <c r="AX549">
        <v>1</v>
      </c>
      <c r="AY549">
        <v>5</v>
      </c>
      <c r="AZ549">
        <v>2</v>
      </c>
      <c r="BA549">
        <v>1</v>
      </c>
      <c r="BB549">
        <v>1440</v>
      </c>
      <c r="BC549">
        <v>0</v>
      </c>
      <c r="BD549">
        <v>0</v>
      </c>
      <c r="BE549">
        <v>14</v>
      </c>
      <c r="BF549">
        <v>25</v>
      </c>
      <c r="BG549">
        <v>3</v>
      </c>
      <c r="BH549">
        <v>8</v>
      </c>
      <c r="BI549">
        <v>3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0</v>
      </c>
      <c r="BQ549">
        <v>60</v>
      </c>
      <c r="BR549">
        <v>0</v>
      </c>
      <c r="BS549">
        <v>3</v>
      </c>
      <c r="BT549" t="s">
        <v>246</v>
      </c>
      <c r="BU549" t="s">
        <v>267</v>
      </c>
      <c r="BV549" t="b">
        <v>0</v>
      </c>
      <c r="BW549" t="s">
        <v>268</v>
      </c>
    </row>
    <row r="550" spans="1:75">
      <c r="A550" t="s">
        <v>246</v>
      </c>
      <c r="B550" t="s">
        <v>252</v>
      </c>
      <c r="C550">
        <v>904</v>
      </c>
      <c r="D550" t="s">
        <v>253</v>
      </c>
      <c r="E550" t="s">
        <v>254</v>
      </c>
      <c r="F550">
        <v>5</v>
      </c>
      <c r="G550" s="13">
        <v>46268.159363425926</v>
      </c>
      <c r="H550" s="13">
        <v>46268.159930555557</v>
      </c>
      <c r="I550">
        <v>49</v>
      </c>
      <c r="J550" t="s">
        <v>255</v>
      </c>
      <c r="K550">
        <v>1</v>
      </c>
      <c r="L550">
        <v>0.01</v>
      </c>
      <c r="M550">
        <v>0.01</v>
      </c>
      <c r="N550">
        <v>1</v>
      </c>
      <c r="O550">
        <v>0.01</v>
      </c>
      <c r="P550">
        <v>0.52</v>
      </c>
      <c r="Q550">
        <v>2.08</v>
      </c>
      <c r="R550">
        <v>1.73</v>
      </c>
      <c r="S550" t="s">
        <v>256</v>
      </c>
      <c r="T550" t="s">
        <v>257</v>
      </c>
      <c r="U550">
        <v>10</v>
      </c>
      <c r="V550">
        <v>7259.25</v>
      </c>
      <c r="W550">
        <v>4999.84</v>
      </c>
      <c r="X550">
        <v>4999.4799999999996</v>
      </c>
      <c r="Y550">
        <v>0</v>
      </c>
      <c r="Z550">
        <v>0</v>
      </c>
      <c r="AA550">
        <v>35</v>
      </c>
      <c r="AB550">
        <v>50</v>
      </c>
      <c r="AC550">
        <v>5000</v>
      </c>
      <c r="AD550">
        <v>0</v>
      </c>
      <c r="AE550">
        <v>0</v>
      </c>
      <c r="AF550">
        <v>7261.13</v>
      </c>
      <c r="AG550">
        <v>7261.13</v>
      </c>
      <c r="AH550" s="14">
        <v>46268</v>
      </c>
      <c r="AI550" t="s">
        <v>266</v>
      </c>
      <c r="AJ550" s="13">
        <v>46265.054768518516</v>
      </c>
      <c r="AK550">
        <v>6763.31</v>
      </c>
      <c r="AL550" t="s">
        <v>259</v>
      </c>
      <c r="AM550" t="s">
        <v>260</v>
      </c>
      <c r="AN550">
        <v>1400</v>
      </c>
      <c r="AO550">
        <v>0</v>
      </c>
      <c r="AP550">
        <v>35</v>
      </c>
      <c r="AQ550">
        <v>85</v>
      </c>
      <c r="AR550">
        <v>35</v>
      </c>
      <c r="AS550">
        <v>2</v>
      </c>
      <c r="AT550">
        <v>23</v>
      </c>
      <c r="AU550">
        <v>1</v>
      </c>
      <c r="AV550">
        <v>0</v>
      </c>
      <c r="AW550">
        <v>10</v>
      </c>
      <c r="AX550">
        <v>1</v>
      </c>
      <c r="AY550">
        <v>5</v>
      </c>
      <c r="AZ550">
        <v>2</v>
      </c>
      <c r="BA550">
        <v>1</v>
      </c>
      <c r="BB550">
        <v>1440</v>
      </c>
      <c r="BC550">
        <v>0</v>
      </c>
      <c r="BD550">
        <v>0</v>
      </c>
      <c r="BE550">
        <v>14</v>
      </c>
      <c r="BF550">
        <v>25</v>
      </c>
      <c r="BG550">
        <v>3</v>
      </c>
      <c r="BH550">
        <v>8</v>
      </c>
      <c r="BI550">
        <v>3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0</v>
      </c>
      <c r="BQ550">
        <v>60</v>
      </c>
      <c r="BR550">
        <v>0</v>
      </c>
      <c r="BS550">
        <v>3</v>
      </c>
      <c r="BT550" t="s">
        <v>246</v>
      </c>
      <c r="BU550" t="s">
        <v>267</v>
      </c>
      <c r="BV550" t="b">
        <v>0</v>
      </c>
      <c r="BW550" t="s">
        <v>268</v>
      </c>
    </row>
    <row r="551" spans="1:75">
      <c r="A551" t="s">
        <v>246</v>
      </c>
      <c r="B551" t="s">
        <v>252</v>
      </c>
      <c r="C551">
        <v>905</v>
      </c>
      <c r="D551" t="s">
        <v>253</v>
      </c>
      <c r="E551" t="s">
        <v>254</v>
      </c>
      <c r="F551">
        <v>5</v>
      </c>
      <c r="G551" s="13">
        <v>46268.161550925928</v>
      </c>
      <c r="H551" s="13">
        <v>46268.167037037034</v>
      </c>
      <c r="I551">
        <v>474</v>
      </c>
      <c r="J551" t="s">
        <v>255</v>
      </c>
      <c r="K551">
        <v>2</v>
      </c>
      <c r="L551">
        <v>0.02</v>
      </c>
      <c r="M551">
        <v>0.01</v>
      </c>
      <c r="N551">
        <v>2</v>
      </c>
      <c r="O551">
        <v>0.02</v>
      </c>
      <c r="P551">
        <v>4.58</v>
      </c>
      <c r="Q551">
        <v>5.37</v>
      </c>
      <c r="R551">
        <v>-1.41</v>
      </c>
      <c r="S551" t="s">
        <v>263</v>
      </c>
      <c r="T551" t="s">
        <v>256</v>
      </c>
      <c r="U551">
        <v>10</v>
      </c>
      <c r="V551">
        <v>7260.97</v>
      </c>
      <c r="W551">
        <v>4999.84</v>
      </c>
      <c r="X551">
        <v>4995.42</v>
      </c>
      <c r="Y551">
        <v>0</v>
      </c>
      <c r="Z551">
        <v>0</v>
      </c>
      <c r="AA551">
        <v>35</v>
      </c>
      <c r="AB551">
        <v>50</v>
      </c>
      <c r="AC551">
        <v>5000</v>
      </c>
      <c r="AD551">
        <v>0</v>
      </c>
      <c r="AE551">
        <v>0</v>
      </c>
      <c r="AF551">
        <v>7259.98</v>
      </c>
      <c r="AG551">
        <v>7259.98</v>
      </c>
      <c r="AH551" s="14">
        <v>46268</v>
      </c>
      <c r="AI551" t="s">
        <v>266</v>
      </c>
      <c r="AJ551" s="13">
        <v>46265.054768518516</v>
      </c>
      <c r="AK551">
        <v>6763.31</v>
      </c>
      <c r="AL551" t="s">
        <v>259</v>
      </c>
      <c r="AM551" t="s">
        <v>260</v>
      </c>
      <c r="AN551">
        <v>1400</v>
      </c>
      <c r="AO551">
        <v>0</v>
      </c>
      <c r="AP551">
        <v>35</v>
      </c>
      <c r="AQ551">
        <v>85</v>
      </c>
      <c r="AR551">
        <v>35</v>
      </c>
      <c r="AS551">
        <v>2</v>
      </c>
      <c r="AT551">
        <v>23</v>
      </c>
      <c r="AU551">
        <v>1</v>
      </c>
      <c r="AV551">
        <v>0</v>
      </c>
      <c r="AW551">
        <v>10</v>
      </c>
      <c r="AX551">
        <v>1</v>
      </c>
      <c r="AY551">
        <v>5</v>
      </c>
      <c r="AZ551">
        <v>2</v>
      </c>
      <c r="BA551">
        <v>1</v>
      </c>
      <c r="BB551">
        <v>1440</v>
      </c>
      <c r="BC551">
        <v>0</v>
      </c>
      <c r="BD551">
        <v>0</v>
      </c>
      <c r="BE551">
        <v>14</v>
      </c>
      <c r="BF551">
        <v>25</v>
      </c>
      <c r="BG551">
        <v>3</v>
      </c>
      <c r="BH551">
        <v>8</v>
      </c>
      <c r="BI551">
        <v>3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0</v>
      </c>
      <c r="BQ551">
        <v>60</v>
      </c>
      <c r="BR551">
        <v>0</v>
      </c>
      <c r="BS551">
        <v>3</v>
      </c>
      <c r="BT551" t="s">
        <v>246</v>
      </c>
      <c r="BU551" t="s">
        <v>267</v>
      </c>
      <c r="BV551" t="b">
        <v>0</v>
      </c>
      <c r="BW551" t="s">
        <v>268</v>
      </c>
    </row>
    <row r="552" spans="1:75">
      <c r="A552" t="s">
        <v>246</v>
      </c>
      <c r="B552" t="s">
        <v>252</v>
      </c>
      <c r="C552">
        <v>906</v>
      </c>
      <c r="D552" t="s">
        <v>253</v>
      </c>
      <c r="E552" t="s">
        <v>254</v>
      </c>
      <c r="F552">
        <v>5</v>
      </c>
      <c r="G552" s="13">
        <v>46268.167083333334</v>
      </c>
      <c r="H552" s="13">
        <v>46268.167743055557</v>
      </c>
      <c r="I552">
        <v>57</v>
      </c>
      <c r="J552" t="s">
        <v>264</v>
      </c>
      <c r="K552">
        <v>1</v>
      </c>
      <c r="L552">
        <v>0.01</v>
      </c>
      <c r="M552">
        <v>0.01</v>
      </c>
      <c r="N552">
        <v>1</v>
      </c>
      <c r="O552">
        <v>0.01</v>
      </c>
      <c r="P552">
        <v>0.16</v>
      </c>
      <c r="Q552">
        <v>2.76</v>
      </c>
      <c r="R552">
        <v>2.76</v>
      </c>
      <c r="S552" t="s">
        <v>256</v>
      </c>
      <c r="T552" t="s">
        <v>257</v>
      </c>
      <c r="U552">
        <v>11</v>
      </c>
      <c r="V552">
        <v>7259.82</v>
      </c>
      <c r="W552">
        <v>4999.84</v>
      </c>
      <c r="X552">
        <v>4999.84</v>
      </c>
      <c r="Y552">
        <v>0</v>
      </c>
      <c r="Z552">
        <v>0</v>
      </c>
      <c r="AA552">
        <v>35</v>
      </c>
      <c r="AB552">
        <v>50</v>
      </c>
      <c r="AC552">
        <v>5000</v>
      </c>
      <c r="AD552">
        <v>0</v>
      </c>
      <c r="AE552">
        <v>0</v>
      </c>
      <c r="AF552">
        <v>7262.39</v>
      </c>
      <c r="AG552">
        <v>7262.39</v>
      </c>
      <c r="AH552" s="14">
        <v>46268</v>
      </c>
      <c r="AI552" t="s">
        <v>266</v>
      </c>
      <c r="AJ552" s="13">
        <v>46265.054768518516</v>
      </c>
      <c r="AK552">
        <v>6763.31</v>
      </c>
      <c r="AL552" t="s">
        <v>259</v>
      </c>
      <c r="AM552" t="s">
        <v>260</v>
      </c>
      <c r="AN552">
        <v>1400</v>
      </c>
      <c r="AO552">
        <v>0</v>
      </c>
      <c r="AP552">
        <v>35</v>
      </c>
      <c r="AQ552">
        <v>85</v>
      </c>
      <c r="AR552">
        <v>35</v>
      </c>
      <c r="AS552">
        <v>2</v>
      </c>
      <c r="AT552">
        <v>23</v>
      </c>
      <c r="AU552">
        <v>1</v>
      </c>
      <c r="AV552">
        <v>0</v>
      </c>
      <c r="AW552">
        <v>10</v>
      </c>
      <c r="AX552">
        <v>1</v>
      </c>
      <c r="AY552">
        <v>5</v>
      </c>
      <c r="AZ552">
        <v>2</v>
      </c>
      <c r="BA552">
        <v>1</v>
      </c>
      <c r="BB552">
        <v>1440</v>
      </c>
      <c r="BC552">
        <v>0</v>
      </c>
      <c r="BD552">
        <v>0</v>
      </c>
      <c r="BE552">
        <v>14</v>
      </c>
      <c r="BF552">
        <v>25</v>
      </c>
      <c r="BG552">
        <v>3</v>
      </c>
      <c r="BH552">
        <v>8</v>
      </c>
      <c r="BI552">
        <v>3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0</v>
      </c>
      <c r="BQ552">
        <v>60</v>
      </c>
      <c r="BR552">
        <v>0</v>
      </c>
      <c r="BS552">
        <v>3</v>
      </c>
      <c r="BT552" t="s">
        <v>246</v>
      </c>
      <c r="BU552" t="s">
        <v>267</v>
      </c>
      <c r="BV552" t="b">
        <v>0</v>
      </c>
      <c r="BW552" t="s">
        <v>268</v>
      </c>
    </row>
    <row r="553" spans="1:75">
      <c r="A553" t="s">
        <v>246</v>
      </c>
      <c r="B553" t="s">
        <v>252</v>
      </c>
      <c r="C553">
        <v>907</v>
      </c>
      <c r="D553" t="s">
        <v>253</v>
      </c>
      <c r="E553" t="s">
        <v>254</v>
      </c>
      <c r="F553">
        <v>5</v>
      </c>
      <c r="G553" s="13">
        <v>46268.170740740738</v>
      </c>
      <c r="H553" s="13">
        <v>46268.171724537038</v>
      </c>
      <c r="I553">
        <v>85</v>
      </c>
      <c r="J553" t="s">
        <v>255</v>
      </c>
      <c r="K553">
        <v>1</v>
      </c>
      <c r="L553">
        <v>0.01</v>
      </c>
      <c r="M553">
        <v>0.01</v>
      </c>
      <c r="N553">
        <v>1</v>
      </c>
      <c r="O553">
        <v>0.01</v>
      </c>
      <c r="P553">
        <v>1.93</v>
      </c>
      <c r="Q553">
        <v>2.4900000000000002</v>
      </c>
      <c r="R553">
        <v>2.4900000000000002</v>
      </c>
      <c r="S553" t="s">
        <v>256</v>
      </c>
      <c r="T553" t="s">
        <v>257</v>
      </c>
      <c r="U553">
        <v>15</v>
      </c>
      <c r="V553">
        <v>7262.22</v>
      </c>
      <c r="W553">
        <v>4999.83</v>
      </c>
      <c r="X553">
        <v>4998.07</v>
      </c>
      <c r="Y553">
        <v>0</v>
      </c>
      <c r="Z553">
        <v>0</v>
      </c>
      <c r="AA553">
        <v>35</v>
      </c>
      <c r="AB553">
        <v>50</v>
      </c>
      <c r="AC553">
        <v>5000</v>
      </c>
      <c r="AD553">
        <v>0</v>
      </c>
      <c r="AE553">
        <v>0</v>
      </c>
      <c r="AF553">
        <v>7264.53</v>
      </c>
      <c r="AG553">
        <v>7264.53</v>
      </c>
      <c r="AH553" s="14">
        <v>46268</v>
      </c>
      <c r="AI553" t="s">
        <v>266</v>
      </c>
      <c r="AJ553" s="13">
        <v>46265.054768518516</v>
      </c>
      <c r="AK553">
        <v>6763.31</v>
      </c>
      <c r="AL553" t="s">
        <v>259</v>
      </c>
      <c r="AM553" t="s">
        <v>260</v>
      </c>
      <c r="AN553">
        <v>1400</v>
      </c>
      <c r="AO553">
        <v>0</v>
      </c>
      <c r="AP553">
        <v>35</v>
      </c>
      <c r="AQ553">
        <v>85</v>
      </c>
      <c r="AR553">
        <v>35</v>
      </c>
      <c r="AS553">
        <v>2</v>
      </c>
      <c r="AT553">
        <v>23</v>
      </c>
      <c r="AU553">
        <v>1</v>
      </c>
      <c r="AV553">
        <v>0</v>
      </c>
      <c r="AW553">
        <v>10</v>
      </c>
      <c r="AX553">
        <v>1</v>
      </c>
      <c r="AY553">
        <v>5</v>
      </c>
      <c r="AZ553">
        <v>2</v>
      </c>
      <c r="BA553">
        <v>1</v>
      </c>
      <c r="BB553">
        <v>1440</v>
      </c>
      <c r="BC553">
        <v>0</v>
      </c>
      <c r="BD553">
        <v>0</v>
      </c>
      <c r="BE553">
        <v>14</v>
      </c>
      <c r="BF553">
        <v>25</v>
      </c>
      <c r="BG553">
        <v>3</v>
      </c>
      <c r="BH553">
        <v>8</v>
      </c>
      <c r="BI553">
        <v>3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0</v>
      </c>
      <c r="BQ553">
        <v>60</v>
      </c>
      <c r="BR553">
        <v>0</v>
      </c>
      <c r="BS553">
        <v>3</v>
      </c>
      <c r="BT553" t="s">
        <v>246</v>
      </c>
      <c r="BU553" t="s">
        <v>267</v>
      </c>
      <c r="BV553" t="b">
        <v>0</v>
      </c>
      <c r="BW553" t="s">
        <v>268</v>
      </c>
    </row>
    <row r="554" spans="1:75">
      <c r="A554" t="s">
        <v>246</v>
      </c>
      <c r="B554" t="s">
        <v>252</v>
      </c>
      <c r="C554">
        <v>908</v>
      </c>
      <c r="D554" t="s">
        <v>253</v>
      </c>
      <c r="E554" t="s">
        <v>254</v>
      </c>
      <c r="F554">
        <v>5</v>
      </c>
      <c r="G554" s="13">
        <v>46268.174513888887</v>
      </c>
      <c r="H554" s="13">
        <v>46268.175092592595</v>
      </c>
      <c r="I554">
        <v>50</v>
      </c>
      <c r="J554" t="s">
        <v>255</v>
      </c>
      <c r="K554">
        <v>1</v>
      </c>
      <c r="L554">
        <v>0.01</v>
      </c>
      <c r="M554">
        <v>0.01</v>
      </c>
      <c r="N554">
        <v>1</v>
      </c>
      <c r="O554">
        <v>0.01</v>
      </c>
      <c r="P554">
        <v>0.36</v>
      </c>
      <c r="Q554">
        <v>3.07</v>
      </c>
      <c r="R554">
        <v>2.87</v>
      </c>
      <c r="S554" t="s">
        <v>256</v>
      </c>
      <c r="T554" t="s">
        <v>257</v>
      </c>
      <c r="U554">
        <v>10</v>
      </c>
      <c r="V554">
        <v>7264.37</v>
      </c>
      <c r="W554">
        <v>4999.84</v>
      </c>
      <c r="X554">
        <v>4999.6400000000003</v>
      </c>
      <c r="Y554">
        <v>0</v>
      </c>
      <c r="Z554">
        <v>0</v>
      </c>
      <c r="AA554">
        <v>35</v>
      </c>
      <c r="AB554">
        <v>50</v>
      </c>
      <c r="AC554">
        <v>5000</v>
      </c>
      <c r="AD554">
        <v>0</v>
      </c>
      <c r="AE554">
        <v>0</v>
      </c>
      <c r="AF554">
        <v>7267.25</v>
      </c>
      <c r="AG554">
        <v>7267.25</v>
      </c>
      <c r="AH554" s="14">
        <v>46268</v>
      </c>
      <c r="AI554" t="s">
        <v>266</v>
      </c>
      <c r="AJ554" s="13">
        <v>46265.054768518516</v>
      </c>
      <c r="AK554">
        <v>6763.31</v>
      </c>
      <c r="AL554" t="s">
        <v>259</v>
      </c>
      <c r="AM554" t="s">
        <v>260</v>
      </c>
      <c r="AN554">
        <v>1400</v>
      </c>
      <c r="AO554">
        <v>0</v>
      </c>
      <c r="AP554">
        <v>35</v>
      </c>
      <c r="AQ554">
        <v>85</v>
      </c>
      <c r="AR554">
        <v>35</v>
      </c>
      <c r="AS554">
        <v>2</v>
      </c>
      <c r="AT554">
        <v>23</v>
      </c>
      <c r="AU554">
        <v>1</v>
      </c>
      <c r="AV554">
        <v>0</v>
      </c>
      <c r="AW554">
        <v>10</v>
      </c>
      <c r="AX554">
        <v>1</v>
      </c>
      <c r="AY554">
        <v>5</v>
      </c>
      <c r="AZ554">
        <v>2</v>
      </c>
      <c r="BA554">
        <v>1</v>
      </c>
      <c r="BB554">
        <v>1440</v>
      </c>
      <c r="BC554">
        <v>0</v>
      </c>
      <c r="BD554">
        <v>0</v>
      </c>
      <c r="BE554">
        <v>14</v>
      </c>
      <c r="BF554">
        <v>25</v>
      </c>
      <c r="BG554">
        <v>3</v>
      </c>
      <c r="BH554">
        <v>8</v>
      </c>
      <c r="BI554">
        <v>3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0</v>
      </c>
      <c r="BQ554">
        <v>60</v>
      </c>
      <c r="BR554">
        <v>0</v>
      </c>
      <c r="BS554">
        <v>3</v>
      </c>
      <c r="BT554" t="s">
        <v>246</v>
      </c>
      <c r="BU554" t="s">
        <v>267</v>
      </c>
      <c r="BV554" t="b">
        <v>0</v>
      </c>
      <c r="BW554" t="s">
        <v>268</v>
      </c>
    </row>
    <row r="555" spans="1:75">
      <c r="A555" t="s">
        <v>246</v>
      </c>
      <c r="B555" t="s">
        <v>252</v>
      </c>
      <c r="C555">
        <v>909</v>
      </c>
      <c r="D555" t="s">
        <v>253</v>
      </c>
      <c r="E555" t="s">
        <v>254</v>
      </c>
      <c r="F555">
        <v>5</v>
      </c>
      <c r="G555" s="13">
        <v>46268.177754629629</v>
      </c>
      <c r="H555" s="13">
        <v>46268.189027777778</v>
      </c>
      <c r="I555">
        <v>974</v>
      </c>
      <c r="J555" t="s">
        <v>255</v>
      </c>
      <c r="K555">
        <v>4</v>
      </c>
      <c r="L555">
        <v>0.04</v>
      </c>
      <c r="M555">
        <v>0.01</v>
      </c>
      <c r="N555">
        <v>4</v>
      </c>
      <c r="O555">
        <v>0.04</v>
      </c>
      <c r="P555">
        <v>17.32</v>
      </c>
      <c r="Q555">
        <v>26.67</v>
      </c>
      <c r="R555">
        <v>22.79</v>
      </c>
      <c r="S555" t="s">
        <v>263</v>
      </c>
      <c r="T555" t="s">
        <v>257</v>
      </c>
      <c r="U555">
        <v>10</v>
      </c>
      <c r="V555">
        <v>7267.08</v>
      </c>
      <c r="W555">
        <v>4999.83</v>
      </c>
      <c r="X555">
        <v>4982.68</v>
      </c>
      <c r="Y555">
        <v>0</v>
      </c>
      <c r="Z555">
        <v>0</v>
      </c>
      <c r="AA555">
        <v>35</v>
      </c>
      <c r="AB555">
        <v>50</v>
      </c>
      <c r="AC555">
        <v>5000</v>
      </c>
      <c r="AD555">
        <v>0</v>
      </c>
      <c r="AE555">
        <v>0</v>
      </c>
      <c r="AF555">
        <v>7289.82</v>
      </c>
      <c r="AG555">
        <v>7289.82</v>
      </c>
      <c r="AH555" s="14">
        <v>46268</v>
      </c>
      <c r="AI555" t="s">
        <v>266</v>
      </c>
      <c r="AJ555" s="13">
        <v>46265.054768518516</v>
      </c>
      <c r="AK555">
        <v>6763.31</v>
      </c>
      <c r="AL555" t="s">
        <v>259</v>
      </c>
      <c r="AM555" t="s">
        <v>260</v>
      </c>
      <c r="AN555">
        <v>1400</v>
      </c>
      <c r="AO555">
        <v>0</v>
      </c>
      <c r="AP555">
        <v>35</v>
      </c>
      <c r="AQ555">
        <v>85</v>
      </c>
      <c r="AR555">
        <v>35</v>
      </c>
      <c r="AS555">
        <v>2</v>
      </c>
      <c r="AT555">
        <v>23</v>
      </c>
      <c r="AU555">
        <v>1</v>
      </c>
      <c r="AV555">
        <v>0</v>
      </c>
      <c r="AW555">
        <v>10</v>
      </c>
      <c r="AX555">
        <v>1</v>
      </c>
      <c r="AY555">
        <v>5</v>
      </c>
      <c r="AZ555">
        <v>2</v>
      </c>
      <c r="BA555">
        <v>1</v>
      </c>
      <c r="BB555">
        <v>1440</v>
      </c>
      <c r="BC555">
        <v>0</v>
      </c>
      <c r="BD555">
        <v>0</v>
      </c>
      <c r="BE555">
        <v>14</v>
      </c>
      <c r="BF555">
        <v>25</v>
      </c>
      <c r="BG555">
        <v>3</v>
      </c>
      <c r="BH555">
        <v>8</v>
      </c>
      <c r="BI555">
        <v>3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0</v>
      </c>
      <c r="BQ555">
        <v>60</v>
      </c>
      <c r="BR555">
        <v>0</v>
      </c>
      <c r="BS555">
        <v>3</v>
      </c>
      <c r="BT555" t="s">
        <v>246</v>
      </c>
      <c r="BU555" t="s">
        <v>267</v>
      </c>
      <c r="BV555" t="b">
        <v>0</v>
      </c>
      <c r="BW555" t="s">
        <v>268</v>
      </c>
    </row>
    <row r="556" spans="1:75">
      <c r="A556" t="s">
        <v>246</v>
      </c>
      <c r="B556" t="s">
        <v>252</v>
      </c>
      <c r="C556">
        <v>910</v>
      </c>
      <c r="D556" t="s">
        <v>253</v>
      </c>
      <c r="E556" t="s">
        <v>254</v>
      </c>
      <c r="F556">
        <v>5</v>
      </c>
      <c r="G556" s="13">
        <v>46268.19259259259</v>
      </c>
      <c r="H556" s="13">
        <v>46268.197650462964</v>
      </c>
      <c r="I556">
        <v>437</v>
      </c>
      <c r="J556" t="s">
        <v>264</v>
      </c>
      <c r="K556">
        <v>2</v>
      </c>
      <c r="L556">
        <v>0.02</v>
      </c>
      <c r="M556">
        <v>0.01</v>
      </c>
      <c r="N556">
        <v>2</v>
      </c>
      <c r="O556">
        <v>0.02</v>
      </c>
      <c r="P556">
        <v>3.69</v>
      </c>
      <c r="Q556">
        <v>8.17</v>
      </c>
      <c r="R556">
        <v>6.11</v>
      </c>
      <c r="S556" t="s">
        <v>263</v>
      </c>
      <c r="T556" t="s">
        <v>257</v>
      </c>
      <c r="U556">
        <v>11</v>
      </c>
      <c r="V556">
        <v>7289.65</v>
      </c>
      <c r="W556">
        <v>4999.83</v>
      </c>
      <c r="X556">
        <v>4996.3100000000004</v>
      </c>
      <c r="Y556">
        <v>0</v>
      </c>
      <c r="Z556">
        <v>0</v>
      </c>
      <c r="AA556">
        <v>35</v>
      </c>
      <c r="AB556">
        <v>50</v>
      </c>
      <c r="AC556">
        <v>5000</v>
      </c>
      <c r="AD556">
        <v>0</v>
      </c>
      <c r="AE556">
        <v>0</v>
      </c>
      <c r="AF556">
        <v>7295.94</v>
      </c>
      <c r="AG556">
        <v>7295.94</v>
      </c>
      <c r="AH556" s="14">
        <v>46268</v>
      </c>
      <c r="AI556" t="s">
        <v>266</v>
      </c>
      <c r="AJ556" s="13">
        <v>46265.054768518516</v>
      </c>
      <c r="AK556">
        <v>6763.31</v>
      </c>
      <c r="AL556" t="s">
        <v>259</v>
      </c>
      <c r="AM556" t="s">
        <v>260</v>
      </c>
      <c r="AN556">
        <v>1400</v>
      </c>
      <c r="AO556">
        <v>0</v>
      </c>
      <c r="AP556">
        <v>35</v>
      </c>
      <c r="AQ556">
        <v>85</v>
      </c>
      <c r="AR556">
        <v>35</v>
      </c>
      <c r="AS556">
        <v>2</v>
      </c>
      <c r="AT556">
        <v>23</v>
      </c>
      <c r="AU556">
        <v>1</v>
      </c>
      <c r="AV556">
        <v>0</v>
      </c>
      <c r="AW556">
        <v>10</v>
      </c>
      <c r="AX556">
        <v>1</v>
      </c>
      <c r="AY556">
        <v>5</v>
      </c>
      <c r="AZ556">
        <v>2</v>
      </c>
      <c r="BA556">
        <v>1</v>
      </c>
      <c r="BB556">
        <v>1440</v>
      </c>
      <c r="BC556">
        <v>0</v>
      </c>
      <c r="BD556">
        <v>0</v>
      </c>
      <c r="BE556">
        <v>14</v>
      </c>
      <c r="BF556">
        <v>25</v>
      </c>
      <c r="BG556">
        <v>3</v>
      </c>
      <c r="BH556">
        <v>8</v>
      </c>
      <c r="BI556">
        <v>3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60</v>
      </c>
      <c r="BR556">
        <v>0</v>
      </c>
      <c r="BS556">
        <v>3</v>
      </c>
      <c r="BT556" t="s">
        <v>246</v>
      </c>
      <c r="BU556" t="s">
        <v>267</v>
      </c>
      <c r="BV556" t="b">
        <v>0</v>
      </c>
      <c r="BW556" t="s">
        <v>268</v>
      </c>
    </row>
    <row r="557" spans="1:75">
      <c r="A557" t="s">
        <v>246</v>
      </c>
      <c r="B557" t="s">
        <v>252</v>
      </c>
      <c r="C557">
        <v>911</v>
      </c>
      <c r="D557" t="s">
        <v>253</v>
      </c>
      <c r="E557" t="s">
        <v>254</v>
      </c>
      <c r="F557">
        <v>5</v>
      </c>
      <c r="G557" s="13">
        <v>46268.200590277775</v>
      </c>
      <c r="H557" s="13">
        <v>46268.201064814813</v>
      </c>
      <c r="I557">
        <v>41</v>
      </c>
      <c r="J557" t="s">
        <v>255</v>
      </c>
      <c r="K557">
        <v>1</v>
      </c>
      <c r="L557">
        <v>0.01</v>
      </c>
      <c r="M557">
        <v>0.01</v>
      </c>
      <c r="N557">
        <v>1</v>
      </c>
      <c r="O557">
        <v>0.01</v>
      </c>
      <c r="P557">
        <v>0.25</v>
      </c>
      <c r="Q557">
        <v>3.53</v>
      </c>
      <c r="R557">
        <v>3.28</v>
      </c>
      <c r="S557" t="s">
        <v>256</v>
      </c>
      <c r="T557" t="s">
        <v>257</v>
      </c>
      <c r="U557">
        <v>11</v>
      </c>
      <c r="V557">
        <v>7295.78</v>
      </c>
      <c r="W557">
        <v>4999.84</v>
      </c>
      <c r="X557">
        <v>4999.75</v>
      </c>
      <c r="Y557">
        <v>0</v>
      </c>
      <c r="Z557">
        <v>0</v>
      </c>
      <c r="AA557">
        <v>35</v>
      </c>
      <c r="AB557">
        <v>50</v>
      </c>
      <c r="AC557">
        <v>5000</v>
      </c>
      <c r="AD557">
        <v>0</v>
      </c>
      <c r="AE557">
        <v>0</v>
      </c>
      <c r="AF557">
        <v>7299.12</v>
      </c>
      <c r="AG557">
        <v>7299.12</v>
      </c>
      <c r="AH557" s="14">
        <v>46268</v>
      </c>
      <c r="AI557" t="s">
        <v>266</v>
      </c>
      <c r="AJ557" s="13">
        <v>46265.054768518516</v>
      </c>
      <c r="AK557">
        <v>6763.31</v>
      </c>
      <c r="AL557" t="s">
        <v>259</v>
      </c>
      <c r="AM557" t="s">
        <v>260</v>
      </c>
      <c r="AN557">
        <v>1400</v>
      </c>
      <c r="AO557">
        <v>0</v>
      </c>
      <c r="AP557">
        <v>35</v>
      </c>
      <c r="AQ557">
        <v>85</v>
      </c>
      <c r="AR557">
        <v>35</v>
      </c>
      <c r="AS557">
        <v>2</v>
      </c>
      <c r="AT557">
        <v>23</v>
      </c>
      <c r="AU557">
        <v>1</v>
      </c>
      <c r="AV557">
        <v>0</v>
      </c>
      <c r="AW557">
        <v>10</v>
      </c>
      <c r="AX557">
        <v>1</v>
      </c>
      <c r="AY557">
        <v>5</v>
      </c>
      <c r="AZ557">
        <v>2</v>
      </c>
      <c r="BA557">
        <v>1</v>
      </c>
      <c r="BB557">
        <v>1440</v>
      </c>
      <c r="BC557">
        <v>0</v>
      </c>
      <c r="BD557">
        <v>0</v>
      </c>
      <c r="BE557">
        <v>14</v>
      </c>
      <c r="BF557">
        <v>25</v>
      </c>
      <c r="BG557">
        <v>3</v>
      </c>
      <c r="BH557">
        <v>8</v>
      </c>
      <c r="BI557">
        <v>3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60</v>
      </c>
      <c r="BR557">
        <v>0</v>
      </c>
      <c r="BS557">
        <v>3</v>
      </c>
      <c r="BT557" t="s">
        <v>246</v>
      </c>
      <c r="BU557" t="s">
        <v>267</v>
      </c>
      <c r="BV557" t="b">
        <v>0</v>
      </c>
      <c r="BW557" t="s">
        <v>268</v>
      </c>
    </row>
    <row r="558" spans="1:75">
      <c r="A558" t="s">
        <v>246</v>
      </c>
      <c r="B558" t="s">
        <v>252</v>
      </c>
      <c r="C558">
        <v>912</v>
      </c>
      <c r="D558" t="s">
        <v>253</v>
      </c>
      <c r="E558" t="s">
        <v>254</v>
      </c>
      <c r="F558">
        <v>5</v>
      </c>
      <c r="G558" s="13">
        <v>46268.20716435185</v>
      </c>
      <c r="H558" s="13">
        <v>46268.207384259258</v>
      </c>
      <c r="I558">
        <v>19</v>
      </c>
      <c r="J558" t="s">
        <v>255</v>
      </c>
      <c r="K558">
        <v>1</v>
      </c>
      <c r="L558">
        <v>0.01</v>
      </c>
      <c r="M558">
        <v>0.01</v>
      </c>
      <c r="N558">
        <v>1</v>
      </c>
      <c r="O558">
        <v>0.01</v>
      </c>
      <c r="P558">
        <v>0.25</v>
      </c>
      <c r="Q558">
        <v>0.82</v>
      </c>
      <c r="R558">
        <v>0.68</v>
      </c>
      <c r="S558" t="s">
        <v>256</v>
      </c>
      <c r="T558" t="s">
        <v>257</v>
      </c>
      <c r="U558">
        <v>11</v>
      </c>
      <c r="V558">
        <v>7298.96</v>
      </c>
      <c r="W558">
        <v>4999.84</v>
      </c>
      <c r="X558">
        <v>4999.75</v>
      </c>
      <c r="Y558">
        <v>0</v>
      </c>
      <c r="Z558">
        <v>0</v>
      </c>
      <c r="AA558">
        <v>35</v>
      </c>
      <c r="AB558">
        <v>50</v>
      </c>
      <c r="AC558">
        <v>5000</v>
      </c>
      <c r="AD558">
        <v>0</v>
      </c>
      <c r="AE558">
        <v>0</v>
      </c>
      <c r="AF558">
        <v>7299.59</v>
      </c>
      <c r="AG558">
        <v>7299.59</v>
      </c>
      <c r="AH558" s="14">
        <v>46268</v>
      </c>
      <c r="AI558" t="s">
        <v>266</v>
      </c>
      <c r="AJ558" s="13">
        <v>46265.054768518516</v>
      </c>
      <c r="AK558">
        <v>6763.31</v>
      </c>
      <c r="AL558" t="s">
        <v>259</v>
      </c>
      <c r="AM558" t="s">
        <v>260</v>
      </c>
      <c r="AN558">
        <v>1400</v>
      </c>
      <c r="AO558">
        <v>0</v>
      </c>
      <c r="AP558">
        <v>35</v>
      </c>
      <c r="AQ558">
        <v>85</v>
      </c>
      <c r="AR558">
        <v>35</v>
      </c>
      <c r="AS558">
        <v>2</v>
      </c>
      <c r="AT558">
        <v>23</v>
      </c>
      <c r="AU558">
        <v>1</v>
      </c>
      <c r="AV558">
        <v>0</v>
      </c>
      <c r="AW558">
        <v>10</v>
      </c>
      <c r="AX558">
        <v>1</v>
      </c>
      <c r="AY558">
        <v>5</v>
      </c>
      <c r="AZ558">
        <v>2</v>
      </c>
      <c r="BA558">
        <v>1</v>
      </c>
      <c r="BB558">
        <v>1440</v>
      </c>
      <c r="BC558">
        <v>0</v>
      </c>
      <c r="BD558">
        <v>0</v>
      </c>
      <c r="BE558">
        <v>14</v>
      </c>
      <c r="BF558">
        <v>25</v>
      </c>
      <c r="BG558">
        <v>3</v>
      </c>
      <c r="BH558">
        <v>8</v>
      </c>
      <c r="BI558">
        <v>3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0</v>
      </c>
      <c r="BQ558">
        <v>60</v>
      </c>
      <c r="BR558">
        <v>0</v>
      </c>
      <c r="BS558">
        <v>3</v>
      </c>
      <c r="BT558" t="s">
        <v>246</v>
      </c>
      <c r="BU558" t="s">
        <v>267</v>
      </c>
      <c r="BV558" t="b">
        <v>0</v>
      </c>
      <c r="BW558" t="s">
        <v>268</v>
      </c>
    </row>
    <row r="559" spans="1:75">
      <c r="A559" t="s">
        <v>246</v>
      </c>
      <c r="B559" t="s">
        <v>252</v>
      </c>
      <c r="C559">
        <v>913</v>
      </c>
      <c r="D559" t="s">
        <v>253</v>
      </c>
      <c r="E559" t="s">
        <v>254</v>
      </c>
      <c r="F559">
        <v>5</v>
      </c>
      <c r="G559" s="13">
        <v>46268.209803240738</v>
      </c>
      <c r="H559" s="13">
        <v>46268.210474537038</v>
      </c>
      <c r="I559">
        <v>58</v>
      </c>
      <c r="J559" t="s">
        <v>255</v>
      </c>
      <c r="K559">
        <v>1</v>
      </c>
      <c r="L559">
        <v>0.01</v>
      </c>
      <c r="M559">
        <v>0.01</v>
      </c>
      <c r="N559">
        <v>1</v>
      </c>
      <c r="O559">
        <v>0.01</v>
      </c>
      <c r="P559">
        <v>0.53</v>
      </c>
      <c r="Q559">
        <v>1.07</v>
      </c>
      <c r="R559">
        <v>1.07</v>
      </c>
      <c r="S559" t="s">
        <v>256</v>
      </c>
      <c r="T559" t="s">
        <v>257</v>
      </c>
      <c r="U559">
        <v>10</v>
      </c>
      <c r="V559">
        <v>7299.43</v>
      </c>
      <c r="W559">
        <v>4999.84</v>
      </c>
      <c r="X559">
        <v>4999.47</v>
      </c>
      <c r="Y559">
        <v>0</v>
      </c>
      <c r="Z559">
        <v>0</v>
      </c>
      <c r="AA559">
        <v>35</v>
      </c>
      <c r="AB559">
        <v>50</v>
      </c>
      <c r="AC559">
        <v>5000</v>
      </c>
      <c r="AD559">
        <v>0</v>
      </c>
      <c r="AE559">
        <v>0</v>
      </c>
      <c r="AF559">
        <v>7300.3</v>
      </c>
      <c r="AG559">
        <v>7300.3</v>
      </c>
      <c r="AH559" s="14">
        <v>46268</v>
      </c>
      <c r="AI559" t="s">
        <v>266</v>
      </c>
      <c r="AJ559" s="13">
        <v>46265.054768518516</v>
      </c>
      <c r="AK559">
        <v>6763.31</v>
      </c>
      <c r="AL559" t="s">
        <v>259</v>
      </c>
      <c r="AM559" t="s">
        <v>260</v>
      </c>
      <c r="AN559">
        <v>1400</v>
      </c>
      <c r="AO559">
        <v>0</v>
      </c>
      <c r="AP559">
        <v>35</v>
      </c>
      <c r="AQ559">
        <v>85</v>
      </c>
      <c r="AR559">
        <v>35</v>
      </c>
      <c r="AS559">
        <v>2</v>
      </c>
      <c r="AT559">
        <v>23</v>
      </c>
      <c r="AU559">
        <v>1</v>
      </c>
      <c r="AV559">
        <v>0</v>
      </c>
      <c r="AW559">
        <v>10</v>
      </c>
      <c r="AX559">
        <v>1</v>
      </c>
      <c r="AY559">
        <v>5</v>
      </c>
      <c r="AZ559">
        <v>2</v>
      </c>
      <c r="BA559">
        <v>1</v>
      </c>
      <c r="BB559">
        <v>1440</v>
      </c>
      <c r="BC559">
        <v>0</v>
      </c>
      <c r="BD559">
        <v>0</v>
      </c>
      <c r="BE559">
        <v>14</v>
      </c>
      <c r="BF559">
        <v>25</v>
      </c>
      <c r="BG559">
        <v>3</v>
      </c>
      <c r="BH559">
        <v>8</v>
      </c>
      <c r="BI559">
        <v>3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0</v>
      </c>
      <c r="BQ559">
        <v>60</v>
      </c>
      <c r="BR559">
        <v>0</v>
      </c>
      <c r="BS559">
        <v>3</v>
      </c>
      <c r="BT559" t="s">
        <v>246</v>
      </c>
      <c r="BU559" t="s">
        <v>267</v>
      </c>
      <c r="BV559" t="b">
        <v>0</v>
      </c>
      <c r="BW559" t="s">
        <v>268</v>
      </c>
    </row>
    <row r="560" spans="1:75">
      <c r="A560" t="s">
        <v>246</v>
      </c>
      <c r="B560" t="s">
        <v>252</v>
      </c>
      <c r="C560">
        <v>914</v>
      </c>
      <c r="D560" t="s">
        <v>253</v>
      </c>
      <c r="E560" t="s">
        <v>254</v>
      </c>
      <c r="F560">
        <v>5</v>
      </c>
      <c r="G560" s="13">
        <v>46268.214872685188</v>
      </c>
      <c r="H560" s="13">
        <v>46268.224907407406</v>
      </c>
      <c r="I560">
        <v>867</v>
      </c>
      <c r="J560" t="s">
        <v>264</v>
      </c>
      <c r="K560">
        <v>4</v>
      </c>
      <c r="L560">
        <v>0.04</v>
      </c>
      <c r="M560">
        <v>0.01</v>
      </c>
      <c r="N560">
        <v>4</v>
      </c>
      <c r="O560">
        <v>0.04</v>
      </c>
      <c r="P560">
        <v>7.57</v>
      </c>
      <c r="Q560">
        <v>10.36</v>
      </c>
      <c r="R560">
        <v>8.36</v>
      </c>
      <c r="S560" t="s">
        <v>263</v>
      </c>
      <c r="T560" t="s">
        <v>257</v>
      </c>
      <c r="U560">
        <v>10</v>
      </c>
      <c r="V560">
        <v>7300.14</v>
      </c>
      <c r="W560">
        <v>4999.84</v>
      </c>
      <c r="X560">
        <v>4992.43</v>
      </c>
      <c r="Y560">
        <v>0</v>
      </c>
      <c r="Z560">
        <v>0</v>
      </c>
      <c r="AA560">
        <v>35</v>
      </c>
      <c r="AB560">
        <v>50</v>
      </c>
      <c r="AC560">
        <v>5000</v>
      </c>
      <c r="AD560">
        <v>0</v>
      </c>
      <c r="AE560">
        <v>0</v>
      </c>
      <c r="AF560">
        <v>7308.83</v>
      </c>
      <c r="AG560">
        <v>7308.83</v>
      </c>
      <c r="AH560" s="14">
        <v>46268</v>
      </c>
      <c r="AI560" t="s">
        <v>266</v>
      </c>
      <c r="AJ560" s="13">
        <v>46265.054768518516</v>
      </c>
      <c r="AK560">
        <v>6763.31</v>
      </c>
      <c r="AL560" t="s">
        <v>259</v>
      </c>
      <c r="AM560" t="s">
        <v>260</v>
      </c>
      <c r="AN560">
        <v>1400</v>
      </c>
      <c r="AO560">
        <v>0</v>
      </c>
      <c r="AP560">
        <v>35</v>
      </c>
      <c r="AQ560">
        <v>85</v>
      </c>
      <c r="AR560">
        <v>35</v>
      </c>
      <c r="AS560">
        <v>2</v>
      </c>
      <c r="AT560">
        <v>23</v>
      </c>
      <c r="AU560">
        <v>1</v>
      </c>
      <c r="AV560">
        <v>0</v>
      </c>
      <c r="AW560">
        <v>10</v>
      </c>
      <c r="AX560">
        <v>1</v>
      </c>
      <c r="AY560">
        <v>5</v>
      </c>
      <c r="AZ560">
        <v>2</v>
      </c>
      <c r="BA560">
        <v>1</v>
      </c>
      <c r="BB560">
        <v>1440</v>
      </c>
      <c r="BC560">
        <v>0</v>
      </c>
      <c r="BD560">
        <v>0</v>
      </c>
      <c r="BE560">
        <v>14</v>
      </c>
      <c r="BF560">
        <v>25</v>
      </c>
      <c r="BG560">
        <v>3</v>
      </c>
      <c r="BH560">
        <v>8</v>
      </c>
      <c r="BI560">
        <v>3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0</v>
      </c>
      <c r="BQ560">
        <v>60</v>
      </c>
      <c r="BR560">
        <v>0</v>
      </c>
      <c r="BS560">
        <v>3</v>
      </c>
      <c r="BT560" t="s">
        <v>246</v>
      </c>
      <c r="BU560" t="s">
        <v>267</v>
      </c>
      <c r="BV560" t="b">
        <v>0</v>
      </c>
      <c r="BW560" t="s">
        <v>268</v>
      </c>
    </row>
    <row r="561" spans="1:75">
      <c r="A561" t="s">
        <v>246</v>
      </c>
      <c r="B561" t="s">
        <v>252</v>
      </c>
      <c r="C561">
        <v>915</v>
      </c>
      <c r="D561" t="s">
        <v>253</v>
      </c>
      <c r="E561" t="s">
        <v>254</v>
      </c>
      <c r="F561">
        <v>5</v>
      </c>
      <c r="G561" s="13">
        <v>46268.22896990741</v>
      </c>
      <c r="H561" s="13">
        <v>46268.229467592595</v>
      </c>
      <c r="I561">
        <v>43</v>
      </c>
      <c r="J561" t="s">
        <v>255</v>
      </c>
      <c r="K561">
        <v>1</v>
      </c>
      <c r="L561">
        <v>0.01</v>
      </c>
      <c r="M561">
        <v>0.01</v>
      </c>
      <c r="N561">
        <v>1</v>
      </c>
      <c r="O561">
        <v>0.01</v>
      </c>
      <c r="P561">
        <v>1.62</v>
      </c>
      <c r="Q561">
        <v>1.26</v>
      </c>
      <c r="R561">
        <v>1.03</v>
      </c>
      <c r="S561" t="s">
        <v>256</v>
      </c>
      <c r="T561" t="s">
        <v>257</v>
      </c>
      <c r="U561">
        <v>11</v>
      </c>
      <c r="V561">
        <v>7308.66</v>
      </c>
      <c r="W561">
        <v>4999.83</v>
      </c>
      <c r="X561">
        <v>4998.38</v>
      </c>
      <c r="Y561">
        <v>0</v>
      </c>
      <c r="Z561">
        <v>0</v>
      </c>
      <c r="AA561">
        <v>35</v>
      </c>
      <c r="AB561">
        <v>50</v>
      </c>
      <c r="AC561">
        <v>5000</v>
      </c>
      <c r="AD561">
        <v>0</v>
      </c>
      <c r="AE561">
        <v>0</v>
      </c>
      <c r="AF561">
        <v>7309.74</v>
      </c>
      <c r="AG561">
        <v>7309.74</v>
      </c>
      <c r="AH561" s="14">
        <v>46268</v>
      </c>
      <c r="AI561" t="s">
        <v>266</v>
      </c>
      <c r="AJ561" s="13">
        <v>46265.054768518516</v>
      </c>
      <c r="AK561">
        <v>6763.31</v>
      </c>
      <c r="AL561" t="s">
        <v>259</v>
      </c>
      <c r="AM561" t="s">
        <v>260</v>
      </c>
      <c r="AN561">
        <v>1400</v>
      </c>
      <c r="AO561">
        <v>0</v>
      </c>
      <c r="AP561">
        <v>35</v>
      </c>
      <c r="AQ561">
        <v>85</v>
      </c>
      <c r="AR561">
        <v>35</v>
      </c>
      <c r="AS561">
        <v>2</v>
      </c>
      <c r="AT561">
        <v>23</v>
      </c>
      <c r="AU561">
        <v>1</v>
      </c>
      <c r="AV561">
        <v>0</v>
      </c>
      <c r="AW561">
        <v>10</v>
      </c>
      <c r="AX561">
        <v>1</v>
      </c>
      <c r="AY561">
        <v>5</v>
      </c>
      <c r="AZ561">
        <v>2</v>
      </c>
      <c r="BA561">
        <v>1</v>
      </c>
      <c r="BB561">
        <v>1440</v>
      </c>
      <c r="BC561">
        <v>0</v>
      </c>
      <c r="BD561">
        <v>0</v>
      </c>
      <c r="BE561">
        <v>14</v>
      </c>
      <c r="BF561">
        <v>25</v>
      </c>
      <c r="BG561">
        <v>3</v>
      </c>
      <c r="BH561">
        <v>8</v>
      </c>
      <c r="BI561">
        <v>3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0</v>
      </c>
      <c r="BQ561">
        <v>60</v>
      </c>
      <c r="BR561">
        <v>0</v>
      </c>
      <c r="BS561">
        <v>3</v>
      </c>
      <c r="BT561" t="s">
        <v>246</v>
      </c>
      <c r="BU561" t="s">
        <v>267</v>
      </c>
      <c r="BV561" t="b">
        <v>0</v>
      </c>
      <c r="BW561" t="s">
        <v>268</v>
      </c>
    </row>
    <row r="562" spans="1:75">
      <c r="A562" t="s">
        <v>246</v>
      </c>
      <c r="B562" t="s">
        <v>252</v>
      </c>
      <c r="C562">
        <v>916</v>
      </c>
      <c r="D562" t="s">
        <v>253</v>
      </c>
      <c r="E562" t="s">
        <v>254</v>
      </c>
      <c r="F562">
        <v>5</v>
      </c>
      <c r="G562" s="13">
        <v>46268.229664351849</v>
      </c>
      <c r="H562" s="13">
        <v>46268.230011574073</v>
      </c>
      <c r="I562">
        <v>30</v>
      </c>
      <c r="J562" t="s">
        <v>255</v>
      </c>
      <c r="K562">
        <v>1</v>
      </c>
      <c r="L562">
        <v>0.01</v>
      </c>
      <c r="M562">
        <v>0.01</v>
      </c>
      <c r="N562">
        <v>1</v>
      </c>
      <c r="O562">
        <v>0.01</v>
      </c>
      <c r="P562">
        <v>0.61</v>
      </c>
      <c r="Q562">
        <v>2.09</v>
      </c>
      <c r="R562">
        <v>2.0499999999999998</v>
      </c>
      <c r="S562" t="s">
        <v>256</v>
      </c>
      <c r="T562" t="s">
        <v>257</v>
      </c>
      <c r="U562">
        <v>11</v>
      </c>
      <c r="V562">
        <v>7309.58</v>
      </c>
      <c r="W562">
        <v>4999.84</v>
      </c>
      <c r="X562">
        <v>4999.3900000000003</v>
      </c>
      <c r="Y562">
        <v>0</v>
      </c>
      <c r="Z562">
        <v>0</v>
      </c>
      <c r="AA562">
        <v>35</v>
      </c>
      <c r="AB562">
        <v>50</v>
      </c>
      <c r="AC562">
        <v>5000</v>
      </c>
      <c r="AD562">
        <v>0</v>
      </c>
      <c r="AE562">
        <v>0</v>
      </c>
      <c r="AF562">
        <v>7311.48</v>
      </c>
      <c r="AG562">
        <v>7311.48</v>
      </c>
      <c r="AH562" s="14">
        <v>46268</v>
      </c>
      <c r="AI562" t="s">
        <v>266</v>
      </c>
      <c r="AJ562" s="13">
        <v>46265.054768518516</v>
      </c>
      <c r="AK562">
        <v>6763.31</v>
      </c>
      <c r="AL562" t="s">
        <v>259</v>
      </c>
      <c r="AM562" t="s">
        <v>260</v>
      </c>
      <c r="AN562">
        <v>1400</v>
      </c>
      <c r="AO562">
        <v>0</v>
      </c>
      <c r="AP562">
        <v>35</v>
      </c>
      <c r="AQ562">
        <v>85</v>
      </c>
      <c r="AR562">
        <v>35</v>
      </c>
      <c r="AS562">
        <v>2</v>
      </c>
      <c r="AT562">
        <v>23</v>
      </c>
      <c r="AU562">
        <v>1</v>
      </c>
      <c r="AV562">
        <v>0</v>
      </c>
      <c r="AW562">
        <v>10</v>
      </c>
      <c r="AX562">
        <v>1</v>
      </c>
      <c r="AY562">
        <v>5</v>
      </c>
      <c r="AZ562">
        <v>2</v>
      </c>
      <c r="BA562">
        <v>1</v>
      </c>
      <c r="BB562">
        <v>1440</v>
      </c>
      <c r="BC562">
        <v>0</v>
      </c>
      <c r="BD562">
        <v>0</v>
      </c>
      <c r="BE562">
        <v>14</v>
      </c>
      <c r="BF562">
        <v>25</v>
      </c>
      <c r="BG562">
        <v>3</v>
      </c>
      <c r="BH562">
        <v>8</v>
      </c>
      <c r="BI562">
        <v>3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0</v>
      </c>
      <c r="BQ562">
        <v>60</v>
      </c>
      <c r="BR562">
        <v>0</v>
      </c>
      <c r="BS562">
        <v>3</v>
      </c>
      <c r="BT562" t="s">
        <v>246</v>
      </c>
      <c r="BU562" t="s">
        <v>267</v>
      </c>
      <c r="BV562" t="b">
        <v>0</v>
      </c>
      <c r="BW562" t="s">
        <v>268</v>
      </c>
    </row>
    <row r="563" spans="1:75">
      <c r="A563" t="s">
        <v>246</v>
      </c>
      <c r="B563" t="s">
        <v>252</v>
      </c>
      <c r="C563">
        <v>917</v>
      </c>
      <c r="D563" t="s">
        <v>253</v>
      </c>
      <c r="E563" t="s">
        <v>254</v>
      </c>
      <c r="F563">
        <v>5</v>
      </c>
      <c r="G563" s="13">
        <v>46268.234305555554</v>
      </c>
      <c r="H563" s="13">
        <v>46268.246446759258</v>
      </c>
      <c r="I563">
        <v>1049</v>
      </c>
      <c r="J563" t="s">
        <v>255</v>
      </c>
      <c r="K563">
        <v>3</v>
      </c>
      <c r="L563">
        <v>0.03</v>
      </c>
      <c r="M563">
        <v>0.01</v>
      </c>
      <c r="N563">
        <v>3</v>
      </c>
      <c r="O563">
        <v>0.03</v>
      </c>
      <c r="P563">
        <v>8.08</v>
      </c>
      <c r="Q563">
        <v>8.0299999999999994</v>
      </c>
      <c r="R563">
        <v>5.84</v>
      </c>
      <c r="S563" t="s">
        <v>263</v>
      </c>
      <c r="T563" t="s">
        <v>257</v>
      </c>
      <c r="U563">
        <v>11</v>
      </c>
      <c r="V563">
        <v>7311.32</v>
      </c>
      <c r="W563">
        <v>4999.84</v>
      </c>
      <c r="X563">
        <v>4991.92</v>
      </c>
      <c r="Y563">
        <v>0</v>
      </c>
      <c r="Z563">
        <v>0</v>
      </c>
      <c r="AA563">
        <v>35</v>
      </c>
      <c r="AB563">
        <v>50</v>
      </c>
      <c r="AC563">
        <v>5000</v>
      </c>
      <c r="AD563">
        <v>0</v>
      </c>
      <c r="AE563">
        <v>0</v>
      </c>
      <c r="AF563">
        <v>7317.35</v>
      </c>
      <c r="AG563">
        <v>7317.35</v>
      </c>
      <c r="AH563" s="14">
        <v>46268</v>
      </c>
      <c r="AI563" t="s">
        <v>266</v>
      </c>
      <c r="AJ563" s="13">
        <v>46265.054768518516</v>
      </c>
      <c r="AK563">
        <v>6763.31</v>
      </c>
      <c r="AL563" t="s">
        <v>259</v>
      </c>
      <c r="AM563" t="s">
        <v>260</v>
      </c>
      <c r="AN563">
        <v>1400</v>
      </c>
      <c r="AO563">
        <v>0</v>
      </c>
      <c r="AP563">
        <v>35</v>
      </c>
      <c r="AQ563">
        <v>85</v>
      </c>
      <c r="AR563">
        <v>35</v>
      </c>
      <c r="AS563">
        <v>2</v>
      </c>
      <c r="AT563">
        <v>23</v>
      </c>
      <c r="AU563">
        <v>1</v>
      </c>
      <c r="AV563">
        <v>0</v>
      </c>
      <c r="AW563">
        <v>10</v>
      </c>
      <c r="AX563">
        <v>1</v>
      </c>
      <c r="AY563">
        <v>5</v>
      </c>
      <c r="AZ563">
        <v>2</v>
      </c>
      <c r="BA563">
        <v>1</v>
      </c>
      <c r="BB563">
        <v>1440</v>
      </c>
      <c r="BC563">
        <v>0</v>
      </c>
      <c r="BD563">
        <v>0</v>
      </c>
      <c r="BE563">
        <v>14</v>
      </c>
      <c r="BF563">
        <v>25</v>
      </c>
      <c r="BG563">
        <v>3</v>
      </c>
      <c r="BH563">
        <v>8</v>
      </c>
      <c r="BI563">
        <v>3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0</v>
      </c>
      <c r="BQ563">
        <v>60</v>
      </c>
      <c r="BR563">
        <v>0</v>
      </c>
      <c r="BS563">
        <v>3</v>
      </c>
      <c r="BT563" t="s">
        <v>246</v>
      </c>
      <c r="BU563" t="s">
        <v>267</v>
      </c>
      <c r="BV563" t="b">
        <v>0</v>
      </c>
      <c r="BW563" t="s">
        <v>268</v>
      </c>
    </row>
    <row r="564" spans="1:75">
      <c r="A564" t="s">
        <v>246</v>
      </c>
      <c r="B564" t="s">
        <v>252</v>
      </c>
      <c r="C564">
        <v>918</v>
      </c>
      <c r="D564" t="s">
        <v>253</v>
      </c>
      <c r="E564" t="s">
        <v>254</v>
      </c>
      <c r="F564">
        <v>5</v>
      </c>
      <c r="G564" s="13">
        <v>46268.25271990741</v>
      </c>
      <c r="H564" s="13">
        <v>46268.253240740742</v>
      </c>
      <c r="I564">
        <v>45</v>
      </c>
      <c r="J564" t="s">
        <v>255</v>
      </c>
      <c r="K564">
        <v>1</v>
      </c>
      <c r="L564">
        <v>0.01</v>
      </c>
      <c r="M564">
        <v>0.01</v>
      </c>
      <c r="N564">
        <v>1</v>
      </c>
      <c r="O564">
        <v>0.01</v>
      </c>
      <c r="P564">
        <v>0.62</v>
      </c>
      <c r="Q564">
        <v>2</v>
      </c>
      <c r="R564">
        <v>1.98</v>
      </c>
      <c r="S564" t="s">
        <v>256</v>
      </c>
      <c r="T564" t="s">
        <v>257</v>
      </c>
      <c r="U564">
        <v>11</v>
      </c>
      <c r="V564">
        <v>7317.18</v>
      </c>
      <c r="W564">
        <v>4999.83</v>
      </c>
      <c r="X564">
        <v>4999.38</v>
      </c>
      <c r="Y564">
        <v>0</v>
      </c>
      <c r="Z564">
        <v>0</v>
      </c>
      <c r="AA564">
        <v>35</v>
      </c>
      <c r="AB564">
        <v>50</v>
      </c>
      <c r="AC564">
        <v>5000</v>
      </c>
      <c r="AD564">
        <v>0</v>
      </c>
      <c r="AE564">
        <v>0</v>
      </c>
      <c r="AF564">
        <v>7319</v>
      </c>
      <c r="AG564">
        <v>7319</v>
      </c>
      <c r="AH564" s="14">
        <v>46268</v>
      </c>
      <c r="AI564" t="s">
        <v>266</v>
      </c>
      <c r="AJ564" s="13">
        <v>46265.054768518516</v>
      </c>
      <c r="AK564">
        <v>6763.31</v>
      </c>
      <c r="AL564" t="s">
        <v>259</v>
      </c>
      <c r="AM564" t="s">
        <v>260</v>
      </c>
      <c r="AN564">
        <v>1400</v>
      </c>
      <c r="AO564">
        <v>0</v>
      </c>
      <c r="AP564">
        <v>35</v>
      </c>
      <c r="AQ564">
        <v>85</v>
      </c>
      <c r="AR564">
        <v>35</v>
      </c>
      <c r="AS564">
        <v>2</v>
      </c>
      <c r="AT564">
        <v>23</v>
      </c>
      <c r="AU564">
        <v>1</v>
      </c>
      <c r="AV564">
        <v>0</v>
      </c>
      <c r="AW564">
        <v>10</v>
      </c>
      <c r="AX564">
        <v>1</v>
      </c>
      <c r="AY564">
        <v>5</v>
      </c>
      <c r="AZ564">
        <v>2</v>
      </c>
      <c r="BA564">
        <v>1</v>
      </c>
      <c r="BB564">
        <v>1440</v>
      </c>
      <c r="BC564">
        <v>0</v>
      </c>
      <c r="BD564">
        <v>0</v>
      </c>
      <c r="BE564">
        <v>14</v>
      </c>
      <c r="BF564">
        <v>25</v>
      </c>
      <c r="BG564">
        <v>3</v>
      </c>
      <c r="BH564">
        <v>8</v>
      </c>
      <c r="BI564">
        <v>3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0</v>
      </c>
      <c r="BQ564">
        <v>60</v>
      </c>
      <c r="BR564">
        <v>0</v>
      </c>
      <c r="BS564">
        <v>3</v>
      </c>
      <c r="BT564" t="s">
        <v>246</v>
      </c>
      <c r="BU564" t="s">
        <v>267</v>
      </c>
      <c r="BV564" t="b">
        <v>0</v>
      </c>
      <c r="BW564" t="s">
        <v>268</v>
      </c>
    </row>
    <row r="565" spans="1:75">
      <c r="A565" t="s">
        <v>246</v>
      </c>
      <c r="B565" t="s">
        <v>252</v>
      </c>
      <c r="C565">
        <v>919</v>
      </c>
      <c r="D565" t="s">
        <v>253</v>
      </c>
      <c r="E565" t="s">
        <v>254</v>
      </c>
      <c r="F565">
        <v>5</v>
      </c>
      <c r="G565" s="13">
        <v>46268.258530092593</v>
      </c>
      <c r="H565" s="13">
        <v>46268.25886574074</v>
      </c>
      <c r="I565">
        <v>29</v>
      </c>
      <c r="J565" t="s">
        <v>255</v>
      </c>
      <c r="K565">
        <v>1</v>
      </c>
      <c r="L565">
        <v>0.01</v>
      </c>
      <c r="M565">
        <v>0.01</v>
      </c>
      <c r="N565">
        <v>1</v>
      </c>
      <c r="O565">
        <v>0.01</v>
      </c>
      <c r="P565">
        <v>0.27</v>
      </c>
      <c r="Q565">
        <v>0.94</v>
      </c>
      <c r="R565">
        <v>0.92</v>
      </c>
      <c r="S565" t="s">
        <v>256</v>
      </c>
      <c r="T565" t="s">
        <v>257</v>
      </c>
      <c r="U565">
        <v>11</v>
      </c>
      <c r="V565">
        <v>7318.84</v>
      </c>
      <c r="W565">
        <v>4999.84</v>
      </c>
      <c r="X565">
        <v>4999.7299999999996</v>
      </c>
      <c r="Y565">
        <v>0</v>
      </c>
      <c r="Z565">
        <v>0</v>
      </c>
      <c r="AA565">
        <v>35</v>
      </c>
      <c r="AB565">
        <v>50</v>
      </c>
      <c r="AC565">
        <v>5000</v>
      </c>
      <c r="AD565">
        <v>0</v>
      </c>
      <c r="AE565">
        <v>0</v>
      </c>
      <c r="AF565">
        <v>7319.59</v>
      </c>
      <c r="AG565">
        <v>7319.59</v>
      </c>
      <c r="AH565" s="14">
        <v>46268</v>
      </c>
      <c r="AI565" t="s">
        <v>266</v>
      </c>
      <c r="AJ565" s="13">
        <v>46265.054768518516</v>
      </c>
      <c r="AK565">
        <v>6763.31</v>
      </c>
      <c r="AL565" t="s">
        <v>259</v>
      </c>
      <c r="AM565" t="s">
        <v>260</v>
      </c>
      <c r="AN565">
        <v>1400</v>
      </c>
      <c r="AO565">
        <v>0</v>
      </c>
      <c r="AP565">
        <v>35</v>
      </c>
      <c r="AQ565">
        <v>85</v>
      </c>
      <c r="AR565">
        <v>35</v>
      </c>
      <c r="AS565">
        <v>2</v>
      </c>
      <c r="AT565">
        <v>23</v>
      </c>
      <c r="AU565">
        <v>1</v>
      </c>
      <c r="AV565">
        <v>0</v>
      </c>
      <c r="AW565">
        <v>10</v>
      </c>
      <c r="AX565">
        <v>1</v>
      </c>
      <c r="AY565">
        <v>5</v>
      </c>
      <c r="AZ565">
        <v>2</v>
      </c>
      <c r="BA565">
        <v>1</v>
      </c>
      <c r="BB565">
        <v>1440</v>
      </c>
      <c r="BC565">
        <v>0</v>
      </c>
      <c r="BD565">
        <v>0</v>
      </c>
      <c r="BE565">
        <v>14</v>
      </c>
      <c r="BF565">
        <v>25</v>
      </c>
      <c r="BG565">
        <v>3</v>
      </c>
      <c r="BH565">
        <v>8</v>
      </c>
      <c r="BI565">
        <v>3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0</v>
      </c>
      <c r="BQ565">
        <v>60</v>
      </c>
      <c r="BR565">
        <v>0</v>
      </c>
      <c r="BS565">
        <v>3</v>
      </c>
      <c r="BT565" t="s">
        <v>246</v>
      </c>
      <c r="BU565" t="s">
        <v>267</v>
      </c>
      <c r="BV565" t="b">
        <v>0</v>
      </c>
      <c r="BW565" t="s">
        <v>268</v>
      </c>
    </row>
    <row r="566" spans="1:75">
      <c r="A566" t="s">
        <v>246</v>
      </c>
      <c r="B566" t="s">
        <v>252</v>
      </c>
      <c r="C566">
        <v>920</v>
      </c>
      <c r="D566" t="s">
        <v>253</v>
      </c>
      <c r="E566" t="s">
        <v>254</v>
      </c>
      <c r="F566">
        <v>5</v>
      </c>
      <c r="G566" s="13">
        <v>46268.261944444443</v>
      </c>
      <c r="H566" s="13">
        <v>46268.262650462966</v>
      </c>
      <c r="I566">
        <v>61</v>
      </c>
      <c r="J566" t="s">
        <v>264</v>
      </c>
      <c r="K566">
        <v>1</v>
      </c>
      <c r="L566">
        <v>0.01</v>
      </c>
      <c r="M566">
        <v>0.01</v>
      </c>
      <c r="N566">
        <v>1</v>
      </c>
      <c r="O566">
        <v>0.01</v>
      </c>
      <c r="P566">
        <v>0.76</v>
      </c>
      <c r="Q566">
        <v>1.1599999999999999</v>
      </c>
      <c r="R566">
        <v>1.05</v>
      </c>
      <c r="S566" t="s">
        <v>256</v>
      </c>
      <c r="T566" t="s">
        <v>257</v>
      </c>
      <c r="U566">
        <v>11</v>
      </c>
      <c r="V566">
        <v>7319.42</v>
      </c>
      <c r="W566">
        <v>4999.83</v>
      </c>
      <c r="X566">
        <v>4999.24</v>
      </c>
      <c r="Y566">
        <v>0</v>
      </c>
      <c r="Z566">
        <v>0</v>
      </c>
      <c r="AA566">
        <v>35</v>
      </c>
      <c r="AB566">
        <v>50</v>
      </c>
      <c r="AC566">
        <v>5000</v>
      </c>
      <c r="AD566">
        <v>0</v>
      </c>
      <c r="AE566">
        <v>0</v>
      </c>
      <c r="AF566">
        <v>7320.39</v>
      </c>
      <c r="AG566">
        <v>7320.39</v>
      </c>
      <c r="AH566" s="14">
        <v>46268</v>
      </c>
      <c r="AI566" t="s">
        <v>266</v>
      </c>
      <c r="AJ566" s="13">
        <v>46265.054768518516</v>
      </c>
      <c r="AK566">
        <v>6763.31</v>
      </c>
      <c r="AL566" t="s">
        <v>259</v>
      </c>
      <c r="AM566" t="s">
        <v>260</v>
      </c>
      <c r="AN566">
        <v>1400</v>
      </c>
      <c r="AO566">
        <v>0</v>
      </c>
      <c r="AP566">
        <v>35</v>
      </c>
      <c r="AQ566">
        <v>85</v>
      </c>
      <c r="AR566">
        <v>35</v>
      </c>
      <c r="AS566">
        <v>2</v>
      </c>
      <c r="AT566">
        <v>23</v>
      </c>
      <c r="AU566">
        <v>1</v>
      </c>
      <c r="AV566">
        <v>0</v>
      </c>
      <c r="AW566">
        <v>10</v>
      </c>
      <c r="AX566">
        <v>1</v>
      </c>
      <c r="AY566">
        <v>5</v>
      </c>
      <c r="AZ566">
        <v>2</v>
      </c>
      <c r="BA566">
        <v>1</v>
      </c>
      <c r="BB566">
        <v>1440</v>
      </c>
      <c r="BC566">
        <v>0</v>
      </c>
      <c r="BD566">
        <v>0</v>
      </c>
      <c r="BE566">
        <v>14</v>
      </c>
      <c r="BF566">
        <v>25</v>
      </c>
      <c r="BG566">
        <v>3</v>
      </c>
      <c r="BH566">
        <v>8</v>
      </c>
      <c r="BI566">
        <v>3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0</v>
      </c>
      <c r="BQ566">
        <v>60</v>
      </c>
      <c r="BR566">
        <v>0</v>
      </c>
      <c r="BS566">
        <v>3</v>
      </c>
      <c r="BT566" t="s">
        <v>246</v>
      </c>
      <c r="BU566" t="s">
        <v>267</v>
      </c>
      <c r="BV566" t="b">
        <v>0</v>
      </c>
      <c r="BW566" t="s">
        <v>268</v>
      </c>
    </row>
    <row r="567" spans="1:75">
      <c r="A567" t="s">
        <v>246</v>
      </c>
      <c r="B567" t="s">
        <v>252</v>
      </c>
      <c r="C567">
        <v>921</v>
      </c>
      <c r="D567" t="s">
        <v>253</v>
      </c>
      <c r="E567" t="s">
        <v>254</v>
      </c>
      <c r="F567">
        <v>5</v>
      </c>
      <c r="G567" s="13">
        <v>46268.269814814812</v>
      </c>
      <c r="H567" s="13">
        <v>46268.270497685182</v>
      </c>
      <c r="I567">
        <v>59</v>
      </c>
      <c r="J567" t="s">
        <v>255</v>
      </c>
      <c r="K567">
        <v>1</v>
      </c>
      <c r="L567">
        <v>0.01</v>
      </c>
      <c r="M567">
        <v>0.01</v>
      </c>
      <c r="N567">
        <v>1</v>
      </c>
      <c r="O567">
        <v>0.01</v>
      </c>
      <c r="P567">
        <v>0.52</v>
      </c>
      <c r="Q567">
        <v>2.2999999999999998</v>
      </c>
      <c r="R567">
        <v>1.95</v>
      </c>
      <c r="S567" t="s">
        <v>256</v>
      </c>
      <c r="T567" t="s">
        <v>257</v>
      </c>
      <c r="U567">
        <v>10</v>
      </c>
      <c r="V567">
        <v>7320.23</v>
      </c>
      <c r="W567">
        <v>4999.84</v>
      </c>
      <c r="X567">
        <v>4999.4799999999996</v>
      </c>
      <c r="Y567">
        <v>0</v>
      </c>
      <c r="Z567">
        <v>0</v>
      </c>
      <c r="AA567">
        <v>35</v>
      </c>
      <c r="AB567">
        <v>50</v>
      </c>
      <c r="AC567">
        <v>5000</v>
      </c>
      <c r="AD567">
        <v>0</v>
      </c>
      <c r="AE567">
        <v>0</v>
      </c>
      <c r="AF567">
        <v>7322.33</v>
      </c>
      <c r="AG567">
        <v>7322.33</v>
      </c>
      <c r="AH567" s="14">
        <v>46268</v>
      </c>
      <c r="AI567" t="s">
        <v>266</v>
      </c>
      <c r="AJ567" s="13">
        <v>46265.054768518516</v>
      </c>
      <c r="AK567">
        <v>6763.31</v>
      </c>
      <c r="AL567" t="s">
        <v>259</v>
      </c>
      <c r="AM567" t="s">
        <v>260</v>
      </c>
      <c r="AN567">
        <v>1400</v>
      </c>
      <c r="AO567">
        <v>0</v>
      </c>
      <c r="AP567">
        <v>35</v>
      </c>
      <c r="AQ567">
        <v>85</v>
      </c>
      <c r="AR567">
        <v>35</v>
      </c>
      <c r="AS567">
        <v>2</v>
      </c>
      <c r="AT567">
        <v>23</v>
      </c>
      <c r="AU567">
        <v>1</v>
      </c>
      <c r="AV567">
        <v>0</v>
      </c>
      <c r="AW567">
        <v>10</v>
      </c>
      <c r="AX567">
        <v>1</v>
      </c>
      <c r="AY567">
        <v>5</v>
      </c>
      <c r="AZ567">
        <v>2</v>
      </c>
      <c r="BA567">
        <v>1</v>
      </c>
      <c r="BB567">
        <v>1440</v>
      </c>
      <c r="BC567">
        <v>0</v>
      </c>
      <c r="BD567">
        <v>0</v>
      </c>
      <c r="BE567">
        <v>14</v>
      </c>
      <c r="BF567">
        <v>25</v>
      </c>
      <c r="BG567">
        <v>3</v>
      </c>
      <c r="BH567">
        <v>8</v>
      </c>
      <c r="BI567">
        <v>3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0</v>
      </c>
      <c r="BQ567">
        <v>60</v>
      </c>
      <c r="BR567">
        <v>0</v>
      </c>
      <c r="BS567">
        <v>3</v>
      </c>
      <c r="BT567" t="s">
        <v>246</v>
      </c>
      <c r="BU567" t="s">
        <v>267</v>
      </c>
      <c r="BV567" t="b">
        <v>0</v>
      </c>
      <c r="BW567" t="s">
        <v>268</v>
      </c>
    </row>
    <row r="568" spans="1:75">
      <c r="A568" t="s">
        <v>246</v>
      </c>
      <c r="B568" t="s">
        <v>252</v>
      </c>
      <c r="C568">
        <v>922</v>
      </c>
      <c r="D568" t="s">
        <v>253</v>
      </c>
      <c r="E568" t="s">
        <v>254</v>
      </c>
      <c r="F568">
        <v>5</v>
      </c>
      <c r="G568" s="13">
        <v>46268.280624999999</v>
      </c>
      <c r="H568" s="13">
        <v>46268.282719907409</v>
      </c>
      <c r="I568">
        <v>181</v>
      </c>
      <c r="J568" t="s">
        <v>264</v>
      </c>
      <c r="K568">
        <v>1</v>
      </c>
      <c r="L568">
        <v>0.01</v>
      </c>
      <c r="M568">
        <v>0.01</v>
      </c>
      <c r="N568">
        <v>1</v>
      </c>
      <c r="O568">
        <v>0.01</v>
      </c>
      <c r="P568">
        <v>0.89</v>
      </c>
      <c r="Q568">
        <v>1.1299999999999999</v>
      </c>
      <c r="R568">
        <v>0.95</v>
      </c>
      <c r="S568" t="s">
        <v>256</v>
      </c>
      <c r="T568" t="s">
        <v>257</v>
      </c>
      <c r="U568">
        <v>11</v>
      </c>
      <c r="V568">
        <v>7322.17</v>
      </c>
      <c r="W568">
        <v>4999.84</v>
      </c>
      <c r="X568">
        <v>4999.1099999999997</v>
      </c>
      <c r="Y568">
        <v>0</v>
      </c>
      <c r="Z568">
        <v>0</v>
      </c>
      <c r="AA568">
        <v>35</v>
      </c>
      <c r="AB568">
        <v>50</v>
      </c>
      <c r="AC568">
        <v>5000</v>
      </c>
      <c r="AD568">
        <v>0</v>
      </c>
      <c r="AE568">
        <v>0</v>
      </c>
      <c r="AF568">
        <v>7323.11</v>
      </c>
      <c r="AG568">
        <v>7323.11</v>
      </c>
      <c r="AH568" s="14">
        <v>46268</v>
      </c>
      <c r="AI568" t="s">
        <v>266</v>
      </c>
      <c r="AJ568" s="13">
        <v>46265.054768518516</v>
      </c>
      <c r="AK568">
        <v>6763.31</v>
      </c>
      <c r="AL568" t="s">
        <v>259</v>
      </c>
      <c r="AM568" t="s">
        <v>260</v>
      </c>
      <c r="AN568">
        <v>1400</v>
      </c>
      <c r="AO568">
        <v>0</v>
      </c>
      <c r="AP568">
        <v>35</v>
      </c>
      <c r="AQ568">
        <v>85</v>
      </c>
      <c r="AR568">
        <v>35</v>
      </c>
      <c r="AS568">
        <v>2</v>
      </c>
      <c r="AT568">
        <v>23</v>
      </c>
      <c r="AU568">
        <v>1</v>
      </c>
      <c r="AV568">
        <v>0</v>
      </c>
      <c r="AW568">
        <v>10</v>
      </c>
      <c r="AX568">
        <v>1</v>
      </c>
      <c r="AY568">
        <v>5</v>
      </c>
      <c r="AZ568">
        <v>2</v>
      </c>
      <c r="BA568">
        <v>1</v>
      </c>
      <c r="BB568">
        <v>1440</v>
      </c>
      <c r="BC568">
        <v>0</v>
      </c>
      <c r="BD568">
        <v>0</v>
      </c>
      <c r="BE568">
        <v>14</v>
      </c>
      <c r="BF568">
        <v>25</v>
      </c>
      <c r="BG568">
        <v>3</v>
      </c>
      <c r="BH568">
        <v>8</v>
      </c>
      <c r="BI568">
        <v>3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0</v>
      </c>
      <c r="BQ568">
        <v>60</v>
      </c>
      <c r="BR568">
        <v>0</v>
      </c>
      <c r="BS568">
        <v>3</v>
      </c>
      <c r="BT568" t="s">
        <v>246</v>
      </c>
      <c r="BU568" t="s">
        <v>267</v>
      </c>
      <c r="BV568" t="b">
        <v>0</v>
      </c>
      <c r="BW568" t="s">
        <v>268</v>
      </c>
    </row>
    <row r="569" spans="1:75">
      <c r="A569" t="s">
        <v>246</v>
      </c>
      <c r="B569" t="s">
        <v>252</v>
      </c>
      <c r="C569">
        <v>923</v>
      </c>
      <c r="D569" t="s">
        <v>253</v>
      </c>
      <c r="E569" t="s">
        <v>254</v>
      </c>
      <c r="F569">
        <v>5</v>
      </c>
      <c r="G569" s="13">
        <v>46268.28701388889</v>
      </c>
      <c r="H569" s="13">
        <v>46268.288298611114</v>
      </c>
      <c r="I569">
        <v>111</v>
      </c>
      <c r="J569" t="s">
        <v>255</v>
      </c>
      <c r="K569">
        <v>1</v>
      </c>
      <c r="L569">
        <v>0.01</v>
      </c>
      <c r="M569">
        <v>0.01</v>
      </c>
      <c r="N569">
        <v>1</v>
      </c>
      <c r="O569">
        <v>0.01</v>
      </c>
      <c r="P569">
        <v>1.64</v>
      </c>
      <c r="Q569">
        <v>0.89</v>
      </c>
      <c r="R569">
        <v>0.77</v>
      </c>
      <c r="S569" t="s">
        <v>256</v>
      </c>
      <c r="T569" t="s">
        <v>257</v>
      </c>
      <c r="U569">
        <v>10</v>
      </c>
      <c r="V569">
        <v>7322.95</v>
      </c>
      <c r="W569">
        <v>4999.84</v>
      </c>
      <c r="X569">
        <v>4998.3599999999997</v>
      </c>
      <c r="Y569">
        <v>0</v>
      </c>
      <c r="Z569">
        <v>0</v>
      </c>
      <c r="AA569">
        <v>35</v>
      </c>
      <c r="AB569">
        <v>50</v>
      </c>
      <c r="AC569">
        <v>5000</v>
      </c>
      <c r="AD569">
        <v>0</v>
      </c>
      <c r="AE569">
        <v>0</v>
      </c>
      <c r="AF569">
        <v>7323.65</v>
      </c>
      <c r="AG569">
        <v>7323.65</v>
      </c>
      <c r="AH569" s="14">
        <v>46268</v>
      </c>
      <c r="AI569" t="s">
        <v>266</v>
      </c>
      <c r="AJ569" s="13">
        <v>46265.054768518516</v>
      </c>
      <c r="AK569">
        <v>6763.31</v>
      </c>
      <c r="AL569" t="s">
        <v>259</v>
      </c>
      <c r="AM569" t="s">
        <v>260</v>
      </c>
      <c r="AN569">
        <v>1400</v>
      </c>
      <c r="AO569">
        <v>0</v>
      </c>
      <c r="AP569">
        <v>35</v>
      </c>
      <c r="AQ569">
        <v>85</v>
      </c>
      <c r="AR569">
        <v>35</v>
      </c>
      <c r="AS569">
        <v>2</v>
      </c>
      <c r="AT569">
        <v>23</v>
      </c>
      <c r="AU569">
        <v>1</v>
      </c>
      <c r="AV569">
        <v>0</v>
      </c>
      <c r="AW569">
        <v>10</v>
      </c>
      <c r="AX569">
        <v>1</v>
      </c>
      <c r="AY569">
        <v>5</v>
      </c>
      <c r="AZ569">
        <v>2</v>
      </c>
      <c r="BA569">
        <v>1</v>
      </c>
      <c r="BB569">
        <v>1440</v>
      </c>
      <c r="BC569">
        <v>0</v>
      </c>
      <c r="BD569">
        <v>0</v>
      </c>
      <c r="BE569">
        <v>14</v>
      </c>
      <c r="BF569">
        <v>25</v>
      </c>
      <c r="BG569">
        <v>3</v>
      </c>
      <c r="BH569">
        <v>8</v>
      </c>
      <c r="BI569">
        <v>3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0</v>
      </c>
      <c r="BQ569">
        <v>60</v>
      </c>
      <c r="BR569">
        <v>0</v>
      </c>
      <c r="BS569">
        <v>3</v>
      </c>
      <c r="BT569" t="s">
        <v>246</v>
      </c>
      <c r="BU569" t="s">
        <v>267</v>
      </c>
      <c r="BV569" t="b">
        <v>0</v>
      </c>
      <c r="BW569" t="s">
        <v>268</v>
      </c>
    </row>
    <row r="570" spans="1:75">
      <c r="A570" t="s">
        <v>246</v>
      </c>
      <c r="B570" t="s">
        <v>252</v>
      </c>
      <c r="C570">
        <v>924</v>
      </c>
      <c r="D570" t="s">
        <v>253</v>
      </c>
      <c r="E570" t="s">
        <v>254</v>
      </c>
      <c r="F570">
        <v>5</v>
      </c>
      <c r="G570" s="13">
        <v>46268.294050925928</v>
      </c>
      <c r="H570" s="13">
        <v>46268.295208333337</v>
      </c>
      <c r="I570">
        <v>100</v>
      </c>
      <c r="J570" t="s">
        <v>264</v>
      </c>
      <c r="K570">
        <v>1</v>
      </c>
      <c r="L570">
        <v>0.01</v>
      </c>
      <c r="M570">
        <v>0.01</v>
      </c>
      <c r="N570">
        <v>1</v>
      </c>
      <c r="O570">
        <v>0.01</v>
      </c>
      <c r="P570">
        <v>0.92</v>
      </c>
      <c r="Q570">
        <v>1.01</v>
      </c>
      <c r="R570">
        <v>0.76</v>
      </c>
      <c r="S570" t="s">
        <v>256</v>
      </c>
      <c r="T570" t="s">
        <v>257</v>
      </c>
      <c r="U570">
        <v>10</v>
      </c>
      <c r="V570">
        <v>7323.48</v>
      </c>
      <c r="W570">
        <v>4999.83</v>
      </c>
      <c r="X570">
        <v>4999.08</v>
      </c>
      <c r="Y570">
        <v>0</v>
      </c>
      <c r="Z570">
        <v>0</v>
      </c>
      <c r="AA570">
        <v>35</v>
      </c>
      <c r="AB570">
        <v>50</v>
      </c>
      <c r="AC570">
        <v>5000</v>
      </c>
      <c r="AD570">
        <v>0</v>
      </c>
      <c r="AE570">
        <v>0</v>
      </c>
      <c r="AF570">
        <v>7324.3</v>
      </c>
      <c r="AG570">
        <v>7324.3</v>
      </c>
      <c r="AH570" s="14">
        <v>46268</v>
      </c>
      <c r="AI570" t="s">
        <v>266</v>
      </c>
      <c r="AJ570" s="13">
        <v>46265.054768518516</v>
      </c>
      <c r="AK570">
        <v>6763.31</v>
      </c>
      <c r="AL570" t="s">
        <v>259</v>
      </c>
      <c r="AM570" t="s">
        <v>260</v>
      </c>
      <c r="AN570">
        <v>1400</v>
      </c>
      <c r="AO570">
        <v>0</v>
      </c>
      <c r="AP570">
        <v>35</v>
      </c>
      <c r="AQ570">
        <v>85</v>
      </c>
      <c r="AR570">
        <v>35</v>
      </c>
      <c r="AS570">
        <v>2</v>
      </c>
      <c r="AT570">
        <v>23</v>
      </c>
      <c r="AU570">
        <v>1</v>
      </c>
      <c r="AV570">
        <v>0</v>
      </c>
      <c r="AW570">
        <v>10</v>
      </c>
      <c r="AX570">
        <v>1</v>
      </c>
      <c r="AY570">
        <v>5</v>
      </c>
      <c r="AZ570">
        <v>2</v>
      </c>
      <c r="BA570">
        <v>1</v>
      </c>
      <c r="BB570">
        <v>1440</v>
      </c>
      <c r="BC570">
        <v>0</v>
      </c>
      <c r="BD570">
        <v>0</v>
      </c>
      <c r="BE570">
        <v>14</v>
      </c>
      <c r="BF570">
        <v>25</v>
      </c>
      <c r="BG570">
        <v>3</v>
      </c>
      <c r="BH570">
        <v>8</v>
      </c>
      <c r="BI570">
        <v>3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0</v>
      </c>
      <c r="BQ570">
        <v>60</v>
      </c>
      <c r="BR570">
        <v>0</v>
      </c>
      <c r="BS570">
        <v>3</v>
      </c>
      <c r="BT570" t="s">
        <v>246</v>
      </c>
      <c r="BU570" t="s">
        <v>267</v>
      </c>
      <c r="BV570" t="b">
        <v>0</v>
      </c>
      <c r="BW570" t="s">
        <v>268</v>
      </c>
    </row>
    <row r="571" spans="1:75">
      <c r="A571" t="s">
        <v>246</v>
      </c>
      <c r="B571" t="s">
        <v>252</v>
      </c>
      <c r="C571">
        <v>925</v>
      </c>
      <c r="D571" t="s">
        <v>253</v>
      </c>
      <c r="E571" t="s">
        <v>254</v>
      </c>
      <c r="F571">
        <v>5</v>
      </c>
      <c r="G571" s="13">
        <v>46268.297094907408</v>
      </c>
      <c r="H571" s="13">
        <v>46268.297615740739</v>
      </c>
      <c r="I571">
        <v>45</v>
      </c>
      <c r="J571" t="s">
        <v>255</v>
      </c>
      <c r="K571">
        <v>1</v>
      </c>
      <c r="L571">
        <v>0.01</v>
      </c>
      <c r="M571">
        <v>0.01</v>
      </c>
      <c r="N571">
        <v>1</v>
      </c>
      <c r="O571">
        <v>0.01</v>
      </c>
      <c r="P571">
        <v>0.69</v>
      </c>
      <c r="Q571">
        <v>1.81</v>
      </c>
      <c r="R571">
        <v>1.52</v>
      </c>
      <c r="S571" t="s">
        <v>256</v>
      </c>
      <c r="T571" t="s">
        <v>257</v>
      </c>
      <c r="U571">
        <v>10</v>
      </c>
      <c r="V571">
        <v>7324.13</v>
      </c>
      <c r="W571">
        <v>4999.83</v>
      </c>
      <c r="X571">
        <v>4999.3100000000004</v>
      </c>
      <c r="Y571">
        <v>0</v>
      </c>
      <c r="Z571">
        <v>0</v>
      </c>
      <c r="AA571">
        <v>35</v>
      </c>
      <c r="AB571">
        <v>50</v>
      </c>
      <c r="AC571">
        <v>5000</v>
      </c>
      <c r="AD571">
        <v>0</v>
      </c>
      <c r="AE571">
        <v>0</v>
      </c>
      <c r="AF571">
        <v>7325.76</v>
      </c>
      <c r="AG571">
        <v>7325.76</v>
      </c>
      <c r="AH571" s="14">
        <v>46268</v>
      </c>
      <c r="AI571" t="s">
        <v>266</v>
      </c>
      <c r="AJ571" s="13">
        <v>46265.054768518516</v>
      </c>
      <c r="AK571">
        <v>6763.31</v>
      </c>
      <c r="AL571" t="s">
        <v>259</v>
      </c>
      <c r="AM571" t="s">
        <v>260</v>
      </c>
      <c r="AN571">
        <v>1400</v>
      </c>
      <c r="AO571">
        <v>0</v>
      </c>
      <c r="AP571">
        <v>35</v>
      </c>
      <c r="AQ571">
        <v>85</v>
      </c>
      <c r="AR571">
        <v>35</v>
      </c>
      <c r="AS571">
        <v>2</v>
      </c>
      <c r="AT571">
        <v>23</v>
      </c>
      <c r="AU571">
        <v>1</v>
      </c>
      <c r="AV571">
        <v>0</v>
      </c>
      <c r="AW571">
        <v>10</v>
      </c>
      <c r="AX571">
        <v>1</v>
      </c>
      <c r="AY571">
        <v>5</v>
      </c>
      <c r="AZ571">
        <v>2</v>
      </c>
      <c r="BA571">
        <v>1</v>
      </c>
      <c r="BB571">
        <v>1440</v>
      </c>
      <c r="BC571">
        <v>0</v>
      </c>
      <c r="BD571">
        <v>0</v>
      </c>
      <c r="BE571">
        <v>14</v>
      </c>
      <c r="BF571">
        <v>25</v>
      </c>
      <c r="BG571">
        <v>3</v>
      </c>
      <c r="BH571">
        <v>8</v>
      </c>
      <c r="BI571">
        <v>3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0</v>
      </c>
      <c r="BQ571">
        <v>60</v>
      </c>
      <c r="BR571">
        <v>0</v>
      </c>
      <c r="BS571">
        <v>3</v>
      </c>
      <c r="BT571" t="s">
        <v>246</v>
      </c>
      <c r="BU571" t="s">
        <v>267</v>
      </c>
      <c r="BV571" t="b">
        <v>0</v>
      </c>
      <c r="BW571" t="s">
        <v>268</v>
      </c>
    </row>
    <row r="572" spans="1:75">
      <c r="A572" t="s">
        <v>246</v>
      </c>
      <c r="B572" t="s">
        <v>252</v>
      </c>
      <c r="C572">
        <v>926</v>
      </c>
      <c r="D572" t="s">
        <v>253</v>
      </c>
      <c r="E572" t="s">
        <v>254</v>
      </c>
      <c r="F572">
        <v>5</v>
      </c>
      <c r="G572" s="13">
        <v>46268.300717592596</v>
      </c>
      <c r="H572" s="13">
        <v>46268.301608796297</v>
      </c>
      <c r="I572">
        <v>77</v>
      </c>
      <c r="J572" t="s">
        <v>264</v>
      </c>
      <c r="K572">
        <v>1</v>
      </c>
      <c r="L572">
        <v>0.01</v>
      </c>
      <c r="M572">
        <v>0.01</v>
      </c>
      <c r="N572">
        <v>1</v>
      </c>
      <c r="O572">
        <v>0.01</v>
      </c>
      <c r="P572">
        <v>0.43</v>
      </c>
      <c r="Q572">
        <v>1.44</v>
      </c>
      <c r="R572">
        <v>1.21</v>
      </c>
      <c r="S572" t="s">
        <v>256</v>
      </c>
      <c r="T572" t="s">
        <v>257</v>
      </c>
      <c r="U572">
        <v>10</v>
      </c>
      <c r="V572">
        <v>7325.6</v>
      </c>
      <c r="W572">
        <v>4999.84</v>
      </c>
      <c r="X572">
        <v>4999.57</v>
      </c>
      <c r="Y572">
        <v>0</v>
      </c>
      <c r="Z572">
        <v>0</v>
      </c>
      <c r="AA572">
        <v>35</v>
      </c>
      <c r="AB572">
        <v>50</v>
      </c>
      <c r="AC572">
        <v>5000</v>
      </c>
      <c r="AD572">
        <v>0</v>
      </c>
      <c r="AE572">
        <v>0</v>
      </c>
      <c r="AF572">
        <v>7326.84</v>
      </c>
      <c r="AG572">
        <v>7326.84</v>
      </c>
      <c r="AH572" s="14">
        <v>46268</v>
      </c>
      <c r="AI572" t="s">
        <v>266</v>
      </c>
      <c r="AJ572" s="13">
        <v>46265.054768518516</v>
      </c>
      <c r="AK572">
        <v>6763.31</v>
      </c>
      <c r="AL572" t="s">
        <v>259</v>
      </c>
      <c r="AM572" t="s">
        <v>260</v>
      </c>
      <c r="AN572">
        <v>1400</v>
      </c>
      <c r="AO572">
        <v>0</v>
      </c>
      <c r="AP572">
        <v>35</v>
      </c>
      <c r="AQ572">
        <v>85</v>
      </c>
      <c r="AR572">
        <v>35</v>
      </c>
      <c r="AS572">
        <v>2</v>
      </c>
      <c r="AT572">
        <v>23</v>
      </c>
      <c r="AU572">
        <v>1</v>
      </c>
      <c r="AV572">
        <v>0</v>
      </c>
      <c r="AW572">
        <v>10</v>
      </c>
      <c r="AX572">
        <v>1</v>
      </c>
      <c r="AY572">
        <v>5</v>
      </c>
      <c r="AZ572">
        <v>2</v>
      </c>
      <c r="BA572">
        <v>1</v>
      </c>
      <c r="BB572">
        <v>1440</v>
      </c>
      <c r="BC572">
        <v>0</v>
      </c>
      <c r="BD572">
        <v>0</v>
      </c>
      <c r="BE572">
        <v>14</v>
      </c>
      <c r="BF572">
        <v>25</v>
      </c>
      <c r="BG572">
        <v>3</v>
      </c>
      <c r="BH572">
        <v>8</v>
      </c>
      <c r="BI572">
        <v>3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0</v>
      </c>
      <c r="BQ572">
        <v>60</v>
      </c>
      <c r="BR572">
        <v>0</v>
      </c>
      <c r="BS572">
        <v>3</v>
      </c>
      <c r="BT572" t="s">
        <v>246</v>
      </c>
      <c r="BU572" t="s">
        <v>267</v>
      </c>
      <c r="BV572" t="b">
        <v>0</v>
      </c>
      <c r="BW572" t="s">
        <v>268</v>
      </c>
    </row>
    <row r="573" spans="1:75">
      <c r="A573" t="s">
        <v>246</v>
      </c>
      <c r="B573" t="s">
        <v>252</v>
      </c>
      <c r="C573">
        <v>927</v>
      </c>
      <c r="D573" t="s">
        <v>253</v>
      </c>
      <c r="E573" t="s">
        <v>254</v>
      </c>
      <c r="F573">
        <v>5</v>
      </c>
      <c r="G573" s="13">
        <v>46268.333090277774</v>
      </c>
      <c r="H573" s="13">
        <v>46268.334027777775</v>
      </c>
      <c r="I573">
        <v>81</v>
      </c>
      <c r="J573" t="s">
        <v>255</v>
      </c>
      <c r="K573">
        <v>1</v>
      </c>
      <c r="L573">
        <v>0.01</v>
      </c>
      <c r="M573">
        <v>0.01</v>
      </c>
      <c r="N573">
        <v>1</v>
      </c>
      <c r="O573">
        <v>0.01</v>
      </c>
      <c r="P573">
        <v>0.38</v>
      </c>
      <c r="Q573">
        <v>2.52</v>
      </c>
      <c r="R573">
        <v>2.2000000000000002</v>
      </c>
      <c r="S573" t="s">
        <v>256</v>
      </c>
      <c r="T573" t="s">
        <v>257</v>
      </c>
      <c r="U573">
        <v>10</v>
      </c>
      <c r="V573">
        <v>7326.68</v>
      </c>
      <c r="W573">
        <v>4999.84</v>
      </c>
      <c r="X573">
        <v>4999.62</v>
      </c>
      <c r="Y573">
        <v>0</v>
      </c>
      <c r="Z573">
        <v>0</v>
      </c>
      <c r="AA573">
        <v>35</v>
      </c>
      <c r="AB573">
        <v>50</v>
      </c>
      <c r="AC573">
        <v>5000</v>
      </c>
      <c r="AD573">
        <v>0</v>
      </c>
      <c r="AE573">
        <v>0</v>
      </c>
      <c r="AF573">
        <v>7329.02</v>
      </c>
      <c r="AG573">
        <v>7329.02</v>
      </c>
      <c r="AH573" s="14">
        <v>46268</v>
      </c>
      <c r="AI573" t="s">
        <v>266</v>
      </c>
      <c r="AJ573" s="13">
        <v>46265.054768518516</v>
      </c>
      <c r="AK573">
        <v>6763.31</v>
      </c>
      <c r="AL573" t="s">
        <v>259</v>
      </c>
      <c r="AM573" t="s">
        <v>260</v>
      </c>
      <c r="AN573">
        <v>1400</v>
      </c>
      <c r="AO573">
        <v>0</v>
      </c>
      <c r="AP573">
        <v>35</v>
      </c>
      <c r="AQ573">
        <v>85</v>
      </c>
      <c r="AR573">
        <v>35</v>
      </c>
      <c r="AS573">
        <v>2</v>
      </c>
      <c r="AT573">
        <v>23</v>
      </c>
      <c r="AU573">
        <v>1</v>
      </c>
      <c r="AV573">
        <v>0</v>
      </c>
      <c r="AW573">
        <v>10</v>
      </c>
      <c r="AX573">
        <v>1</v>
      </c>
      <c r="AY573">
        <v>5</v>
      </c>
      <c r="AZ573">
        <v>2</v>
      </c>
      <c r="BA573">
        <v>1</v>
      </c>
      <c r="BB573">
        <v>1440</v>
      </c>
      <c r="BC573">
        <v>0</v>
      </c>
      <c r="BD573">
        <v>0</v>
      </c>
      <c r="BE573">
        <v>14</v>
      </c>
      <c r="BF573">
        <v>25</v>
      </c>
      <c r="BG573">
        <v>3</v>
      </c>
      <c r="BH573">
        <v>8</v>
      </c>
      <c r="BI573">
        <v>3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0</v>
      </c>
      <c r="BQ573">
        <v>60</v>
      </c>
      <c r="BR573">
        <v>0</v>
      </c>
      <c r="BS573">
        <v>3</v>
      </c>
      <c r="BT573" t="s">
        <v>246</v>
      </c>
      <c r="BU573" t="s">
        <v>267</v>
      </c>
      <c r="BV573" t="b">
        <v>0</v>
      </c>
      <c r="BW573" t="s">
        <v>268</v>
      </c>
    </row>
    <row r="574" spans="1:75">
      <c r="A574" t="s">
        <v>246</v>
      </c>
      <c r="B574" t="s">
        <v>252</v>
      </c>
      <c r="C574">
        <v>928</v>
      </c>
      <c r="D574" t="s">
        <v>253</v>
      </c>
      <c r="E574" t="s">
        <v>254</v>
      </c>
      <c r="F574">
        <v>5</v>
      </c>
      <c r="G574" s="13">
        <v>46268.335717592592</v>
      </c>
      <c r="H574" s="13">
        <v>46268.336909722224</v>
      </c>
      <c r="I574">
        <v>103</v>
      </c>
      <c r="J574" t="s">
        <v>264</v>
      </c>
      <c r="K574">
        <v>1</v>
      </c>
      <c r="L574">
        <v>0.01</v>
      </c>
      <c r="M574">
        <v>0.01</v>
      </c>
      <c r="N574">
        <v>1</v>
      </c>
      <c r="O574">
        <v>0.01</v>
      </c>
      <c r="P574">
        <v>1.1399999999999999</v>
      </c>
      <c r="Q574">
        <v>1.17</v>
      </c>
      <c r="R574">
        <v>0.93</v>
      </c>
      <c r="S574" t="s">
        <v>256</v>
      </c>
      <c r="T574" t="s">
        <v>257</v>
      </c>
      <c r="U574">
        <v>10</v>
      </c>
      <c r="V574">
        <v>7328.91</v>
      </c>
      <c r="W574">
        <v>4999.8900000000003</v>
      </c>
      <c r="X574">
        <v>4998.8599999999997</v>
      </c>
      <c r="Y574">
        <v>0</v>
      </c>
      <c r="Z574">
        <v>0</v>
      </c>
      <c r="AA574">
        <v>35</v>
      </c>
      <c r="AB574">
        <v>50</v>
      </c>
      <c r="AC574">
        <v>5000</v>
      </c>
      <c r="AD574">
        <v>0</v>
      </c>
      <c r="AE574">
        <v>0</v>
      </c>
      <c r="AF574">
        <v>7329.84</v>
      </c>
      <c r="AG574">
        <v>7329.84</v>
      </c>
      <c r="AH574" s="14">
        <v>46268</v>
      </c>
      <c r="AI574" t="s">
        <v>266</v>
      </c>
      <c r="AJ574" s="13">
        <v>46265.054768518516</v>
      </c>
      <c r="AK574">
        <v>6763.31</v>
      </c>
      <c r="AL574" t="s">
        <v>259</v>
      </c>
      <c r="AM574" t="s">
        <v>260</v>
      </c>
      <c r="AN574">
        <v>1400</v>
      </c>
      <c r="AO574">
        <v>0</v>
      </c>
      <c r="AP574">
        <v>35</v>
      </c>
      <c r="AQ574">
        <v>85</v>
      </c>
      <c r="AR574">
        <v>35</v>
      </c>
      <c r="AS574">
        <v>2</v>
      </c>
      <c r="AT574">
        <v>23</v>
      </c>
      <c r="AU574">
        <v>1</v>
      </c>
      <c r="AV574">
        <v>0</v>
      </c>
      <c r="AW574">
        <v>10</v>
      </c>
      <c r="AX574">
        <v>1</v>
      </c>
      <c r="AY574">
        <v>5</v>
      </c>
      <c r="AZ574">
        <v>2</v>
      </c>
      <c r="BA574">
        <v>1</v>
      </c>
      <c r="BB574">
        <v>1440</v>
      </c>
      <c r="BC574">
        <v>0</v>
      </c>
      <c r="BD574">
        <v>0</v>
      </c>
      <c r="BE574">
        <v>14</v>
      </c>
      <c r="BF574">
        <v>25</v>
      </c>
      <c r="BG574">
        <v>3</v>
      </c>
      <c r="BH574">
        <v>8</v>
      </c>
      <c r="BI574">
        <v>3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0</v>
      </c>
      <c r="BQ574">
        <v>60</v>
      </c>
      <c r="BR574">
        <v>0</v>
      </c>
      <c r="BS574">
        <v>3</v>
      </c>
      <c r="BT574" t="s">
        <v>246</v>
      </c>
      <c r="BU574" t="s">
        <v>267</v>
      </c>
      <c r="BV574" t="b">
        <v>0</v>
      </c>
      <c r="BW574" t="s">
        <v>268</v>
      </c>
    </row>
    <row r="575" spans="1:75">
      <c r="A575" t="s">
        <v>246</v>
      </c>
      <c r="B575" t="s">
        <v>252</v>
      </c>
      <c r="C575">
        <v>929</v>
      </c>
      <c r="D575" t="s">
        <v>253</v>
      </c>
      <c r="E575" t="s">
        <v>254</v>
      </c>
      <c r="F575">
        <v>5</v>
      </c>
      <c r="G575" s="13">
        <v>46268.337800925925</v>
      </c>
      <c r="H575" s="13">
        <v>46268.338229166664</v>
      </c>
      <c r="I575">
        <v>37</v>
      </c>
      <c r="J575" t="s">
        <v>264</v>
      </c>
      <c r="K575">
        <v>1</v>
      </c>
      <c r="L575">
        <v>0.01</v>
      </c>
      <c r="M575">
        <v>0.01</v>
      </c>
      <c r="N575">
        <v>1</v>
      </c>
      <c r="O575">
        <v>0.01</v>
      </c>
      <c r="P575">
        <v>1.07</v>
      </c>
      <c r="Q575">
        <v>1.1499999999999999</v>
      </c>
      <c r="R575">
        <v>0.82</v>
      </c>
      <c r="S575" t="s">
        <v>256</v>
      </c>
      <c r="T575" t="s">
        <v>257</v>
      </c>
      <c r="U575">
        <v>10</v>
      </c>
      <c r="V575">
        <v>7329.67</v>
      </c>
      <c r="W575">
        <v>4999.83</v>
      </c>
      <c r="X575">
        <v>4998.93</v>
      </c>
      <c r="Y575">
        <v>0</v>
      </c>
      <c r="Z575">
        <v>0</v>
      </c>
      <c r="AA575">
        <v>35</v>
      </c>
      <c r="AB575">
        <v>50</v>
      </c>
      <c r="AC575">
        <v>5000</v>
      </c>
      <c r="AD575">
        <v>0</v>
      </c>
      <c r="AE575">
        <v>0</v>
      </c>
      <c r="AF575">
        <v>7330.64</v>
      </c>
      <c r="AG575">
        <v>7330.64</v>
      </c>
      <c r="AH575" s="14">
        <v>46268</v>
      </c>
      <c r="AI575" t="s">
        <v>266</v>
      </c>
      <c r="AJ575" s="13">
        <v>46265.054768518516</v>
      </c>
      <c r="AK575">
        <v>6763.31</v>
      </c>
      <c r="AL575" t="s">
        <v>259</v>
      </c>
      <c r="AM575" t="s">
        <v>260</v>
      </c>
      <c r="AN575">
        <v>1400</v>
      </c>
      <c r="AO575">
        <v>0</v>
      </c>
      <c r="AP575">
        <v>35</v>
      </c>
      <c r="AQ575">
        <v>85</v>
      </c>
      <c r="AR575">
        <v>35</v>
      </c>
      <c r="AS575">
        <v>2</v>
      </c>
      <c r="AT575">
        <v>23</v>
      </c>
      <c r="AU575">
        <v>1</v>
      </c>
      <c r="AV575">
        <v>0</v>
      </c>
      <c r="AW575">
        <v>10</v>
      </c>
      <c r="AX575">
        <v>1</v>
      </c>
      <c r="AY575">
        <v>5</v>
      </c>
      <c r="AZ575">
        <v>2</v>
      </c>
      <c r="BA575">
        <v>1</v>
      </c>
      <c r="BB575">
        <v>1440</v>
      </c>
      <c r="BC575">
        <v>0</v>
      </c>
      <c r="BD575">
        <v>0</v>
      </c>
      <c r="BE575">
        <v>14</v>
      </c>
      <c r="BF575">
        <v>25</v>
      </c>
      <c r="BG575">
        <v>3</v>
      </c>
      <c r="BH575">
        <v>8</v>
      </c>
      <c r="BI575">
        <v>3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0</v>
      </c>
      <c r="BQ575">
        <v>60</v>
      </c>
      <c r="BR575">
        <v>0</v>
      </c>
      <c r="BS575">
        <v>3</v>
      </c>
      <c r="BT575" t="s">
        <v>246</v>
      </c>
      <c r="BU575" t="s">
        <v>267</v>
      </c>
      <c r="BV575" t="b">
        <v>0</v>
      </c>
      <c r="BW575" t="s">
        <v>268</v>
      </c>
    </row>
    <row r="576" spans="1:75">
      <c r="A576" t="s">
        <v>246</v>
      </c>
      <c r="B576" t="s">
        <v>252</v>
      </c>
      <c r="C576">
        <v>930</v>
      </c>
      <c r="D576" t="s">
        <v>253</v>
      </c>
      <c r="E576" t="s">
        <v>254</v>
      </c>
      <c r="F576">
        <v>5</v>
      </c>
      <c r="G576" s="13">
        <v>46268.34337962963</v>
      </c>
      <c r="H576" s="13">
        <v>46268.344456018516</v>
      </c>
      <c r="I576">
        <v>93</v>
      </c>
      <c r="J576" t="s">
        <v>264</v>
      </c>
      <c r="K576">
        <v>1</v>
      </c>
      <c r="L576">
        <v>0.01</v>
      </c>
      <c r="M576">
        <v>0.01</v>
      </c>
      <c r="N576">
        <v>1</v>
      </c>
      <c r="O576">
        <v>0.01</v>
      </c>
      <c r="P576">
        <v>1.67</v>
      </c>
      <c r="Q576">
        <v>1.06</v>
      </c>
      <c r="R576">
        <v>0.77</v>
      </c>
      <c r="S576" t="s">
        <v>256</v>
      </c>
      <c r="T576" t="s">
        <v>257</v>
      </c>
      <c r="U576">
        <v>11</v>
      </c>
      <c r="V576">
        <v>7330.47</v>
      </c>
      <c r="W576">
        <v>4999.83</v>
      </c>
      <c r="X576">
        <v>4998.33</v>
      </c>
      <c r="Y576">
        <v>0</v>
      </c>
      <c r="Z576">
        <v>0</v>
      </c>
      <c r="AA576">
        <v>35</v>
      </c>
      <c r="AB576">
        <v>50</v>
      </c>
      <c r="AC576">
        <v>5000</v>
      </c>
      <c r="AD576">
        <v>0</v>
      </c>
      <c r="AE576">
        <v>0</v>
      </c>
      <c r="AF576">
        <v>7331.34</v>
      </c>
      <c r="AG576">
        <v>7331.34</v>
      </c>
      <c r="AH576" s="14">
        <v>46268</v>
      </c>
      <c r="AI576" t="s">
        <v>266</v>
      </c>
      <c r="AJ576" s="13">
        <v>46265.054768518516</v>
      </c>
      <c r="AK576">
        <v>6763.31</v>
      </c>
      <c r="AL576" t="s">
        <v>259</v>
      </c>
      <c r="AM576" t="s">
        <v>260</v>
      </c>
      <c r="AN576">
        <v>1400</v>
      </c>
      <c r="AO576">
        <v>0</v>
      </c>
      <c r="AP576">
        <v>35</v>
      </c>
      <c r="AQ576">
        <v>85</v>
      </c>
      <c r="AR576">
        <v>35</v>
      </c>
      <c r="AS576">
        <v>2</v>
      </c>
      <c r="AT576">
        <v>23</v>
      </c>
      <c r="AU576">
        <v>1</v>
      </c>
      <c r="AV576">
        <v>0</v>
      </c>
      <c r="AW576">
        <v>10</v>
      </c>
      <c r="AX576">
        <v>1</v>
      </c>
      <c r="AY576">
        <v>5</v>
      </c>
      <c r="AZ576">
        <v>2</v>
      </c>
      <c r="BA576">
        <v>1</v>
      </c>
      <c r="BB576">
        <v>1440</v>
      </c>
      <c r="BC576">
        <v>0</v>
      </c>
      <c r="BD576">
        <v>0</v>
      </c>
      <c r="BE576">
        <v>14</v>
      </c>
      <c r="BF576">
        <v>25</v>
      </c>
      <c r="BG576">
        <v>3</v>
      </c>
      <c r="BH576">
        <v>8</v>
      </c>
      <c r="BI576">
        <v>3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0</v>
      </c>
      <c r="BQ576">
        <v>60</v>
      </c>
      <c r="BR576">
        <v>0</v>
      </c>
      <c r="BS576">
        <v>3</v>
      </c>
      <c r="BT576" t="s">
        <v>246</v>
      </c>
      <c r="BU576" t="s">
        <v>267</v>
      </c>
      <c r="BV576" t="b">
        <v>0</v>
      </c>
      <c r="BW576" t="s">
        <v>268</v>
      </c>
    </row>
    <row r="577" spans="1:75">
      <c r="A577" t="s">
        <v>246</v>
      </c>
      <c r="B577" t="s">
        <v>252</v>
      </c>
      <c r="C577">
        <v>931</v>
      </c>
      <c r="D577" t="s">
        <v>253</v>
      </c>
      <c r="E577" t="s">
        <v>254</v>
      </c>
      <c r="F577">
        <v>5</v>
      </c>
      <c r="G577" s="13">
        <v>46268.346412037034</v>
      </c>
      <c r="H577" s="13">
        <v>46268.356504629628</v>
      </c>
      <c r="I577">
        <v>872</v>
      </c>
      <c r="J577" t="s">
        <v>255</v>
      </c>
      <c r="K577">
        <v>3</v>
      </c>
      <c r="L577">
        <v>0.03</v>
      </c>
      <c r="M577">
        <v>0.01</v>
      </c>
      <c r="N577">
        <v>3</v>
      </c>
      <c r="O577">
        <v>0.03</v>
      </c>
      <c r="P577">
        <v>10.27</v>
      </c>
      <c r="Q577">
        <v>7.19</v>
      </c>
      <c r="R577">
        <v>3.86</v>
      </c>
      <c r="S577" t="s">
        <v>263</v>
      </c>
      <c r="T577" t="s">
        <v>257</v>
      </c>
      <c r="U577">
        <v>11</v>
      </c>
      <c r="V577">
        <v>7331.17</v>
      </c>
      <c r="W577">
        <v>4999.83</v>
      </c>
      <c r="X577">
        <v>4989.7299999999996</v>
      </c>
      <c r="Y577">
        <v>0</v>
      </c>
      <c r="Z577">
        <v>0</v>
      </c>
      <c r="AA577">
        <v>35</v>
      </c>
      <c r="AB577">
        <v>50</v>
      </c>
      <c r="AC577">
        <v>5000</v>
      </c>
      <c r="AD577">
        <v>0</v>
      </c>
      <c r="AE577">
        <v>0</v>
      </c>
      <c r="AF577">
        <v>7335.24</v>
      </c>
      <c r="AG577">
        <v>7335.24</v>
      </c>
      <c r="AH577" s="14">
        <v>46268</v>
      </c>
      <c r="AI577" t="s">
        <v>266</v>
      </c>
      <c r="AJ577" s="13">
        <v>46265.054768518516</v>
      </c>
      <c r="AK577">
        <v>6763.31</v>
      </c>
      <c r="AL577" t="s">
        <v>259</v>
      </c>
      <c r="AM577" t="s">
        <v>260</v>
      </c>
      <c r="AN577">
        <v>1400</v>
      </c>
      <c r="AO577">
        <v>0</v>
      </c>
      <c r="AP577">
        <v>35</v>
      </c>
      <c r="AQ577">
        <v>85</v>
      </c>
      <c r="AR577">
        <v>35</v>
      </c>
      <c r="AS577">
        <v>2</v>
      </c>
      <c r="AT577">
        <v>23</v>
      </c>
      <c r="AU577">
        <v>1</v>
      </c>
      <c r="AV577">
        <v>0</v>
      </c>
      <c r="AW577">
        <v>10</v>
      </c>
      <c r="AX577">
        <v>1</v>
      </c>
      <c r="AY577">
        <v>5</v>
      </c>
      <c r="AZ577">
        <v>2</v>
      </c>
      <c r="BA577">
        <v>1</v>
      </c>
      <c r="BB577">
        <v>1440</v>
      </c>
      <c r="BC577">
        <v>0</v>
      </c>
      <c r="BD577">
        <v>0</v>
      </c>
      <c r="BE577">
        <v>14</v>
      </c>
      <c r="BF577">
        <v>25</v>
      </c>
      <c r="BG577">
        <v>3</v>
      </c>
      <c r="BH577">
        <v>8</v>
      </c>
      <c r="BI577">
        <v>3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0</v>
      </c>
      <c r="BQ577">
        <v>60</v>
      </c>
      <c r="BR577">
        <v>0</v>
      </c>
      <c r="BS577">
        <v>3</v>
      </c>
      <c r="BT577" t="s">
        <v>246</v>
      </c>
      <c r="BU577" t="s">
        <v>267</v>
      </c>
      <c r="BV577" t="b">
        <v>0</v>
      </c>
      <c r="BW577" t="s">
        <v>268</v>
      </c>
    </row>
    <row r="578" spans="1:75">
      <c r="A578" t="s">
        <v>246</v>
      </c>
      <c r="B578" t="s">
        <v>252</v>
      </c>
      <c r="C578">
        <v>932</v>
      </c>
      <c r="D578" t="s">
        <v>253</v>
      </c>
      <c r="E578" t="s">
        <v>254</v>
      </c>
      <c r="F578">
        <v>5</v>
      </c>
      <c r="G578" s="13">
        <v>46268.358252314814</v>
      </c>
      <c r="H578" s="13">
        <v>46268.358576388891</v>
      </c>
      <c r="I578">
        <v>28</v>
      </c>
      <c r="J578" t="s">
        <v>264</v>
      </c>
      <c r="K578">
        <v>1</v>
      </c>
      <c r="L578">
        <v>0.01</v>
      </c>
      <c r="M578">
        <v>0.01</v>
      </c>
      <c r="N578">
        <v>1</v>
      </c>
      <c r="O578">
        <v>0.01</v>
      </c>
      <c r="P578">
        <v>0.8</v>
      </c>
      <c r="Q578">
        <v>1.44</v>
      </c>
      <c r="R578">
        <v>1.18</v>
      </c>
      <c r="S578" t="s">
        <v>256</v>
      </c>
      <c r="T578" t="s">
        <v>257</v>
      </c>
      <c r="U578">
        <v>10</v>
      </c>
      <c r="V578">
        <v>7335.08</v>
      </c>
      <c r="W578">
        <v>4999.84</v>
      </c>
      <c r="X578">
        <v>4999.2</v>
      </c>
      <c r="Y578">
        <v>0</v>
      </c>
      <c r="Z578">
        <v>0</v>
      </c>
      <c r="AA578">
        <v>35</v>
      </c>
      <c r="AB578">
        <v>50</v>
      </c>
      <c r="AC578">
        <v>5000</v>
      </c>
      <c r="AD578">
        <v>0</v>
      </c>
      <c r="AE578">
        <v>0</v>
      </c>
      <c r="AF578">
        <v>7336.33</v>
      </c>
      <c r="AG578">
        <v>7336.33</v>
      </c>
      <c r="AH578" s="14">
        <v>46268</v>
      </c>
      <c r="AI578" t="s">
        <v>266</v>
      </c>
      <c r="AJ578" s="13">
        <v>46265.054768518516</v>
      </c>
      <c r="AK578">
        <v>6763.31</v>
      </c>
      <c r="AL578" t="s">
        <v>259</v>
      </c>
      <c r="AM578" t="s">
        <v>260</v>
      </c>
      <c r="AN578">
        <v>1400</v>
      </c>
      <c r="AO578">
        <v>0</v>
      </c>
      <c r="AP578">
        <v>35</v>
      </c>
      <c r="AQ578">
        <v>85</v>
      </c>
      <c r="AR578">
        <v>35</v>
      </c>
      <c r="AS578">
        <v>2</v>
      </c>
      <c r="AT578">
        <v>23</v>
      </c>
      <c r="AU578">
        <v>1</v>
      </c>
      <c r="AV578">
        <v>0</v>
      </c>
      <c r="AW578">
        <v>10</v>
      </c>
      <c r="AX578">
        <v>1</v>
      </c>
      <c r="AY578">
        <v>5</v>
      </c>
      <c r="AZ578">
        <v>2</v>
      </c>
      <c r="BA578">
        <v>1</v>
      </c>
      <c r="BB578">
        <v>1440</v>
      </c>
      <c r="BC578">
        <v>0</v>
      </c>
      <c r="BD578">
        <v>0</v>
      </c>
      <c r="BE578">
        <v>14</v>
      </c>
      <c r="BF578">
        <v>25</v>
      </c>
      <c r="BG578">
        <v>3</v>
      </c>
      <c r="BH578">
        <v>8</v>
      </c>
      <c r="BI578">
        <v>3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0</v>
      </c>
      <c r="BQ578">
        <v>60</v>
      </c>
      <c r="BR578">
        <v>0</v>
      </c>
      <c r="BS578">
        <v>3</v>
      </c>
      <c r="BT578" t="s">
        <v>246</v>
      </c>
      <c r="BU578" t="s">
        <v>267</v>
      </c>
      <c r="BV578" t="b">
        <v>0</v>
      </c>
      <c r="BW578" t="s">
        <v>268</v>
      </c>
    </row>
    <row r="579" spans="1:75">
      <c r="A579" t="s">
        <v>246</v>
      </c>
      <c r="B579" t="s">
        <v>252</v>
      </c>
      <c r="C579">
        <v>933</v>
      </c>
      <c r="D579" t="s">
        <v>253</v>
      </c>
      <c r="E579" t="s">
        <v>254</v>
      </c>
      <c r="F579">
        <v>5</v>
      </c>
      <c r="G579" s="13">
        <v>46268.362708333334</v>
      </c>
      <c r="H579" s="13">
        <v>46268.363402777781</v>
      </c>
      <c r="I579">
        <v>60</v>
      </c>
      <c r="J579" t="s">
        <v>255</v>
      </c>
      <c r="K579">
        <v>1</v>
      </c>
      <c r="L579">
        <v>0.01</v>
      </c>
      <c r="M579">
        <v>0.01</v>
      </c>
      <c r="N579">
        <v>1</v>
      </c>
      <c r="O579">
        <v>0.01</v>
      </c>
      <c r="P579">
        <v>1.07</v>
      </c>
      <c r="Q579">
        <v>0.92</v>
      </c>
      <c r="R579">
        <v>0.68</v>
      </c>
      <c r="S579" t="s">
        <v>256</v>
      </c>
      <c r="T579" t="s">
        <v>257</v>
      </c>
      <c r="U579">
        <v>10</v>
      </c>
      <c r="V579">
        <v>7336.17</v>
      </c>
      <c r="W579">
        <v>4999.84</v>
      </c>
      <c r="X579">
        <v>4998.93</v>
      </c>
      <c r="Y579">
        <v>0</v>
      </c>
      <c r="Z579">
        <v>0</v>
      </c>
      <c r="AA579">
        <v>35</v>
      </c>
      <c r="AB579">
        <v>50</v>
      </c>
      <c r="AC579">
        <v>5000</v>
      </c>
      <c r="AD579">
        <v>0</v>
      </c>
      <c r="AE579">
        <v>0</v>
      </c>
      <c r="AF579">
        <v>7336.89</v>
      </c>
      <c r="AG579">
        <v>7336.89</v>
      </c>
      <c r="AH579" s="14">
        <v>46268</v>
      </c>
      <c r="AI579" t="s">
        <v>266</v>
      </c>
      <c r="AJ579" s="13">
        <v>46265.054768518516</v>
      </c>
      <c r="AK579">
        <v>6763.31</v>
      </c>
      <c r="AL579" t="s">
        <v>259</v>
      </c>
      <c r="AM579" t="s">
        <v>260</v>
      </c>
      <c r="AN579">
        <v>1400</v>
      </c>
      <c r="AO579">
        <v>0</v>
      </c>
      <c r="AP579">
        <v>35</v>
      </c>
      <c r="AQ579">
        <v>85</v>
      </c>
      <c r="AR579">
        <v>35</v>
      </c>
      <c r="AS579">
        <v>2</v>
      </c>
      <c r="AT579">
        <v>23</v>
      </c>
      <c r="AU579">
        <v>1</v>
      </c>
      <c r="AV579">
        <v>0</v>
      </c>
      <c r="AW579">
        <v>10</v>
      </c>
      <c r="AX579">
        <v>1</v>
      </c>
      <c r="AY579">
        <v>5</v>
      </c>
      <c r="AZ579">
        <v>2</v>
      </c>
      <c r="BA579">
        <v>1</v>
      </c>
      <c r="BB579">
        <v>1440</v>
      </c>
      <c r="BC579">
        <v>0</v>
      </c>
      <c r="BD579">
        <v>0</v>
      </c>
      <c r="BE579">
        <v>14</v>
      </c>
      <c r="BF579">
        <v>25</v>
      </c>
      <c r="BG579">
        <v>3</v>
      </c>
      <c r="BH579">
        <v>8</v>
      </c>
      <c r="BI579">
        <v>3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0</v>
      </c>
      <c r="BQ579">
        <v>60</v>
      </c>
      <c r="BR579">
        <v>0</v>
      </c>
      <c r="BS579">
        <v>3</v>
      </c>
      <c r="BT579" t="s">
        <v>246</v>
      </c>
      <c r="BU579" t="s">
        <v>267</v>
      </c>
      <c r="BV579" t="b">
        <v>0</v>
      </c>
      <c r="BW579" t="s">
        <v>268</v>
      </c>
    </row>
    <row r="580" spans="1:75">
      <c r="A580" t="s">
        <v>246</v>
      </c>
      <c r="B580" t="s">
        <v>252</v>
      </c>
      <c r="C580">
        <v>934</v>
      </c>
      <c r="D580" t="s">
        <v>253</v>
      </c>
      <c r="E580" t="s">
        <v>254</v>
      </c>
      <c r="F580">
        <v>5</v>
      </c>
      <c r="G580" s="13">
        <v>46268.365381944444</v>
      </c>
      <c r="H580" s="13">
        <v>46268.365520833337</v>
      </c>
      <c r="I580">
        <v>12</v>
      </c>
      <c r="J580" t="s">
        <v>264</v>
      </c>
      <c r="K580">
        <v>1</v>
      </c>
      <c r="L580">
        <v>0.01</v>
      </c>
      <c r="M580">
        <v>0.01</v>
      </c>
      <c r="N580">
        <v>1</v>
      </c>
      <c r="O580">
        <v>0.01</v>
      </c>
      <c r="P580">
        <v>0.23</v>
      </c>
      <c r="Q580">
        <v>1.46</v>
      </c>
      <c r="R580">
        <v>1.08</v>
      </c>
      <c r="S580" t="s">
        <v>256</v>
      </c>
      <c r="T580" t="s">
        <v>257</v>
      </c>
      <c r="U580">
        <v>10</v>
      </c>
      <c r="V580">
        <v>7336.72</v>
      </c>
      <c r="W580">
        <v>4999.83</v>
      </c>
      <c r="X580">
        <v>4999.7700000000004</v>
      </c>
      <c r="Y580">
        <v>0</v>
      </c>
      <c r="Z580">
        <v>0</v>
      </c>
      <c r="AA580">
        <v>35</v>
      </c>
      <c r="AB580">
        <v>50</v>
      </c>
      <c r="AC580">
        <v>5000</v>
      </c>
      <c r="AD580">
        <v>0</v>
      </c>
      <c r="AE580">
        <v>0</v>
      </c>
      <c r="AF580">
        <v>7337.95</v>
      </c>
      <c r="AG580">
        <v>7337.95</v>
      </c>
      <c r="AH580" s="14">
        <v>46268</v>
      </c>
      <c r="AI580" t="s">
        <v>266</v>
      </c>
      <c r="AJ580" s="13">
        <v>46265.054768518516</v>
      </c>
      <c r="AK580">
        <v>6763.31</v>
      </c>
      <c r="AL580" t="s">
        <v>259</v>
      </c>
      <c r="AM580" t="s">
        <v>260</v>
      </c>
      <c r="AN580">
        <v>1400</v>
      </c>
      <c r="AO580">
        <v>0</v>
      </c>
      <c r="AP580">
        <v>35</v>
      </c>
      <c r="AQ580">
        <v>85</v>
      </c>
      <c r="AR580">
        <v>35</v>
      </c>
      <c r="AS580">
        <v>2</v>
      </c>
      <c r="AT580">
        <v>23</v>
      </c>
      <c r="AU580">
        <v>1</v>
      </c>
      <c r="AV580">
        <v>0</v>
      </c>
      <c r="AW580">
        <v>10</v>
      </c>
      <c r="AX580">
        <v>1</v>
      </c>
      <c r="AY580">
        <v>5</v>
      </c>
      <c r="AZ580">
        <v>2</v>
      </c>
      <c r="BA580">
        <v>1</v>
      </c>
      <c r="BB580">
        <v>1440</v>
      </c>
      <c r="BC580">
        <v>0</v>
      </c>
      <c r="BD580">
        <v>0</v>
      </c>
      <c r="BE580">
        <v>14</v>
      </c>
      <c r="BF580">
        <v>25</v>
      </c>
      <c r="BG580">
        <v>3</v>
      </c>
      <c r="BH580">
        <v>8</v>
      </c>
      <c r="BI580">
        <v>3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0</v>
      </c>
      <c r="BQ580">
        <v>60</v>
      </c>
      <c r="BR580">
        <v>0</v>
      </c>
      <c r="BS580">
        <v>3</v>
      </c>
      <c r="BT580" t="s">
        <v>246</v>
      </c>
      <c r="BU580" t="s">
        <v>267</v>
      </c>
      <c r="BV580" t="b">
        <v>0</v>
      </c>
      <c r="BW580" t="s">
        <v>268</v>
      </c>
    </row>
    <row r="581" spans="1:75">
      <c r="A581" t="s">
        <v>246</v>
      </c>
      <c r="B581" t="s">
        <v>252</v>
      </c>
      <c r="C581">
        <v>935</v>
      </c>
      <c r="D581" t="s">
        <v>253</v>
      </c>
      <c r="E581" t="s">
        <v>254</v>
      </c>
      <c r="F581">
        <v>5</v>
      </c>
      <c r="G581" s="13">
        <v>46268.368634259263</v>
      </c>
      <c r="H581" s="13">
        <v>46268.420358796298</v>
      </c>
      <c r="I581">
        <v>4469</v>
      </c>
      <c r="J581" t="s">
        <v>255</v>
      </c>
      <c r="K581">
        <v>6</v>
      </c>
      <c r="L581">
        <v>0.06</v>
      </c>
      <c r="M581">
        <v>0.01</v>
      </c>
      <c r="N581">
        <v>6</v>
      </c>
      <c r="O581">
        <v>0.06</v>
      </c>
      <c r="P581">
        <v>54.47</v>
      </c>
      <c r="Q581">
        <v>8.76</v>
      </c>
      <c r="R581">
        <v>3.66</v>
      </c>
      <c r="S581" t="s">
        <v>263</v>
      </c>
      <c r="T581" t="s">
        <v>257</v>
      </c>
      <c r="U581">
        <v>11</v>
      </c>
      <c r="V581">
        <v>7337.78</v>
      </c>
      <c r="W581">
        <v>4999.83</v>
      </c>
      <c r="X581">
        <v>4945.53</v>
      </c>
      <c r="Y581">
        <v>0</v>
      </c>
      <c r="Z581">
        <v>0</v>
      </c>
      <c r="AA581">
        <v>35</v>
      </c>
      <c r="AB581">
        <v>50</v>
      </c>
      <c r="AC581">
        <v>5000</v>
      </c>
      <c r="AD581">
        <v>0</v>
      </c>
      <c r="AE581">
        <v>0</v>
      </c>
      <c r="AF581">
        <v>7341.65</v>
      </c>
      <c r="AG581">
        <v>7341.65</v>
      </c>
      <c r="AH581" s="14">
        <v>46268</v>
      </c>
      <c r="AI581" t="s">
        <v>266</v>
      </c>
      <c r="AJ581" s="13">
        <v>46265.054768518516</v>
      </c>
      <c r="AK581">
        <v>6763.31</v>
      </c>
      <c r="AL581" t="s">
        <v>259</v>
      </c>
      <c r="AM581" t="s">
        <v>260</v>
      </c>
      <c r="AN581">
        <v>1400</v>
      </c>
      <c r="AO581">
        <v>0</v>
      </c>
      <c r="AP581">
        <v>35</v>
      </c>
      <c r="AQ581">
        <v>85</v>
      </c>
      <c r="AR581">
        <v>35</v>
      </c>
      <c r="AS581">
        <v>2</v>
      </c>
      <c r="AT581">
        <v>23</v>
      </c>
      <c r="AU581">
        <v>1</v>
      </c>
      <c r="AV581">
        <v>0</v>
      </c>
      <c r="AW581">
        <v>10</v>
      </c>
      <c r="AX581">
        <v>1</v>
      </c>
      <c r="AY581">
        <v>5</v>
      </c>
      <c r="AZ581">
        <v>2</v>
      </c>
      <c r="BA581">
        <v>1</v>
      </c>
      <c r="BB581">
        <v>1440</v>
      </c>
      <c r="BC581">
        <v>0</v>
      </c>
      <c r="BD581">
        <v>0</v>
      </c>
      <c r="BE581">
        <v>14</v>
      </c>
      <c r="BF581">
        <v>25</v>
      </c>
      <c r="BG581">
        <v>3</v>
      </c>
      <c r="BH581">
        <v>8</v>
      </c>
      <c r="BI581">
        <v>3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0</v>
      </c>
      <c r="BQ581">
        <v>60</v>
      </c>
      <c r="BR581">
        <v>0</v>
      </c>
      <c r="BS581">
        <v>3</v>
      </c>
      <c r="BT581" t="s">
        <v>246</v>
      </c>
      <c r="BU581" t="s">
        <v>267</v>
      </c>
      <c r="BV581" t="b">
        <v>0</v>
      </c>
      <c r="BW581" t="s">
        <v>268</v>
      </c>
    </row>
    <row r="582" spans="1:75">
      <c r="A582" t="s">
        <v>246</v>
      </c>
      <c r="B582" t="s">
        <v>252</v>
      </c>
      <c r="C582">
        <v>936</v>
      </c>
      <c r="D582" t="s">
        <v>253</v>
      </c>
      <c r="E582" t="s">
        <v>254</v>
      </c>
      <c r="F582">
        <v>5</v>
      </c>
      <c r="G582" s="13">
        <v>46268.420682870368</v>
      </c>
      <c r="H582" s="13">
        <v>46268.421168981484</v>
      </c>
      <c r="I582">
        <v>42</v>
      </c>
      <c r="J582" t="s">
        <v>264</v>
      </c>
      <c r="K582">
        <v>1</v>
      </c>
      <c r="L582">
        <v>0.01</v>
      </c>
      <c r="M582">
        <v>0.01</v>
      </c>
      <c r="N582">
        <v>1</v>
      </c>
      <c r="O582">
        <v>0.01</v>
      </c>
      <c r="P582">
        <v>2.0499999999999998</v>
      </c>
      <c r="Q582">
        <v>1.19</v>
      </c>
      <c r="R582">
        <v>1.19</v>
      </c>
      <c r="S582" t="s">
        <v>256</v>
      </c>
      <c r="T582" t="s">
        <v>257</v>
      </c>
      <c r="U582">
        <v>10</v>
      </c>
      <c r="V582">
        <v>7341.48</v>
      </c>
      <c r="W582">
        <v>4999.83</v>
      </c>
      <c r="X582">
        <v>4997.95</v>
      </c>
      <c r="Y582">
        <v>0</v>
      </c>
      <c r="Z582">
        <v>0</v>
      </c>
      <c r="AA582">
        <v>35</v>
      </c>
      <c r="AB582">
        <v>50</v>
      </c>
      <c r="AC582">
        <v>5000</v>
      </c>
      <c r="AD582">
        <v>0</v>
      </c>
      <c r="AE582">
        <v>0</v>
      </c>
      <c r="AF582">
        <v>7342.48</v>
      </c>
      <c r="AG582">
        <v>7342.48</v>
      </c>
      <c r="AH582" s="14">
        <v>46268</v>
      </c>
      <c r="AI582" t="s">
        <v>266</v>
      </c>
      <c r="AJ582" s="13">
        <v>46265.054768518516</v>
      </c>
      <c r="AK582">
        <v>6763.31</v>
      </c>
      <c r="AL582" t="s">
        <v>259</v>
      </c>
      <c r="AM582" t="s">
        <v>260</v>
      </c>
      <c r="AN582">
        <v>1400</v>
      </c>
      <c r="AO582">
        <v>0</v>
      </c>
      <c r="AP582">
        <v>35</v>
      </c>
      <c r="AQ582">
        <v>85</v>
      </c>
      <c r="AR582">
        <v>35</v>
      </c>
      <c r="AS582">
        <v>2</v>
      </c>
      <c r="AT582">
        <v>23</v>
      </c>
      <c r="AU582">
        <v>1</v>
      </c>
      <c r="AV582">
        <v>0</v>
      </c>
      <c r="AW582">
        <v>10</v>
      </c>
      <c r="AX582">
        <v>1</v>
      </c>
      <c r="AY582">
        <v>5</v>
      </c>
      <c r="AZ582">
        <v>2</v>
      </c>
      <c r="BA582">
        <v>1</v>
      </c>
      <c r="BB582">
        <v>1440</v>
      </c>
      <c r="BC582">
        <v>0</v>
      </c>
      <c r="BD582">
        <v>0</v>
      </c>
      <c r="BE582">
        <v>14</v>
      </c>
      <c r="BF582">
        <v>25</v>
      </c>
      <c r="BG582">
        <v>3</v>
      </c>
      <c r="BH582">
        <v>8</v>
      </c>
      <c r="BI582">
        <v>3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0</v>
      </c>
      <c r="BQ582">
        <v>60</v>
      </c>
      <c r="BR582">
        <v>0</v>
      </c>
      <c r="BS582">
        <v>3</v>
      </c>
      <c r="BT582" t="s">
        <v>246</v>
      </c>
      <c r="BU582" t="s">
        <v>267</v>
      </c>
      <c r="BV582" t="b">
        <v>0</v>
      </c>
      <c r="BW582" t="s">
        <v>268</v>
      </c>
    </row>
    <row r="583" spans="1:75">
      <c r="A583" t="s">
        <v>246</v>
      </c>
      <c r="B583" t="s">
        <v>252</v>
      </c>
      <c r="C583">
        <v>937</v>
      </c>
      <c r="D583" t="s">
        <v>253</v>
      </c>
      <c r="E583" t="s">
        <v>254</v>
      </c>
      <c r="F583">
        <v>5</v>
      </c>
      <c r="G583" s="13">
        <v>46268.428252314814</v>
      </c>
      <c r="H583" s="13">
        <v>46268.43</v>
      </c>
      <c r="I583">
        <v>151</v>
      </c>
      <c r="J583" t="s">
        <v>255</v>
      </c>
      <c r="K583">
        <v>1</v>
      </c>
      <c r="L583">
        <v>0.01</v>
      </c>
      <c r="M583">
        <v>0.01</v>
      </c>
      <c r="N583">
        <v>1</v>
      </c>
      <c r="O583">
        <v>0.01</v>
      </c>
      <c r="P583">
        <v>2.77</v>
      </c>
      <c r="Q583">
        <v>1.52</v>
      </c>
      <c r="R583">
        <v>1.18</v>
      </c>
      <c r="S583" t="s">
        <v>256</v>
      </c>
      <c r="T583" t="s">
        <v>257</v>
      </c>
      <c r="U583">
        <v>11</v>
      </c>
      <c r="V583">
        <v>7342.31</v>
      </c>
      <c r="W583">
        <v>4999.83</v>
      </c>
      <c r="X583">
        <v>4997.2299999999996</v>
      </c>
      <c r="Y583">
        <v>0</v>
      </c>
      <c r="Z583">
        <v>0</v>
      </c>
      <c r="AA583">
        <v>35</v>
      </c>
      <c r="AB583">
        <v>50</v>
      </c>
      <c r="AC583">
        <v>5000</v>
      </c>
      <c r="AD583">
        <v>0</v>
      </c>
      <c r="AE583">
        <v>0</v>
      </c>
      <c r="AF583">
        <v>7343.65</v>
      </c>
      <c r="AG583">
        <v>7343.65</v>
      </c>
      <c r="AH583" s="14">
        <v>46268</v>
      </c>
      <c r="AI583" t="s">
        <v>266</v>
      </c>
      <c r="AJ583" s="13">
        <v>46265.054768518516</v>
      </c>
      <c r="AK583">
        <v>6763.31</v>
      </c>
      <c r="AL583" t="s">
        <v>259</v>
      </c>
      <c r="AM583" t="s">
        <v>260</v>
      </c>
      <c r="AN583">
        <v>1400</v>
      </c>
      <c r="AO583">
        <v>0</v>
      </c>
      <c r="AP583">
        <v>35</v>
      </c>
      <c r="AQ583">
        <v>85</v>
      </c>
      <c r="AR583">
        <v>35</v>
      </c>
      <c r="AS583">
        <v>2</v>
      </c>
      <c r="AT583">
        <v>23</v>
      </c>
      <c r="AU583">
        <v>1</v>
      </c>
      <c r="AV583">
        <v>0</v>
      </c>
      <c r="AW583">
        <v>10</v>
      </c>
      <c r="AX583">
        <v>1</v>
      </c>
      <c r="AY583">
        <v>5</v>
      </c>
      <c r="AZ583">
        <v>2</v>
      </c>
      <c r="BA583">
        <v>1</v>
      </c>
      <c r="BB583">
        <v>1440</v>
      </c>
      <c r="BC583">
        <v>0</v>
      </c>
      <c r="BD583">
        <v>0</v>
      </c>
      <c r="BE583">
        <v>14</v>
      </c>
      <c r="BF583">
        <v>25</v>
      </c>
      <c r="BG583">
        <v>3</v>
      </c>
      <c r="BH583">
        <v>8</v>
      </c>
      <c r="BI583">
        <v>3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0</v>
      </c>
      <c r="BQ583">
        <v>60</v>
      </c>
      <c r="BR583">
        <v>0</v>
      </c>
      <c r="BS583">
        <v>3</v>
      </c>
      <c r="BT583" t="s">
        <v>246</v>
      </c>
      <c r="BU583" t="s">
        <v>267</v>
      </c>
      <c r="BV583" t="b">
        <v>0</v>
      </c>
      <c r="BW583" t="s">
        <v>268</v>
      </c>
    </row>
    <row r="584" spans="1:75">
      <c r="A584" t="s">
        <v>246</v>
      </c>
      <c r="B584" t="s">
        <v>252</v>
      </c>
      <c r="C584">
        <v>938</v>
      </c>
      <c r="D584" t="s">
        <v>253</v>
      </c>
      <c r="E584" t="s">
        <v>254</v>
      </c>
      <c r="F584">
        <v>5</v>
      </c>
      <c r="G584" s="13">
        <v>46268.432916666665</v>
      </c>
      <c r="H584" s="13">
        <v>46268.43340277778</v>
      </c>
      <c r="I584">
        <v>42</v>
      </c>
      <c r="J584" t="s">
        <v>255</v>
      </c>
      <c r="K584">
        <v>0</v>
      </c>
      <c r="L584">
        <v>0</v>
      </c>
      <c r="M584">
        <v>0.01</v>
      </c>
      <c r="N584">
        <v>1</v>
      </c>
      <c r="O584">
        <v>0.01</v>
      </c>
      <c r="P584">
        <v>0.18</v>
      </c>
      <c r="Q584">
        <v>1.74</v>
      </c>
      <c r="R584">
        <v>0</v>
      </c>
      <c r="S584" t="s">
        <v>256</v>
      </c>
      <c r="T584" t="s">
        <v>256</v>
      </c>
      <c r="U584">
        <v>11</v>
      </c>
      <c r="V584">
        <v>7343.49</v>
      </c>
      <c r="W584">
        <v>4999.84</v>
      </c>
      <c r="X584">
        <v>4999.82</v>
      </c>
      <c r="Y584">
        <v>0</v>
      </c>
      <c r="Z584">
        <v>0</v>
      </c>
      <c r="AA584">
        <v>35</v>
      </c>
      <c r="AB584">
        <v>50</v>
      </c>
      <c r="AC584">
        <v>5000</v>
      </c>
      <c r="AD584">
        <v>0</v>
      </c>
      <c r="AE584">
        <v>0</v>
      </c>
      <c r="AF584">
        <v>7345.04</v>
      </c>
      <c r="AG584">
        <v>7345.04</v>
      </c>
      <c r="AH584" s="14">
        <v>46268</v>
      </c>
      <c r="AI584" t="s">
        <v>266</v>
      </c>
      <c r="AJ584" s="13">
        <v>46265.054768518516</v>
      </c>
      <c r="AK584">
        <v>6763.31</v>
      </c>
      <c r="AL584" t="s">
        <v>259</v>
      </c>
      <c r="AM584" t="s">
        <v>260</v>
      </c>
      <c r="AN584">
        <v>1400</v>
      </c>
      <c r="AO584">
        <v>0</v>
      </c>
      <c r="AP584">
        <v>35</v>
      </c>
      <c r="AQ584">
        <v>85</v>
      </c>
      <c r="AR584">
        <v>35</v>
      </c>
      <c r="AS584">
        <v>2</v>
      </c>
      <c r="AT584">
        <v>23</v>
      </c>
      <c r="AU584">
        <v>1</v>
      </c>
      <c r="AV584">
        <v>0</v>
      </c>
      <c r="AW584">
        <v>10</v>
      </c>
      <c r="AX584">
        <v>1</v>
      </c>
      <c r="AY584">
        <v>5</v>
      </c>
      <c r="AZ584">
        <v>2</v>
      </c>
      <c r="BA584">
        <v>1</v>
      </c>
      <c r="BB584">
        <v>1440</v>
      </c>
      <c r="BC584">
        <v>0</v>
      </c>
      <c r="BD584">
        <v>0</v>
      </c>
      <c r="BE584">
        <v>14</v>
      </c>
      <c r="BF584">
        <v>25</v>
      </c>
      <c r="BG584">
        <v>3</v>
      </c>
      <c r="BH584">
        <v>8</v>
      </c>
      <c r="BI584">
        <v>3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0</v>
      </c>
      <c r="BQ584">
        <v>60</v>
      </c>
      <c r="BR584">
        <v>0</v>
      </c>
      <c r="BS584">
        <v>3</v>
      </c>
      <c r="BT584" t="s">
        <v>246</v>
      </c>
      <c r="BU584" t="s">
        <v>267</v>
      </c>
      <c r="BV584" t="b">
        <v>0</v>
      </c>
      <c r="BW584" t="s">
        <v>268</v>
      </c>
    </row>
    <row r="585" spans="1:75">
      <c r="A585" t="s">
        <v>246</v>
      </c>
      <c r="B585" t="s">
        <v>252</v>
      </c>
      <c r="C585">
        <v>939</v>
      </c>
      <c r="D585" t="s">
        <v>253</v>
      </c>
      <c r="E585" t="s">
        <v>254</v>
      </c>
      <c r="F585">
        <v>5</v>
      </c>
      <c r="G585" s="13">
        <v>46268.434884259259</v>
      </c>
      <c r="H585" s="13">
        <v>46268.442627314813</v>
      </c>
      <c r="I585">
        <v>669</v>
      </c>
      <c r="J585" t="s">
        <v>264</v>
      </c>
      <c r="K585">
        <v>2</v>
      </c>
      <c r="L585">
        <v>0.02</v>
      </c>
      <c r="M585">
        <v>0.01</v>
      </c>
      <c r="N585">
        <v>2</v>
      </c>
      <c r="O585">
        <v>0.02</v>
      </c>
      <c r="P585">
        <v>2.3199999999999998</v>
      </c>
      <c r="Q585">
        <v>5.79</v>
      </c>
      <c r="R585">
        <v>3.57</v>
      </c>
      <c r="S585" t="s">
        <v>263</v>
      </c>
      <c r="T585" t="s">
        <v>257</v>
      </c>
      <c r="U585">
        <v>11</v>
      </c>
      <c r="V585">
        <v>7344.87</v>
      </c>
      <c r="W585">
        <v>4999.83</v>
      </c>
      <c r="X585">
        <v>4997.68</v>
      </c>
      <c r="Y585">
        <v>0</v>
      </c>
      <c r="Z585">
        <v>0</v>
      </c>
      <c r="AA585">
        <v>35</v>
      </c>
      <c r="AB585">
        <v>50</v>
      </c>
      <c r="AC585">
        <v>5000</v>
      </c>
      <c r="AD585">
        <v>0</v>
      </c>
      <c r="AE585">
        <v>0</v>
      </c>
      <c r="AF585">
        <v>7348.6</v>
      </c>
      <c r="AG585">
        <v>7348.6</v>
      </c>
      <c r="AH585" s="14">
        <v>46268</v>
      </c>
      <c r="AI585" t="s">
        <v>266</v>
      </c>
      <c r="AJ585" s="13">
        <v>46265.054768518516</v>
      </c>
      <c r="AK585">
        <v>6763.31</v>
      </c>
      <c r="AL585" t="s">
        <v>259</v>
      </c>
      <c r="AM585" t="s">
        <v>260</v>
      </c>
      <c r="AN585">
        <v>1400</v>
      </c>
      <c r="AO585">
        <v>0</v>
      </c>
      <c r="AP585">
        <v>35</v>
      </c>
      <c r="AQ585">
        <v>85</v>
      </c>
      <c r="AR585">
        <v>35</v>
      </c>
      <c r="AS585">
        <v>2</v>
      </c>
      <c r="AT585">
        <v>23</v>
      </c>
      <c r="AU585">
        <v>1</v>
      </c>
      <c r="AV585">
        <v>0</v>
      </c>
      <c r="AW585">
        <v>10</v>
      </c>
      <c r="AX585">
        <v>1</v>
      </c>
      <c r="AY585">
        <v>5</v>
      </c>
      <c r="AZ585">
        <v>2</v>
      </c>
      <c r="BA585">
        <v>1</v>
      </c>
      <c r="BB585">
        <v>1440</v>
      </c>
      <c r="BC585">
        <v>0</v>
      </c>
      <c r="BD585">
        <v>0</v>
      </c>
      <c r="BE585">
        <v>14</v>
      </c>
      <c r="BF585">
        <v>25</v>
      </c>
      <c r="BG585">
        <v>3</v>
      </c>
      <c r="BH585">
        <v>8</v>
      </c>
      <c r="BI585">
        <v>3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0</v>
      </c>
      <c r="BQ585">
        <v>60</v>
      </c>
      <c r="BR585">
        <v>0</v>
      </c>
      <c r="BS585">
        <v>3</v>
      </c>
      <c r="BT585" t="s">
        <v>246</v>
      </c>
      <c r="BU585" t="s">
        <v>267</v>
      </c>
      <c r="BV585" t="b">
        <v>0</v>
      </c>
      <c r="BW585" t="s">
        <v>268</v>
      </c>
    </row>
    <row r="586" spans="1:75">
      <c r="A586" t="s">
        <v>246</v>
      </c>
      <c r="B586" t="s">
        <v>252</v>
      </c>
      <c r="C586">
        <v>940</v>
      </c>
      <c r="D586" t="s">
        <v>253</v>
      </c>
      <c r="E586" t="s">
        <v>254</v>
      </c>
      <c r="F586">
        <v>5</v>
      </c>
      <c r="G586" s="13">
        <v>46268.445300925923</v>
      </c>
      <c r="H586" s="13">
        <v>46268.454745370371</v>
      </c>
      <c r="I586">
        <v>816</v>
      </c>
      <c r="J586" t="s">
        <v>255</v>
      </c>
      <c r="K586">
        <v>3</v>
      </c>
      <c r="L586">
        <v>0.03</v>
      </c>
      <c r="M586">
        <v>0.01</v>
      </c>
      <c r="N586">
        <v>3</v>
      </c>
      <c r="O586">
        <v>0.03</v>
      </c>
      <c r="P586">
        <v>9</v>
      </c>
      <c r="Q586">
        <v>6.12</v>
      </c>
      <c r="R586">
        <v>3.63</v>
      </c>
      <c r="S586" t="s">
        <v>263</v>
      </c>
      <c r="T586" t="s">
        <v>257</v>
      </c>
      <c r="U586">
        <v>10</v>
      </c>
      <c r="V586">
        <v>7348.44</v>
      </c>
      <c r="W586">
        <v>4999.84</v>
      </c>
      <c r="X586">
        <v>4991</v>
      </c>
      <c r="Y586">
        <v>0</v>
      </c>
      <c r="Z586">
        <v>0</v>
      </c>
      <c r="AA586">
        <v>35</v>
      </c>
      <c r="AB586">
        <v>50</v>
      </c>
      <c r="AC586">
        <v>5000</v>
      </c>
      <c r="AD586">
        <v>0</v>
      </c>
      <c r="AE586">
        <v>0</v>
      </c>
      <c r="AF586">
        <v>7352.32</v>
      </c>
      <c r="AG586">
        <v>7352.32</v>
      </c>
      <c r="AH586" s="14">
        <v>46268</v>
      </c>
      <c r="AI586" t="s">
        <v>266</v>
      </c>
      <c r="AJ586" s="13">
        <v>46265.054768518516</v>
      </c>
      <c r="AK586">
        <v>6763.31</v>
      </c>
      <c r="AL586" t="s">
        <v>259</v>
      </c>
      <c r="AM586" t="s">
        <v>260</v>
      </c>
      <c r="AN586">
        <v>1400</v>
      </c>
      <c r="AO586">
        <v>0</v>
      </c>
      <c r="AP586">
        <v>35</v>
      </c>
      <c r="AQ586">
        <v>85</v>
      </c>
      <c r="AR586">
        <v>35</v>
      </c>
      <c r="AS586">
        <v>2</v>
      </c>
      <c r="AT586">
        <v>23</v>
      </c>
      <c r="AU586">
        <v>1</v>
      </c>
      <c r="AV586">
        <v>0</v>
      </c>
      <c r="AW586">
        <v>10</v>
      </c>
      <c r="AX586">
        <v>1</v>
      </c>
      <c r="AY586">
        <v>5</v>
      </c>
      <c r="AZ586">
        <v>2</v>
      </c>
      <c r="BA586">
        <v>1</v>
      </c>
      <c r="BB586">
        <v>1440</v>
      </c>
      <c r="BC586">
        <v>0</v>
      </c>
      <c r="BD586">
        <v>0</v>
      </c>
      <c r="BE586">
        <v>14</v>
      </c>
      <c r="BF586">
        <v>25</v>
      </c>
      <c r="BG586">
        <v>3</v>
      </c>
      <c r="BH586">
        <v>8</v>
      </c>
      <c r="BI586">
        <v>3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0</v>
      </c>
      <c r="BQ586">
        <v>60</v>
      </c>
      <c r="BR586">
        <v>0</v>
      </c>
      <c r="BS586">
        <v>3</v>
      </c>
      <c r="BT586" t="s">
        <v>246</v>
      </c>
      <c r="BU586" t="s">
        <v>267</v>
      </c>
      <c r="BV586" t="b">
        <v>0</v>
      </c>
      <c r="BW586" t="s">
        <v>268</v>
      </c>
    </row>
    <row r="587" spans="1:75">
      <c r="A587" t="s">
        <v>246</v>
      </c>
      <c r="B587" t="s">
        <v>252</v>
      </c>
      <c r="C587">
        <v>941</v>
      </c>
      <c r="D587" t="s">
        <v>253</v>
      </c>
      <c r="E587" t="s">
        <v>254</v>
      </c>
      <c r="F587">
        <v>5</v>
      </c>
      <c r="G587" s="13">
        <v>46268.461550925924</v>
      </c>
      <c r="H587" s="13">
        <v>46268.462442129632</v>
      </c>
      <c r="I587">
        <v>77</v>
      </c>
      <c r="J587" t="s">
        <v>255</v>
      </c>
      <c r="K587">
        <v>1</v>
      </c>
      <c r="L587">
        <v>0.01</v>
      </c>
      <c r="M587">
        <v>0.01</v>
      </c>
      <c r="N587">
        <v>2</v>
      </c>
      <c r="O587">
        <v>0.02</v>
      </c>
      <c r="P587">
        <v>3.95</v>
      </c>
      <c r="Q587">
        <v>6.99</v>
      </c>
      <c r="R587">
        <v>-3.95</v>
      </c>
      <c r="S587" t="s">
        <v>263</v>
      </c>
      <c r="T587" t="s">
        <v>256</v>
      </c>
      <c r="U587">
        <v>11</v>
      </c>
      <c r="V587">
        <v>7352.16</v>
      </c>
      <c r="W587">
        <v>4999.84</v>
      </c>
      <c r="X587">
        <v>4996.05</v>
      </c>
      <c r="Y587">
        <v>0</v>
      </c>
      <c r="Z587">
        <v>0</v>
      </c>
      <c r="AA587">
        <v>35</v>
      </c>
      <c r="AB587">
        <v>50</v>
      </c>
      <c r="AC587">
        <v>5000</v>
      </c>
      <c r="AD587">
        <v>0</v>
      </c>
      <c r="AE587">
        <v>0</v>
      </c>
      <c r="AF587">
        <v>7354.99</v>
      </c>
      <c r="AG587">
        <v>7354.99</v>
      </c>
      <c r="AH587" s="14">
        <v>46268</v>
      </c>
      <c r="AI587" t="s">
        <v>266</v>
      </c>
      <c r="AJ587" s="13">
        <v>46265.054768518516</v>
      </c>
      <c r="AK587">
        <v>6763.31</v>
      </c>
      <c r="AL587" t="s">
        <v>259</v>
      </c>
      <c r="AM587" t="s">
        <v>260</v>
      </c>
      <c r="AN587">
        <v>1400</v>
      </c>
      <c r="AO587">
        <v>0</v>
      </c>
      <c r="AP587">
        <v>35</v>
      </c>
      <c r="AQ587">
        <v>85</v>
      </c>
      <c r="AR587">
        <v>35</v>
      </c>
      <c r="AS587">
        <v>2</v>
      </c>
      <c r="AT587">
        <v>23</v>
      </c>
      <c r="AU587">
        <v>1</v>
      </c>
      <c r="AV587">
        <v>0</v>
      </c>
      <c r="AW587">
        <v>10</v>
      </c>
      <c r="AX587">
        <v>1</v>
      </c>
      <c r="AY587">
        <v>5</v>
      </c>
      <c r="AZ587">
        <v>2</v>
      </c>
      <c r="BA587">
        <v>1</v>
      </c>
      <c r="BB587">
        <v>1440</v>
      </c>
      <c r="BC587">
        <v>0</v>
      </c>
      <c r="BD587">
        <v>0</v>
      </c>
      <c r="BE587">
        <v>14</v>
      </c>
      <c r="BF587">
        <v>25</v>
      </c>
      <c r="BG587">
        <v>3</v>
      </c>
      <c r="BH587">
        <v>8</v>
      </c>
      <c r="BI587">
        <v>3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0</v>
      </c>
      <c r="BQ587">
        <v>60</v>
      </c>
      <c r="BR587">
        <v>0</v>
      </c>
      <c r="BS587">
        <v>3</v>
      </c>
      <c r="BT587" t="s">
        <v>246</v>
      </c>
      <c r="BU587" t="s">
        <v>267</v>
      </c>
      <c r="BV587" t="b">
        <v>0</v>
      </c>
      <c r="BW587" t="s">
        <v>268</v>
      </c>
    </row>
    <row r="588" spans="1:75">
      <c r="A588" t="s">
        <v>246</v>
      </c>
      <c r="B588" t="s">
        <v>252</v>
      </c>
      <c r="C588">
        <v>942</v>
      </c>
      <c r="D588" t="s">
        <v>253</v>
      </c>
      <c r="E588" t="s">
        <v>254</v>
      </c>
      <c r="F588">
        <v>5</v>
      </c>
      <c r="G588" s="13">
        <v>46268.467939814815</v>
      </c>
      <c r="H588" s="13">
        <v>46268.468634259261</v>
      </c>
      <c r="I588">
        <v>60</v>
      </c>
      <c r="J588" t="s">
        <v>264</v>
      </c>
      <c r="K588">
        <v>1</v>
      </c>
      <c r="L588">
        <v>0.01</v>
      </c>
      <c r="M588">
        <v>0.01</v>
      </c>
      <c r="N588">
        <v>1</v>
      </c>
      <c r="O588">
        <v>0.01</v>
      </c>
      <c r="P588">
        <v>1.36</v>
      </c>
      <c r="Q588">
        <v>0.95</v>
      </c>
      <c r="R588">
        <v>0.77</v>
      </c>
      <c r="S588" t="s">
        <v>256</v>
      </c>
      <c r="T588" t="s">
        <v>257</v>
      </c>
      <c r="U588">
        <v>11</v>
      </c>
      <c r="V588">
        <v>7354.67</v>
      </c>
      <c r="W588">
        <v>4999.68</v>
      </c>
      <c r="X588">
        <v>4998.6400000000003</v>
      </c>
      <c r="Y588">
        <v>0</v>
      </c>
      <c r="Z588">
        <v>0</v>
      </c>
      <c r="AA588">
        <v>35</v>
      </c>
      <c r="AB588">
        <v>50</v>
      </c>
      <c r="AC588">
        <v>5000</v>
      </c>
      <c r="AD588">
        <v>0</v>
      </c>
      <c r="AE588">
        <v>0</v>
      </c>
      <c r="AF588">
        <v>7355.59</v>
      </c>
      <c r="AG588">
        <v>7355.59</v>
      </c>
      <c r="AH588" s="14">
        <v>46268</v>
      </c>
      <c r="AI588" t="s">
        <v>266</v>
      </c>
      <c r="AJ588" s="13">
        <v>46265.054768518516</v>
      </c>
      <c r="AK588">
        <v>6763.31</v>
      </c>
      <c r="AL588" t="s">
        <v>259</v>
      </c>
      <c r="AM588" t="s">
        <v>260</v>
      </c>
      <c r="AN588">
        <v>1400</v>
      </c>
      <c r="AO588">
        <v>0</v>
      </c>
      <c r="AP588">
        <v>35</v>
      </c>
      <c r="AQ588">
        <v>85</v>
      </c>
      <c r="AR588">
        <v>35</v>
      </c>
      <c r="AS588">
        <v>2</v>
      </c>
      <c r="AT588">
        <v>23</v>
      </c>
      <c r="AU588">
        <v>1</v>
      </c>
      <c r="AV588">
        <v>0</v>
      </c>
      <c r="AW588">
        <v>10</v>
      </c>
      <c r="AX588">
        <v>1</v>
      </c>
      <c r="AY588">
        <v>5</v>
      </c>
      <c r="AZ588">
        <v>2</v>
      </c>
      <c r="BA588">
        <v>1</v>
      </c>
      <c r="BB588">
        <v>1440</v>
      </c>
      <c r="BC588">
        <v>0</v>
      </c>
      <c r="BD588">
        <v>0</v>
      </c>
      <c r="BE588">
        <v>14</v>
      </c>
      <c r="BF588">
        <v>25</v>
      </c>
      <c r="BG588">
        <v>3</v>
      </c>
      <c r="BH588">
        <v>8</v>
      </c>
      <c r="BI588">
        <v>3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0</v>
      </c>
      <c r="BQ588">
        <v>60</v>
      </c>
      <c r="BR588">
        <v>0</v>
      </c>
      <c r="BS588">
        <v>3</v>
      </c>
      <c r="BT588" t="s">
        <v>246</v>
      </c>
      <c r="BU588" t="s">
        <v>267</v>
      </c>
      <c r="BV588" t="b">
        <v>0</v>
      </c>
      <c r="BW588" t="s">
        <v>268</v>
      </c>
    </row>
    <row r="589" spans="1:75">
      <c r="A589" t="s">
        <v>246</v>
      </c>
      <c r="B589" t="s">
        <v>252</v>
      </c>
      <c r="C589">
        <v>943</v>
      </c>
      <c r="D589" t="s">
        <v>253</v>
      </c>
      <c r="E589" t="s">
        <v>254</v>
      </c>
      <c r="F589">
        <v>5</v>
      </c>
      <c r="G589" s="13">
        <v>46268.470092592594</v>
      </c>
      <c r="H589" s="13">
        <v>46268.470486111109</v>
      </c>
      <c r="I589">
        <v>34</v>
      </c>
      <c r="J589" t="s">
        <v>255</v>
      </c>
      <c r="K589">
        <v>1</v>
      </c>
      <c r="L589">
        <v>0.01</v>
      </c>
      <c r="M589">
        <v>0.01</v>
      </c>
      <c r="N589">
        <v>1</v>
      </c>
      <c r="O589">
        <v>0.01</v>
      </c>
      <c r="P589">
        <v>0.51</v>
      </c>
      <c r="Q589">
        <v>2.2200000000000002</v>
      </c>
      <c r="R589">
        <v>1.96</v>
      </c>
      <c r="S589" t="s">
        <v>256</v>
      </c>
      <c r="T589" t="s">
        <v>257</v>
      </c>
      <c r="U589">
        <v>10</v>
      </c>
      <c r="V589">
        <v>7355.43</v>
      </c>
      <c r="W589">
        <v>4999.84</v>
      </c>
      <c r="X589">
        <v>4999.49</v>
      </c>
      <c r="Y589">
        <v>0</v>
      </c>
      <c r="Z589">
        <v>0</v>
      </c>
      <c r="AA589">
        <v>35</v>
      </c>
      <c r="AB589">
        <v>50</v>
      </c>
      <c r="AC589">
        <v>5000</v>
      </c>
      <c r="AD589">
        <v>0</v>
      </c>
      <c r="AE589">
        <v>0</v>
      </c>
      <c r="AF589">
        <v>7357.45</v>
      </c>
      <c r="AG589">
        <v>7357.45</v>
      </c>
      <c r="AH589" s="14">
        <v>46268</v>
      </c>
      <c r="AI589" t="s">
        <v>266</v>
      </c>
      <c r="AJ589" s="13">
        <v>46265.054768518516</v>
      </c>
      <c r="AK589">
        <v>6763.31</v>
      </c>
      <c r="AL589" t="s">
        <v>259</v>
      </c>
      <c r="AM589" t="s">
        <v>260</v>
      </c>
      <c r="AN589">
        <v>1400</v>
      </c>
      <c r="AO589">
        <v>0</v>
      </c>
      <c r="AP589">
        <v>35</v>
      </c>
      <c r="AQ589">
        <v>85</v>
      </c>
      <c r="AR589">
        <v>35</v>
      </c>
      <c r="AS589">
        <v>2</v>
      </c>
      <c r="AT589">
        <v>23</v>
      </c>
      <c r="AU589">
        <v>1</v>
      </c>
      <c r="AV589">
        <v>0</v>
      </c>
      <c r="AW589">
        <v>10</v>
      </c>
      <c r="AX589">
        <v>1</v>
      </c>
      <c r="AY589">
        <v>5</v>
      </c>
      <c r="AZ589">
        <v>2</v>
      </c>
      <c r="BA589">
        <v>1</v>
      </c>
      <c r="BB589">
        <v>1440</v>
      </c>
      <c r="BC589">
        <v>0</v>
      </c>
      <c r="BD589">
        <v>0</v>
      </c>
      <c r="BE589">
        <v>14</v>
      </c>
      <c r="BF589">
        <v>25</v>
      </c>
      <c r="BG589">
        <v>3</v>
      </c>
      <c r="BH589">
        <v>8</v>
      </c>
      <c r="BI589">
        <v>3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0</v>
      </c>
      <c r="BQ589">
        <v>60</v>
      </c>
      <c r="BR589">
        <v>0</v>
      </c>
      <c r="BS589">
        <v>3</v>
      </c>
      <c r="BT589" t="s">
        <v>246</v>
      </c>
      <c r="BU589" t="s">
        <v>267</v>
      </c>
      <c r="BV589" t="b">
        <v>0</v>
      </c>
      <c r="BW589" t="s">
        <v>268</v>
      </c>
    </row>
    <row r="590" spans="1:75">
      <c r="A590" t="s">
        <v>246</v>
      </c>
      <c r="B590" t="s">
        <v>252</v>
      </c>
      <c r="C590">
        <v>944</v>
      </c>
      <c r="D590" t="s">
        <v>253</v>
      </c>
      <c r="E590" t="s">
        <v>254</v>
      </c>
      <c r="F590">
        <v>5</v>
      </c>
      <c r="G590" s="13">
        <v>46268.474710648145</v>
      </c>
      <c r="H590" s="13">
        <v>46268.486504629633</v>
      </c>
      <c r="I590">
        <v>1019</v>
      </c>
      <c r="J590" t="s">
        <v>264</v>
      </c>
      <c r="K590">
        <v>3</v>
      </c>
      <c r="L590">
        <v>0.03</v>
      </c>
      <c r="M590">
        <v>0.01</v>
      </c>
      <c r="N590">
        <v>3</v>
      </c>
      <c r="O590">
        <v>0.03</v>
      </c>
      <c r="P590">
        <v>8.3800000000000008</v>
      </c>
      <c r="Q590">
        <v>5.31</v>
      </c>
      <c r="R590">
        <v>3.3</v>
      </c>
      <c r="S590" t="s">
        <v>263</v>
      </c>
      <c r="T590" t="s">
        <v>257</v>
      </c>
      <c r="U590">
        <v>10</v>
      </c>
      <c r="V590">
        <v>7357.29</v>
      </c>
      <c r="W590">
        <v>4999.84</v>
      </c>
      <c r="X590">
        <v>4991.62</v>
      </c>
      <c r="Y590">
        <v>0</v>
      </c>
      <c r="Z590">
        <v>0</v>
      </c>
      <c r="AA590">
        <v>35</v>
      </c>
      <c r="AB590">
        <v>50</v>
      </c>
      <c r="AC590">
        <v>5000</v>
      </c>
      <c r="AD590">
        <v>0</v>
      </c>
      <c r="AE590">
        <v>0</v>
      </c>
      <c r="AF590">
        <v>7360.5</v>
      </c>
      <c r="AG590">
        <v>7360.5</v>
      </c>
      <c r="AH590" s="14">
        <v>46268</v>
      </c>
      <c r="AI590" t="s">
        <v>266</v>
      </c>
      <c r="AJ590" s="13">
        <v>46265.054768518516</v>
      </c>
      <c r="AK590">
        <v>6763.31</v>
      </c>
      <c r="AL590" t="s">
        <v>259</v>
      </c>
      <c r="AM590" t="s">
        <v>260</v>
      </c>
      <c r="AN590">
        <v>1400</v>
      </c>
      <c r="AO590">
        <v>0</v>
      </c>
      <c r="AP590">
        <v>35</v>
      </c>
      <c r="AQ590">
        <v>85</v>
      </c>
      <c r="AR590">
        <v>35</v>
      </c>
      <c r="AS590">
        <v>2</v>
      </c>
      <c r="AT590">
        <v>23</v>
      </c>
      <c r="AU590">
        <v>1</v>
      </c>
      <c r="AV590">
        <v>0</v>
      </c>
      <c r="AW590">
        <v>10</v>
      </c>
      <c r="AX590">
        <v>1</v>
      </c>
      <c r="AY590">
        <v>5</v>
      </c>
      <c r="AZ590">
        <v>2</v>
      </c>
      <c r="BA590">
        <v>1</v>
      </c>
      <c r="BB590">
        <v>1440</v>
      </c>
      <c r="BC590">
        <v>0</v>
      </c>
      <c r="BD590">
        <v>0</v>
      </c>
      <c r="BE590">
        <v>14</v>
      </c>
      <c r="BF590">
        <v>25</v>
      </c>
      <c r="BG590">
        <v>3</v>
      </c>
      <c r="BH590">
        <v>8</v>
      </c>
      <c r="BI590">
        <v>3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0</v>
      </c>
      <c r="BQ590">
        <v>60</v>
      </c>
      <c r="BR590">
        <v>0</v>
      </c>
      <c r="BS590">
        <v>3</v>
      </c>
      <c r="BT590" t="s">
        <v>246</v>
      </c>
      <c r="BU590" t="s">
        <v>267</v>
      </c>
      <c r="BV590" t="b">
        <v>0</v>
      </c>
      <c r="BW590" t="s">
        <v>268</v>
      </c>
    </row>
    <row r="591" spans="1:75">
      <c r="A591" t="s">
        <v>246</v>
      </c>
      <c r="B591" t="s">
        <v>252</v>
      </c>
      <c r="C591">
        <v>945</v>
      </c>
      <c r="D591" t="s">
        <v>253</v>
      </c>
      <c r="E591" t="s">
        <v>254</v>
      </c>
      <c r="F591">
        <v>5</v>
      </c>
      <c r="G591" s="13">
        <v>46268.488206018519</v>
      </c>
      <c r="H591" s="13">
        <v>46268.52616898148</v>
      </c>
      <c r="I591">
        <v>3280</v>
      </c>
      <c r="J591" t="s">
        <v>264</v>
      </c>
      <c r="K591">
        <v>4</v>
      </c>
      <c r="L591">
        <v>0.04</v>
      </c>
      <c r="M591">
        <v>0.01</v>
      </c>
      <c r="N591">
        <v>4</v>
      </c>
      <c r="O591">
        <v>0.04</v>
      </c>
      <c r="P591">
        <v>17.760000000000002</v>
      </c>
      <c r="Q591">
        <v>5.47</v>
      </c>
      <c r="R591">
        <v>2.31</v>
      </c>
      <c r="S591" t="s">
        <v>263</v>
      </c>
      <c r="T591" t="s">
        <v>257</v>
      </c>
      <c r="U591">
        <v>11</v>
      </c>
      <c r="V591">
        <v>7360.33</v>
      </c>
      <c r="W591">
        <v>4999.83</v>
      </c>
      <c r="X591">
        <v>4982.24</v>
      </c>
      <c r="Y591">
        <v>0</v>
      </c>
      <c r="Z591">
        <v>0</v>
      </c>
      <c r="AA591">
        <v>35</v>
      </c>
      <c r="AB591">
        <v>50</v>
      </c>
      <c r="AC591">
        <v>5000</v>
      </c>
      <c r="AD591">
        <v>0</v>
      </c>
      <c r="AE591">
        <v>0</v>
      </c>
      <c r="AF591">
        <v>7362.8</v>
      </c>
      <c r="AG591">
        <v>7362.8</v>
      </c>
      <c r="AH591" s="14">
        <v>46268</v>
      </c>
      <c r="AI591" t="s">
        <v>266</v>
      </c>
      <c r="AJ591" s="13">
        <v>46265.054768518516</v>
      </c>
      <c r="AK591">
        <v>6763.31</v>
      </c>
      <c r="AL591" t="s">
        <v>259</v>
      </c>
      <c r="AM591" t="s">
        <v>260</v>
      </c>
      <c r="AN591">
        <v>1400</v>
      </c>
      <c r="AO591">
        <v>0</v>
      </c>
      <c r="AP591">
        <v>35</v>
      </c>
      <c r="AQ591">
        <v>85</v>
      </c>
      <c r="AR591">
        <v>35</v>
      </c>
      <c r="AS591">
        <v>2</v>
      </c>
      <c r="AT591">
        <v>23</v>
      </c>
      <c r="AU591">
        <v>1</v>
      </c>
      <c r="AV591">
        <v>0</v>
      </c>
      <c r="AW591">
        <v>10</v>
      </c>
      <c r="AX591">
        <v>1</v>
      </c>
      <c r="AY591">
        <v>5</v>
      </c>
      <c r="AZ591">
        <v>2</v>
      </c>
      <c r="BA591">
        <v>1</v>
      </c>
      <c r="BB591">
        <v>1440</v>
      </c>
      <c r="BC591">
        <v>0</v>
      </c>
      <c r="BD591">
        <v>0</v>
      </c>
      <c r="BE591">
        <v>14</v>
      </c>
      <c r="BF591">
        <v>25</v>
      </c>
      <c r="BG591">
        <v>3</v>
      </c>
      <c r="BH591">
        <v>8</v>
      </c>
      <c r="BI591">
        <v>3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60</v>
      </c>
      <c r="BR591">
        <v>0</v>
      </c>
      <c r="BS591">
        <v>3</v>
      </c>
      <c r="BT591" t="s">
        <v>246</v>
      </c>
      <c r="BU591" t="s">
        <v>267</v>
      </c>
      <c r="BV591" t="b">
        <v>0</v>
      </c>
      <c r="BW591" t="s">
        <v>268</v>
      </c>
    </row>
    <row r="592" spans="1:75">
      <c r="A592" t="s">
        <v>246</v>
      </c>
      <c r="B592" t="s">
        <v>252</v>
      </c>
      <c r="C592">
        <v>946</v>
      </c>
      <c r="D592" t="s">
        <v>253</v>
      </c>
      <c r="E592" t="s">
        <v>254</v>
      </c>
      <c r="F592">
        <v>5</v>
      </c>
      <c r="G592" s="13">
        <v>46268.530636574076</v>
      </c>
      <c r="H592" s="13">
        <v>46268.532384259262</v>
      </c>
      <c r="I592">
        <v>151</v>
      </c>
      <c r="J592" t="s">
        <v>264</v>
      </c>
      <c r="K592">
        <v>1</v>
      </c>
      <c r="L592">
        <v>0.01</v>
      </c>
      <c r="M592">
        <v>0.01</v>
      </c>
      <c r="N592">
        <v>1</v>
      </c>
      <c r="O592">
        <v>0.01</v>
      </c>
      <c r="P592">
        <v>0.16</v>
      </c>
      <c r="Q592">
        <v>3.18</v>
      </c>
      <c r="R592">
        <v>2.94</v>
      </c>
      <c r="S592" t="s">
        <v>256</v>
      </c>
      <c r="T592" t="s">
        <v>257</v>
      </c>
      <c r="U592">
        <v>10</v>
      </c>
      <c r="V592">
        <v>7362.64</v>
      </c>
      <c r="W592">
        <v>4999.84</v>
      </c>
      <c r="X592">
        <v>4999.84</v>
      </c>
      <c r="Y592">
        <v>0</v>
      </c>
      <c r="Z592">
        <v>0</v>
      </c>
      <c r="AA592">
        <v>35</v>
      </c>
      <c r="AB592">
        <v>50</v>
      </c>
      <c r="AC592">
        <v>5000</v>
      </c>
      <c r="AD592">
        <v>0</v>
      </c>
      <c r="AE592">
        <v>0</v>
      </c>
      <c r="AF592">
        <v>7365.62</v>
      </c>
      <c r="AG592">
        <v>7365.62</v>
      </c>
      <c r="AH592" s="14">
        <v>46268</v>
      </c>
      <c r="AI592" t="s">
        <v>266</v>
      </c>
      <c r="AJ592" s="13">
        <v>46265.054768518516</v>
      </c>
      <c r="AK592">
        <v>6763.31</v>
      </c>
      <c r="AL592" t="s">
        <v>259</v>
      </c>
      <c r="AM592" t="s">
        <v>260</v>
      </c>
      <c r="AN592">
        <v>1400</v>
      </c>
      <c r="AO592">
        <v>0</v>
      </c>
      <c r="AP592">
        <v>35</v>
      </c>
      <c r="AQ592">
        <v>85</v>
      </c>
      <c r="AR592">
        <v>35</v>
      </c>
      <c r="AS592">
        <v>2</v>
      </c>
      <c r="AT592">
        <v>23</v>
      </c>
      <c r="AU592">
        <v>1</v>
      </c>
      <c r="AV592">
        <v>0</v>
      </c>
      <c r="AW592">
        <v>10</v>
      </c>
      <c r="AX592">
        <v>1</v>
      </c>
      <c r="AY592">
        <v>5</v>
      </c>
      <c r="AZ592">
        <v>2</v>
      </c>
      <c r="BA592">
        <v>1</v>
      </c>
      <c r="BB592">
        <v>1440</v>
      </c>
      <c r="BC592">
        <v>0</v>
      </c>
      <c r="BD592">
        <v>0</v>
      </c>
      <c r="BE592">
        <v>14</v>
      </c>
      <c r="BF592">
        <v>25</v>
      </c>
      <c r="BG592">
        <v>3</v>
      </c>
      <c r="BH592">
        <v>8</v>
      </c>
      <c r="BI592">
        <v>3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60</v>
      </c>
      <c r="BR592">
        <v>0</v>
      </c>
      <c r="BS592">
        <v>3</v>
      </c>
      <c r="BT592" t="s">
        <v>246</v>
      </c>
      <c r="BU592" t="s">
        <v>267</v>
      </c>
      <c r="BV592" t="b">
        <v>0</v>
      </c>
      <c r="BW592" t="s">
        <v>268</v>
      </c>
    </row>
    <row r="593" spans="1:75">
      <c r="A593" t="s">
        <v>246</v>
      </c>
      <c r="B593" t="s">
        <v>252</v>
      </c>
      <c r="C593">
        <v>947</v>
      </c>
      <c r="D593" t="s">
        <v>253</v>
      </c>
      <c r="E593" t="s">
        <v>254</v>
      </c>
      <c r="F593">
        <v>5</v>
      </c>
      <c r="G593" s="13">
        <v>46268.53633101852</v>
      </c>
      <c r="H593" s="13">
        <v>46268.538541666669</v>
      </c>
      <c r="I593">
        <v>191</v>
      </c>
      <c r="J593" t="s">
        <v>264</v>
      </c>
      <c r="K593">
        <v>1</v>
      </c>
      <c r="L593">
        <v>0.01</v>
      </c>
      <c r="M593">
        <v>0.01</v>
      </c>
      <c r="N593">
        <v>1</v>
      </c>
      <c r="O593">
        <v>0.01</v>
      </c>
      <c r="P593">
        <v>1.24</v>
      </c>
      <c r="Q593">
        <v>0.83</v>
      </c>
      <c r="R593">
        <v>0.57999999999999996</v>
      </c>
      <c r="S593" t="s">
        <v>256</v>
      </c>
      <c r="T593" t="s">
        <v>257</v>
      </c>
      <c r="U593">
        <v>10</v>
      </c>
      <c r="V593">
        <v>7365.46</v>
      </c>
      <c r="W593">
        <v>4999.84</v>
      </c>
      <c r="X593">
        <v>4998.76</v>
      </c>
      <c r="Y593">
        <v>0</v>
      </c>
      <c r="Z593">
        <v>0</v>
      </c>
      <c r="AA593">
        <v>35</v>
      </c>
      <c r="AB593">
        <v>50</v>
      </c>
      <c r="AC593">
        <v>5000</v>
      </c>
      <c r="AD593">
        <v>0</v>
      </c>
      <c r="AE593">
        <v>0</v>
      </c>
      <c r="AF593">
        <v>7366.1</v>
      </c>
      <c r="AG593">
        <v>7366.1</v>
      </c>
      <c r="AH593" s="14">
        <v>46268</v>
      </c>
      <c r="AI593" t="s">
        <v>266</v>
      </c>
      <c r="AJ593" s="13">
        <v>46265.054768518516</v>
      </c>
      <c r="AK593">
        <v>6763.31</v>
      </c>
      <c r="AL593" t="s">
        <v>259</v>
      </c>
      <c r="AM593" t="s">
        <v>260</v>
      </c>
      <c r="AN593">
        <v>1400</v>
      </c>
      <c r="AO593">
        <v>0</v>
      </c>
      <c r="AP593">
        <v>35</v>
      </c>
      <c r="AQ593">
        <v>85</v>
      </c>
      <c r="AR593">
        <v>35</v>
      </c>
      <c r="AS593">
        <v>2</v>
      </c>
      <c r="AT593">
        <v>23</v>
      </c>
      <c r="AU593">
        <v>1</v>
      </c>
      <c r="AV593">
        <v>0</v>
      </c>
      <c r="AW593">
        <v>10</v>
      </c>
      <c r="AX593">
        <v>1</v>
      </c>
      <c r="AY593">
        <v>5</v>
      </c>
      <c r="AZ593">
        <v>2</v>
      </c>
      <c r="BA593">
        <v>1</v>
      </c>
      <c r="BB593">
        <v>1440</v>
      </c>
      <c r="BC593">
        <v>0</v>
      </c>
      <c r="BD593">
        <v>0</v>
      </c>
      <c r="BE593">
        <v>14</v>
      </c>
      <c r="BF593">
        <v>25</v>
      </c>
      <c r="BG593">
        <v>3</v>
      </c>
      <c r="BH593">
        <v>8</v>
      </c>
      <c r="BI593">
        <v>3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60</v>
      </c>
      <c r="BR593">
        <v>0</v>
      </c>
      <c r="BS593">
        <v>3</v>
      </c>
      <c r="BT593" t="s">
        <v>246</v>
      </c>
      <c r="BU593" t="s">
        <v>267</v>
      </c>
      <c r="BV593" t="b">
        <v>0</v>
      </c>
      <c r="BW593" t="s">
        <v>268</v>
      </c>
    </row>
    <row r="594" spans="1:75">
      <c r="A594" t="s">
        <v>246</v>
      </c>
      <c r="B594" t="s">
        <v>252</v>
      </c>
      <c r="C594">
        <v>948</v>
      </c>
      <c r="D594" t="s">
        <v>253</v>
      </c>
      <c r="E594" t="s">
        <v>254</v>
      </c>
      <c r="F594">
        <v>5</v>
      </c>
      <c r="G594" s="13">
        <v>46268.540335648147</v>
      </c>
      <c r="H594" s="13">
        <v>46268.579328703701</v>
      </c>
      <c r="I594">
        <v>3369</v>
      </c>
      <c r="J594" t="s">
        <v>255</v>
      </c>
      <c r="K594">
        <v>4</v>
      </c>
      <c r="L594">
        <v>0.04</v>
      </c>
      <c r="M594">
        <v>0.01</v>
      </c>
      <c r="N594">
        <v>4</v>
      </c>
      <c r="O594">
        <v>0.04</v>
      </c>
      <c r="P594">
        <v>12.97</v>
      </c>
      <c r="Q594">
        <v>5.5</v>
      </c>
      <c r="R594">
        <v>3.3</v>
      </c>
      <c r="S594" t="s">
        <v>263</v>
      </c>
      <c r="T594" t="s">
        <v>257</v>
      </c>
      <c r="U594">
        <v>11</v>
      </c>
      <c r="V594">
        <v>7365.93</v>
      </c>
      <c r="W594">
        <v>4999.83</v>
      </c>
      <c r="X594">
        <v>4987.03</v>
      </c>
      <c r="Y594">
        <v>0</v>
      </c>
      <c r="Z594">
        <v>0</v>
      </c>
      <c r="AA594">
        <v>35</v>
      </c>
      <c r="AB594">
        <v>50</v>
      </c>
      <c r="AC594">
        <v>5000</v>
      </c>
      <c r="AD594">
        <v>0</v>
      </c>
      <c r="AE594">
        <v>0</v>
      </c>
      <c r="AF594">
        <v>7369.23</v>
      </c>
      <c r="AG594">
        <v>7369.23</v>
      </c>
      <c r="AH594" s="14">
        <v>46268</v>
      </c>
      <c r="AI594" t="s">
        <v>266</v>
      </c>
      <c r="AJ594" s="13">
        <v>46265.054768518516</v>
      </c>
      <c r="AK594">
        <v>6763.31</v>
      </c>
      <c r="AL594" t="s">
        <v>259</v>
      </c>
      <c r="AM594" t="s">
        <v>260</v>
      </c>
      <c r="AN594">
        <v>1400</v>
      </c>
      <c r="AO594">
        <v>0</v>
      </c>
      <c r="AP594">
        <v>35</v>
      </c>
      <c r="AQ594">
        <v>85</v>
      </c>
      <c r="AR594">
        <v>35</v>
      </c>
      <c r="AS594">
        <v>2</v>
      </c>
      <c r="AT594">
        <v>23</v>
      </c>
      <c r="AU594">
        <v>1</v>
      </c>
      <c r="AV594">
        <v>0</v>
      </c>
      <c r="AW594">
        <v>10</v>
      </c>
      <c r="AX594">
        <v>1</v>
      </c>
      <c r="AY594">
        <v>5</v>
      </c>
      <c r="AZ594">
        <v>2</v>
      </c>
      <c r="BA594">
        <v>1</v>
      </c>
      <c r="BB594">
        <v>1440</v>
      </c>
      <c r="BC594">
        <v>0</v>
      </c>
      <c r="BD594">
        <v>0</v>
      </c>
      <c r="BE594">
        <v>14</v>
      </c>
      <c r="BF594">
        <v>25</v>
      </c>
      <c r="BG594">
        <v>3</v>
      </c>
      <c r="BH594">
        <v>8</v>
      </c>
      <c r="BI594">
        <v>3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0</v>
      </c>
      <c r="BQ594">
        <v>60</v>
      </c>
      <c r="BR594">
        <v>0</v>
      </c>
      <c r="BS594">
        <v>3</v>
      </c>
      <c r="BT594" t="s">
        <v>246</v>
      </c>
      <c r="BU594" t="s">
        <v>267</v>
      </c>
      <c r="BV594" t="b">
        <v>0</v>
      </c>
      <c r="BW594" t="s">
        <v>268</v>
      </c>
    </row>
    <row r="595" spans="1:75">
      <c r="A595" t="s">
        <v>246</v>
      </c>
      <c r="B595" t="s">
        <v>252</v>
      </c>
      <c r="C595">
        <v>949</v>
      </c>
      <c r="D595" t="s">
        <v>253</v>
      </c>
      <c r="E595" t="s">
        <v>254</v>
      </c>
      <c r="F595">
        <v>5</v>
      </c>
      <c r="G595" s="13">
        <v>46268.584328703706</v>
      </c>
      <c r="H595" s="13">
        <v>46268.70071759259</v>
      </c>
      <c r="I595">
        <v>10056</v>
      </c>
      <c r="J595" t="s">
        <v>264</v>
      </c>
      <c r="K595">
        <v>20</v>
      </c>
      <c r="L595">
        <v>0.2</v>
      </c>
      <c r="M595">
        <v>0.01</v>
      </c>
      <c r="N595">
        <v>20</v>
      </c>
      <c r="O595">
        <v>0.2</v>
      </c>
      <c r="P595">
        <v>586.35</v>
      </c>
      <c r="Q595">
        <v>26.34</v>
      </c>
      <c r="R595">
        <v>23.14</v>
      </c>
      <c r="S595" t="s">
        <v>263</v>
      </c>
      <c r="T595" t="s">
        <v>257</v>
      </c>
      <c r="U595">
        <v>11</v>
      </c>
      <c r="V595">
        <v>7369.06</v>
      </c>
      <c r="W595">
        <v>4999.83</v>
      </c>
      <c r="X595">
        <v>4413.6499999999996</v>
      </c>
      <c r="Y595">
        <v>0</v>
      </c>
      <c r="Z595">
        <v>0</v>
      </c>
      <c r="AA595">
        <v>35</v>
      </c>
      <c r="AB595">
        <v>50</v>
      </c>
      <c r="AC595">
        <v>5000</v>
      </c>
      <c r="AD595">
        <v>0</v>
      </c>
      <c r="AE595">
        <v>0</v>
      </c>
      <c r="AF595">
        <v>7388.39</v>
      </c>
      <c r="AG595">
        <v>7388.39</v>
      </c>
      <c r="AH595" s="14">
        <v>46268</v>
      </c>
      <c r="AI595" t="s">
        <v>266</v>
      </c>
      <c r="AJ595" s="13">
        <v>46265.054768518516</v>
      </c>
      <c r="AK595">
        <v>6763.31</v>
      </c>
      <c r="AL595" t="s">
        <v>259</v>
      </c>
      <c r="AM595" t="s">
        <v>260</v>
      </c>
      <c r="AN595">
        <v>1400</v>
      </c>
      <c r="AO595">
        <v>0</v>
      </c>
      <c r="AP595">
        <v>35</v>
      </c>
      <c r="AQ595">
        <v>85</v>
      </c>
      <c r="AR595">
        <v>35</v>
      </c>
      <c r="AS595">
        <v>2</v>
      </c>
      <c r="AT595">
        <v>23</v>
      </c>
      <c r="AU595">
        <v>1</v>
      </c>
      <c r="AV595">
        <v>0</v>
      </c>
      <c r="AW595">
        <v>10</v>
      </c>
      <c r="AX595">
        <v>1</v>
      </c>
      <c r="AY595">
        <v>5</v>
      </c>
      <c r="AZ595">
        <v>2</v>
      </c>
      <c r="BA595">
        <v>1</v>
      </c>
      <c r="BB595">
        <v>1440</v>
      </c>
      <c r="BC595">
        <v>0</v>
      </c>
      <c r="BD595">
        <v>0</v>
      </c>
      <c r="BE595">
        <v>14</v>
      </c>
      <c r="BF595">
        <v>25</v>
      </c>
      <c r="BG595">
        <v>3</v>
      </c>
      <c r="BH595">
        <v>8</v>
      </c>
      <c r="BI595">
        <v>3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0</v>
      </c>
      <c r="BQ595">
        <v>60</v>
      </c>
      <c r="BR595">
        <v>0</v>
      </c>
      <c r="BS595">
        <v>3</v>
      </c>
      <c r="BT595" t="s">
        <v>246</v>
      </c>
      <c r="BU595" t="s">
        <v>267</v>
      </c>
      <c r="BV595" t="b">
        <v>0</v>
      </c>
      <c r="BW595" t="s">
        <v>268</v>
      </c>
    </row>
    <row r="596" spans="1:75">
      <c r="A596" t="s">
        <v>246</v>
      </c>
      <c r="B596" t="s">
        <v>252</v>
      </c>
      <c r="C596">
        <v>950</v>
      </c>
      <c r="D596" t="s">
        <v>253</v>
      </c>
      <c r="E596" t="s">
        <v>254</v>
      </c>
      <c r="F596">
        <v>5</v>
      </c>
      <c r="G596" s="13">
        <v>46268.701886574076</v>
      </c>
      <c r="H596" s="13">
        <v>46268.702546296299</v>
      </c>
      <c r="I596">
        <v>57</v>
      </c>
      <c r="J596" t="s">
        <v>255</v>
      </c>
      <c r="K596">
        <v>1</v>
      </c>
      <c r="L596">
        <v>0.01</v>
      </c>
      <c r="M596">
        <v>0.01</v>
      </c>
      <c r="N596">
        <v>1</v>
      </c>
      <c r="O596">
        <v>0.01</v>
      </c>
      <c r="P596">
        <v>2</v>
      </c>
      <c r="Q596">
        <v>0.93</v>
      </c>
      <c r="R596">
        <v>0.89</v>
      </c>
      <c r="S596" t="s">
        <v>256</v>
      </c>
      <c r="T596" t="s">
        <v>257</v>
      </c>
      <c r="U596">
        <v>11</v>
      </c>
      <c r="V596">
        <v>7388.22</v>
      </c>
      <c r="W596">
        <v>4999.83</v>
      </c>
      <c r="X596">
        <v>4998</v>
      </c>
      <c r="Y596">
        <v>0</v>
      </c>
      <c r="Z596">
        <v>0</v>
      </c>
      <c r="AA596">
        <v>35</v>
      </c>
      <c r="AB596">
        <v>50</v>
      </c>
      <c r="AC596">
        <v>5000</v>
      </c>
      <c r="AD596">
        <v>0</v>
      </c>
      <c r="AE596">
        <v>0</v>
      </c>
      <c r="AF596">
        <v>7388.97</v>
      </c>
      <c r="AG596">
        <v>7388.97</v>
      </c>
      <c r="AH596" s="14">
        <v>46268</v>
      </c>
      <c r="AI596" t="s">
        <v>266</v>
      </c>
      <c r="AJ596" s="13">
        <v>46265.054768518516</v>
      </c>
      <c r="AK596">
        <v>6763.31</v>
      </c>
      <c r="AL596" t="s">
        <v>259</v>
      </c>
      <c r="AM596" t="s">
        <v>260</v>
      </c>
      <c r="AN596">
        <v>1400</v>
      </c>
      <c r="AO596">
        <v>0</v>
      </c>
      <c r="AP596">
        <v>35</v>
      </c>
      <c r="AQ596">
        <v>85</v>
      </c>
      <c r="AR596">
        <v>35</v>
      </c>
      <c r="AS596">
        <v>2</v>
      </c>
      <c r="AT596">
        <v>23</v>
      </c>
      <c r="AU596">
        <v>1</v>
      </c>
      <c r="AV596">
        <v>0</v>
      </c>
      <c r="AW596">
        <v>10</v>
      </c>
      <c r="AX596">
        <v>1</v>
      </c>
      <c r="AY596">
        <v>5</v>
      </c>
      <c r="AZ596">
        <v>2</v>
      </c>
      <c r="BA596">
        <v>1</v>
      </c>
      <c r="BB596">
        <v>1440</v>
      </c>
      <c r="BC596">
        <v>0</v>
      </c>
      <c r="BD596">
        <v>0</v>
      </c>
      <c r="BE596">
        <v>14</v>
      </c>
      <c r="BF596">
        <v>25</v>
      </c>
      <c r="BG596">
        <v>3</v>
      </c>
      <c r="BH596">
        <v>8</v>
      </c>
      <c r="BI596">
        <v>3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0</v>
      </c>
      <c r="BQ596">
        <v>60</v>
      </c>
      <c r="BR596">
        <v>0</v>
      </c>
      <c r="BS596">
        <v>3</v>
      </c>
      <c r="BT596" t="s">
        <v>246</v>
      </c>
      <c r="BU596" t="s">
        <v>267</v>
      </c>
      <c r="BV596" t="b">
        <v>0</v>
      </c>
      <c r="BW596" t="s">
        <v>268</v>
      </c>
    </row>
    <row r="597" spans="1:75">
      <c r="A597" t="s">
        <v>246</v>
      </c>
      <c r="B597" t="s">
        <v>252</v>
      </c>
      <c r="C597">
        <v>951</v>
      </c>
      <c r="D597" t="s">
        <v>253</v>
      </c>
      <c r="E597" t="s">
        <v>254</v>
      </c>
      <c r="F597">
        <v>5</v>
      </c>
      <c r="G597" s="13">
        <v>46268.705590277779</v>
      </c>
      <c r="H597" s="13">
        <v>46268.706030092595</v>
      </c>
      <c r="I597">
        <v>38</v>
      </c>
      <c r="J597" t="s">
        <v>255</v>
      </c>
      <c r="K597">
        <v>1</v>
      </c>
      <c r="L597">
        <v>0.01</v>
      </c>
      <c r="M597">
        <v>0.01</v>
      </c>
      <c r="N597">
        <v>1</v>
      </c>
      <c r="O597">
        <v>0.01</v>
      </c>
      <c r="P597">
        <v>1.07</v>
      </c>
      <c r="Q597">
        <v>1.66</v>
      </c>
      <c r="R597">
        <v>1.59</v>
      </c>
      <c r="S597" t="s">
        <v>256</v>
      </c>
      <c r="T597" t="s">
        <v>257</v>
      </c>
      <c r="U597">
        <v>11</v>
      </c>
      <c r="V597">
        <v>7388.8</v>
      </c>
      <c r="W597">
        <v>4999.83</v>
      </c>
      <c r="X597">
        <v>4998.93</v>
      </c>
      <c r="Y597">
        <v>0</v>
      </c>
      <c r="Z597">
        <v>0</v>
      </c>
      <c r="AA597">
        <v>35</v>
      </c>
      <c r="AB597">
        <v>50</v>
      </c>
      <c r="AC597">
        <v>5000</v>
      </c>
      <c r="AD597">
        <v>0</v>
      </c>
      <c r="AE597">
        <v>0</v>
      </c>
      <c r="AF597">
        <v>7390.28</v>
      </c>
      <c r="AG597">
        <v>7390.28</v>
      </c>
      <c r="AH597" s="14">
        <v>46268</v>
      </c>
      <c r="AI597" t="s">
        <v>266</v>
      </c>
      <c r="AJ597" s="13">
        <v>46265.054768518516</v>
      </c>
      <c r="AK597">
        <v>6763.31</v>
      </c>
      <c r="AL597" t="s">
        <v>259</v>
      </c>
      <c r="AM597" t="s">
        <v>260</v>
      </c>
      <c r="AN597">
        <v>1400</v>
      </c>
      <c r="AO597">
        <v>0</v>
      </c>
      <c r="AP597">
        <v>35</v>
      </c>
      <c r="AQ597">
        <v>85</v>
      </c>
      <c r="AR597">
        <v>35</v>
      </c>
      <c r="AS597">
        <v>2</v>
      </c>
      <c r="AT597">
        <v>23</v>
      </c>
      <c r="AU597">
        <v>1</v>
      </c>
      <c r="AV597">
        <v>0</v>
      </c>
      <c r="AW597">
        <v>10</v>
      </c>
      <c r="AX597">
        <v>1</v>
      </c>
      <c r="AY597">
        <v>5</v>
      </c>
      <c r="AZ597">
        <v>2</v>
      </c>
      <c r="BA597">
        <v>1</v>
      </c>
      <c r="BB597">
        <v>1440</v>
      </c>
      <c r="BC597">
        <v>0</v>
      </c>
      <c r="BD597">
        <v>0</v>
      </c>
      <c r="BE597">
        <v>14</v>
      </c>
      <c r="BF597">
        <v>25</v>
      </c>
      <c r="BG597">
        <v>3</v>
      </c>
      <c r="BH597">
        <v>8</v>
      </c>
      <c r="BI597">
        <v>3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0</v>
      </c>
      <c r="BQ597">
        <v>60</v>
      </c>
      <c r="BR597">
        <v>0</v>
      </c>
      <c r="BS597">
        <v>3</v>
      </c>
      <c r="BT597" t="s">
        <v>246</v>
      </c>
      <c r="BU597" t="s">
        <v>267</v>
      </c>
      <c r="BV597" t="b">
        <v>0</v>
      </c>
      <c r="BW597" t="s">
        <v>268</v>
      </c>
    </row>
    <row r="598" spans="1:75">
      <c r="A598" t="s">
        <v>246</v>
      </c>
      <c r="B598" t="s">
        <v>252</v>
      </c>
      <c r="C598">
        <v>952</v>
      </c>
      <c r="D598" t="s">
        <v>253</v>
      </c>
      <c r="E598" t="s">
        <v>254</v>
      </c>
      <c r="F598">
        <v>5</v>
      </c>
      <c r="G598" s="13">
        <v>46268.70894675926</v>
      </c>
      <c r="H598" s="13">
        <v>46268.709687499999</v>
      </c>
      <c r="I598">
        <v>64</v>
      </c>
      <c r="J598" t="s">
        <v>255</v>
      </c>
      <c r="K598">
        <v>1</v>
      </c>
      <c r="L598">
        <v>0.01</v>
      </c>
      <c r="M598">
        <v>0.01</v>
      </c>
      <c r="N598">
        <v>1</v>
      </c>
      <c r="O598">
        <v>0.01</v>
      </c>
      <c r="P598">
        <v>3.06</v>
      </c>
      <c r="Q598">
        <v>0.85</v>
      </c>
      <c r="R598">
        <v>0.81</v>
      </c>
      <c r="S598" t="s">
        <v>256</v>
      </c>
      <c r="T598" t="s">
        <v>257</v>
      </c>
      <c r="U598">
        <v>11</v>
      </c>
      <c r="V598">
        <v>7390.08</v>
      </c>
      <c r="W598">
        <v>4999.8</v>
      </c>
      <c r="X598">
        <v>4996.9399999999996</v>
      </c>
      <c r="Y598">
        <v>0</v>
      </c>
      <c r="Z598">
        <v>0</v>
      </c>
      <c r="AA598">
        <v>35</v>
      </c>
      <c r="AB598">
        <v>50</v>
      </c>
      <c r="AC598">
        <v>5000</v>
      </c>
      <c r="AD598">
        <v>0</v>
      </c>
      <c r="AE598">
        <v>0</v>
      </c>
      <c r="AF598">
        <v>7390.78</v>
      </c>
      <c r="AG598">
        <v>7390.78</v>
      </c>
      <c r="AH598" s="14">
        <v>46268</v>
      </c>
      <c r="AI598" t="s">
        <v>266</v>
      </c>
      <c r="AJ598" s="13">
        <v>46265.054768518516</v>
      </c>
      <c r="AK598">
        <v>6763.31</v>
      </c>
      <c r="AL598" t="s">
        <v>259</v>
      </c>
      <c r="AM598" t="s">
        <v>260</v>
      </c>
      <c r="AN598">
        <v>1400</v>
      </c>
      <c r="AO598">
        <v>0</v>
      </c>
      <c r="AP598">
        <v>35</v>
      </c>
      <c r="AQ598">
        <v>85</v>
      </c>
      <c r="AR598">
        <v>35</v>
      </c>
      <c r="AS598">
        <v>2</v>
      </c>
      <c r="AT598">
        <v>23</v>
      </c>
      <c r="AU598">
        <v>1</v>
      </c>
      <c r="AV598">
        <v>0</v>
      </c>
      <c r="AW598">
        <v>10</v>
      </c>
      <c r="AX598">
        <v>1</v>
      </c>
      <c r="AY598">
        <v>5</v>
      </c>
      <c r="AZ598">
        <v>2</v>
      </c>
      <c r="BA598">
        <v>1</v>
      </c>
      <c r="BB598">
        <v>1440</v>
      </c>
      <c r="BC598">
        <v>0</v>
      </c>
      <c r="BD598">
        <v>0</v>
      </c>
      <c r="BE598">
        <v>14</v>
      </c>
      <c r="BF598">
        <v>25</v>
      </c>
      <c r="BG598">
        <v>3</v>
      </c>
      <c r="BH598">
        <v>8</v>
      </c>
      <c r="BI598">
        <v>3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0</v>
      </c>
      <c r="BQ598">
        <v>60</v>
      </c>
      <c r="BR598">
        <v>0</v>
      </c>
      <c r="BS598">
        <v>3</v>
      </c>
      <c r="BT598" t="s">
        <v>246</v>
      </c>
      <c r="BU598" t="s">
        <v>267</v>
      </c>
      <c r="BV598" t="b">
        <v>0</v>
      </c>
      <c r="BW598" t="s">
        <v>268</v>
      </c>
    </row>
    <row r="599" spans="1:75">
      <c r="A599" t="s">
        <v>246</v>
      </c>
      <c r="B599" t="s">
        <v>252</v>
      </c>
      <c r="C599">
        <v>953</v>
      </c>
      <c r="D599" t="s">
        <v>253</v>
      </c>
      <c r="E599" t="s">
        <v>254</v>
      </c>
      <c r="F599">
        <v>5</v>
      </c>
      <c r="G599" s="13">
        <v>46268.712835648148</v>
      </c>
      <c r="H599" s="13">
        <v>46268.713587962964</v>
      </c>
      <c r="I599">
        <v>65</v>
      </c>
      <c r="J599" t="s">
        <v>255</v>
      </c>
      <c r="K599">
        <v>1</v>
      </c>
      <c r="L599">
        <v>0.01</v>
      </c>
      <c r="M599">
        <v>0.01</v>
      </c>
      <c r="N599">
        <v>1</v>
      </c>
      <c r="O599">
        <v>0.01</v>
      </c>
      <c r="P599">
        <v>0.17</v>
      </c>
      <c r="Q599">
        <v>3.2</v>
      </c>
      <c r="R599">
        <v>3.2</v>
      </c>
      <c r="S599" t="s">
        <v>256</v>
      </c>
      <c r="T599" t="s">
        <v>257</v>
      </c>
      <c r="U599">
        <v>10</v>
      </c>
      <c r="V599">
        <v>7390.61</v>
      </c>
      <c r="W599">
        <v>4999.83</v>
      </c>
      <c r="X599">
        <v>4999.83</v>
      </c>
      <c r="Y599">
        <v>0</v>
      </c>
      <c r="Z599">
        <v>0</v>
      </c>
      <c r="AA599">
        <v>35</v>
      </c>
      <c r="AB599">
        <v>50</v>
      </c>
      <c r="AC599">
        <v>5000</v>
      </c>
      <c r="AD599">
        <v>0</v>
      </c>
      <c r="AE599">
        <v>0</v>
      </c>
      <c r="AF599">
        <v>7393.62</v>
      </c>
      <c r="AG599">
        <v>7393.62</v>
      </c>
      <c r="AH599" s="14">
        <v>46268</v>
      </c>
      <c r="AI599" t="s">
        <v>266</v>
      </c>
      <c r="AJ599" s="13">
        <v>46265.054768518516</v>
      </c>
      <c r="AK599">
        <v>6763.31</v>
      </c>
      <c r="AL599" t="s">
        <v>259</v>
      </c>
      <c r="AM599" t="s">
        <v>260</v>
      </c>
      <c r="AN599">
        <v>1400</v>
      </c>
      <c r="AO599">
        <v>0</v>
      </c>
      <c r="AP599">
        <v>35</v>
      </c>
      <c r="AQ599">
        <v>85</v>
      </c>
      <c r="AR599">
        <v>35</v>
      </c>
      <c r="AS599">
        <v>2</v>
      </c>
      <c r="AT599">
        <v>23</v>
      </c>
      <c r="AU599">
        <v>1</v>
      </c>
      <c r="AV599">
        <v>0</v>
      </c>
      <c r="AW599">
        <v>10</v>
      </c>
      <c r="AX599">
        <v>1</v>
      </c>
      <c r="AY599">
        <v>5</v>
      </c>
      <c r="AZ599">
        <v>2</v>
      </c>
      <c r="BA599">
        <v>1</v>
      </c>
      <c r="BB599">
        <v>1440</v>
      </c>
      <c r="BC599">
        <v>0</v>
      </c>
      <c r="BD599">
        <v>0</v>
      </c>
      <c r="BE599">
        <v>14</v>
      </c>
      <c r="BF599">
        <v>25</v>
      </c>
      <c r="BG599">
        <v>3</v>
      </c>
      <c r="BH599">
        <v>8</v>
      </c>
      <c r="BI599">
        <v>3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0</v>
      </c>
      <c r="BQ599">
        <v>60</v>
      </c>
      <c r="BR599">
        <v>0</v>
      </c>
      <c r="BS599">
        <v>3</v>
      </c>
      <c r="BT599" t="s">
        <v>246</v>
      </c>
      <c r="BU599" t="s">
        <v>267</v>
      </c>
      <c r="BV599" t="b">
        <v>0</v>
      </c>
      <c r="BW599" t="s">
        <v>268</v>
      </c>
    </row>
    <row r="600" spans="1:75">
      <c r="A600" t="s">
        <v>246</v>
      </c>
      <c r="B600" t="s">
        <v>252</v>
      </c>
      <c r="C600">
        <v>954</v>
      </c>
      <c r="D600" t="s">
        <v>253</v>
      </c>
      <c r="E600" t="s">
        <v>254</v>
      </c>
      <c r="F600">
        <v>5</v>
      </c>
      <c r="G600" s="13">
        <v>46268.716597222221</v>
      </c>
      <c r="H600" s="13">
        <v>46268.716817129629</v>
      </c>
      <c r="I600">
        <v>19</v>
      </c>
      <c r="J600" t="s">
        <v>255</v>
      </c>
      <c r="K600">
        <v>1</v>
      </c>
      <c r="L600">
        <v>0.01</v>
      </c>
      <c r="M600">
        <v>0.01</v>
      </c>
      <c r="N600">
        <v>1</v>
      </c>
      <c r="O600">
        <v>0.01</v>
      </c>
      <c r="P600">
        <v>0.16</v>
      </c>
      <c r="Q600">
        <v>1.17</v>
      </c>
      <c r="R600">
        <v>1.17</v>
      </c>
      <c r="S600" t="s">
        <v>256</v>
      </c>
      <c r="T600" t="s">
        <v>257</v>
      </c>
      <c r="U600">
        <v>10</v>
      </c>
      <c r="V600">
        <v>7393.46</v>
      </c>
      <c r="W600">
        <v>4999.84</v>
      </c>
      <c r="X600">
        <v>4999.84</v>
      </c>
      <c r="Y600">
        <v>0</v>
      </c>
      <c r="Z600">
        <v>0</v>
      </c>
      <c r="AA600">
        <v>35</v>
      </c>
      <c r="AB600">
        <v>50</v>
      </c>
      <c r="AC600">
        <v>5000</v>
      </c>
      <c r="AD600">
        <v>0</v>
      </c>
      <c r="AE600">
        <v>0</v>
      </c>
      <c r="AF600">
        <v>7394.44</v>
      </c>
      <c r="AG600">
        <v>7394.44</v>
      </c>
      <c r="AH600" s="14">
        <v>46268</v>
      </c>
      <c r="AI600" t="s">
        <v>266</v>
      </c>
      <c r="AJ600" s="13">
        <v>46265.054768518516</v>
      </c>
      <c r="AK600">
        <v>6763.31</v>
      </c>
      <c r="AL600" t="s">
        <v>259</v>
      </c>
      <c r="AM600" t="s">
        <v>260</v>
      </c>
      <c r="AN600">
        <v>1400</v>
      </c>
      <c r="AO600">
        <v>0</v>
      </c>
      <c r="AP600">
        <v>35</v>
      </c>
      <c r="AQ600">
        <v>85</v>
      </c>
      <c r="AR600">
        <v>35</v>
      </c>
      <c r="AS600">
        <v>2</v>
      </c>
      <c r="AT600">
        <v>23</v>
      </c>
      <c r="AU600">
        <v>1</v>
      </c>
      <c r="AV600">
        <v>0</v>
      </c>
      <c r="AW600">
        <v>10</v>
      </c>
      <c r="AX600">
        <v>1</v>
      </c>
      <c r="AY600">
        <v>5</v>
      </c>
      <c r="AZ600">
        <v>2</v>
      </c>
      <c r="BA600">
        <v>1</v>
      </c>
      <c r="BB600">
        <v>1440</v>
      </c>
      <c r="BC600">
        <v>0</v>
      </c>
      <c r="BD600">
        <v>0</v>
      </c>
      <c r="BE600">
        <v>14</v>
      </c>
      <c r="BF600">
        <v>25</v>
      </c>
      <c r="BG600">
        <v>3</v>
      </c>
      <c r="BH600">
        <v>8</v>
      </c>
      <c r="BI600">
        <v>3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0</v>
      </c>
      <c r="BQ600">
        <v>60</v>
      </c>
      <c r="BR600">
        <v>0</v>
      </c>
      <c r="BS600">
        <v>3</v>
      </c>
      <c r="BT600" t="s">
        <v>246</v>
      </c>
      <c r="BU600" t="s">
        <v>267</v>
      </c>
      <c r="BV600" t="b">
        <v>0</v>
      </c>
      <c r="BW600" t="s">
        <v>268</v>
      </c>
    </row>
    <row r="601" spans="1:75">
      <c r="A601" t="s">
        <v>246</v>
      </c>
      <c r="B601" t="s">
        <v>252</v>
      </c>
      <c r="C601">
        <v>955</v>
      </c>
      <c r="D601" t="s">
        <v>253</v>
      </c>
      <c r="E601" t="s">
        <v>254</v>
      </c>
      <c r="F601">
        <v>5</v>
      </c>
      <c r="G601" s="13">
        <v>46268.719421296293</v>
      </c>
      <c r="H601" s="13">
        <v>46268.720555555556</v>
      </c>
      <c r="I601">
        <v>98</v>
      </c>
      <c r="J601" t="s">
        <v>255</v>
      </c>
      <c r="K601">
        <v>1</v>
      </c>
      <c r="L601">
        <v>0.01</v>
      </c>
      <c r="M601">
        <v>0.01</v>
      </c>
      <c r="N601">
        <v>1</v>
      </c>
      <c r="O601">
        <v>0.01</v>
      </c>
      <c r="P601">
        <v>1.34</v>
      </c>
      <c r="Q601">
        <v>1.41</v>
      </c>
      <c r="R601">
        <v>1.41</v>
      </c>
      <c r="S601" t="s">
        <v>256</v>
      </c>
      <c r="T601" t="s">
        <v>257</v>
      </c>
      <c r="U601">
        <v>10</v>
      </c>
      <c r="V601">
        <v>7394.27</v>
      </c>
      <c r="W601">
        <v>4999.83</v>
      </c>
      <c r="X601">
        <v>4998.66</v>
      </c>
      <c r="Y601">
        <v>0</v>
      </c>
      <c r="Z601">
        <v>0</v>
      </c>
      <c r="AA601">
        <v>35</v>
      </c>
      <c r="AB601">
        <v>50</v>
      </c>
      <c r="AC601">
        <v>5000</v>
      </c>
      <c r="AD601">
        <v>0</v>
      </c>
      <c r="AE601">
        <v>0</v>
      </c>
      <c r="AF601">
        <v>7395.5</v>
      </c>
      <c r="AG601">
        <v>7395.5</v>
      </c>
      <c r="AH601" s="14">
        <v>46268</v>
      </c>
      <c r="AI601" t="s">
        <v>266</v>
      </c>
      <c r="AJ601" s="13">
        <v>46265.054768518516</v>
      </c>
      <c r="AK601">
        <v>6763.31</v>
      </c>
      <c r="AL601" t="s">
        <v>259</v>
      </c>
      <c r="AM601" t="s">
        <v>260</v>
      </c>
      <c r="AN601">
        <v>1400</v>
      </c>
      <c r="AO601">
        <v>0</v>
      </c>
      <c r="AP601">
        <v>35</v>
      </c>
      <c r="AQ601">
        <v>85</v>
      </c>
      <c r="AR601">
        <v>35</v>
      </c>
      <c r="AS601">
        <v>2</v>
      </c>
      <c r="AT601">
        <v>23</v>
      </c>
      <c r="AU601">
        <v>1</v>
      </c>
      <c r="AV601">
        <v>0</v>
      </c>
      <c r="AW601">
        <v>10</v>
      </c>
      <c r="AX601">
        <v>1</v>
      </c>
      <c r="AY601">
        <v>5</v>
      </c>
      <c r="AZ601">
        <v>2</v>
      </c>
      <c r="BA601">
        <v>1</v>
      </c>
      <c r="BB601">
        <v>1440</v>
      </c>
      <c r="BC601">
        <v>0</v>
      </c>
      <c r="BD601">
        <v>0</v>
      </c>
      <c r="BE601">
        <v>14</v>
      </c>
      <c r="BF601">
        <v>25</v>
      </c>
      <c r="BG601">
        <v>3</v>
      </c>
      <c r="BH601">
        <v>8</v>
      </c>
      <c r="BI601">
        <v>3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</v>
      </c>
      <c r="BQ601">
        <v>60</v>
      </c>
      <c r="BR601">
        <v>0</v>
      </c>
      <c r="BS601">
        <v>3</v>
      </c>
      <c r="BT601" t="s">
        <v>246</v>
      </c>
      <c r="BU601" t="s">
        <v>267</v>
      </c>
      <c r="BV601" t="b">
        <v>0</v>
      </c>
      <c r="BW601" t="s">
        <v>268</v>
      </c>
    </row>
    <row r="602" spans="1:75">
      <c r="A602" t="s">
        <v>246</v>
      </c>
      <c r="B602" t="s">
        <v>252</v>
      </c>
      <c r="C602">
        <v>956</v>
      </c>
      <c r="D602" t="s">
        <v>253</v>
      </c>
      <c r="E602" t="s">
        <v>254</v>
      </c>
      <c r="F602">
        <v>5</v>
      </c>
      <c r="G602" s="13">
        <v>46268.722951388889</v>
      </c>
      <c r="H602" s="13">
        <v>46268.740879629629</v>
      </c>
      <c r="I602">
        <v>1549</v>
      </c>
      <c r="J602" t="s">
        <v>255</v>
      </c>
      <c r="K602">
        <v>5</v>
      </c>
      <c r="L602">
        <v>0.05</v>
      </c>
      <c r="M602">
        <v>0.01</v>
      </c>
      <c r="N602">
        <v>5</v>
      </c>
      <c r="O602">
        <v>0.05</v>
      </c>
      <c r="P602">
        <v>28.22</v>
      </c>
      <c r="Q602">
        <v>6.83</v>
      </c>
      <c r="R602">
        <v>3.8</v>
      </c>
      <c r="S602" t="s">
        <v>263</v>
      </c>
      <c r="T602" t="s">
        <v>257</v>
      </c>
      <c r="U602">
        <v>11</v>
      </c>
      <c r="V602">
        <v>7395.34</v>
      </c>
      <c r="W602">
        <v>4999.84</v>
      </c>
      <c r="X602">
        <v>4971.78</v>
      </c>
      <c r="Y602">
        <v>0</v>
      </c>
      <c r="Z602">
        <v>0</v>
      </c>
      <c r="AA602">
        <v>35</v>
      </c>
      <c r="AB602">
        <v>50</v>
      </c>
      <c r="AC602">
        <v>5000</v>
      </c>
      <c r="AD602">
        <v>0</v>
      </c>
      <c r="AE602">
        <v>0</v>
      </c>
      <c r="AF602">
        <v>7399.37</v>
      </c>
      <c r="AG602">
        <v>7399.37</v>
      </c>
      <c r="AH602" s="14">
        <v>46268</v>
      </c>
      <c r="AI602" t="s">
        <v>266</v>
      </c>
      <c r="AJ602" s="13">
        <v>46265.054768518516</v>
      </c>
      <c r="AK602">
        <v>6763.31</v>
      </c>
      <c r="AL602" t="s">
        <v>259</v>
      </c>
      <c r="AM602" t="s">
        <v>260</v>
      </c>
      <c r="AN602">
        <v>1400</v>
      </c>
      <c r="AO602">
        <v>0</v>
      </c>
      <c r="AP602">
        <v>35</v>
      </c>
      <c r="AQ602">
        <v>85</v>
      </c>
      <c r="AR602">
        <v>35</v>
      </c>
      <c r="AS602">
        <v>2</v>
      </c>
      <c r="AT602">
        <v>23</v>
      </c>
      <c r="AU602">
        <v>1</v>
      </c>
      <c r="AV602">
        <v>0</v>
      </c>
      <c r="AW602">
        <v>10</v>
      </c>
      <c r="AX602">
        <v>1</v>
      </c>
      <c r="AY602">
        <v>5</v>
      </c>
      <c r="AZ602">
        <v>2</v>
      </c>
      <c r="BA602">
        <v>1</v>
      </c>
      <c r="BB602">
        <v>1440</v>
      </c>
      <c r="BC602">
        <v>0</v>
      </c>
      <c r="BD602">
        <v>0</v>
      </c>
      <c r="BE602">
        <v>14</v>
      </c>
      <c r="BF602">
        <v>25</v>
      </c>
      <c r="BG602">
        <v>3</v>
      </c>
      <c r="BH602">
        <v>8</v>
      </c>
      <c r="BI602">
        <v>3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0</v>
      </c>
      <c r="BQ602">
        <v>60</v>
      </c>
      <c r="BR602">
        <v>0</v>
      </c>
      <c r="BS602">
        <v>3</v>
      </c>
      <c r="BT602" t="s">
        <v>246</v>
      </c>
      <c r="BU602" t="s">
        <v>267</v>
      </c>
      <c r="BV602" t="b">
        <v>0</v>
      </c>
      <c r="BW602" t="s">
        <v>268</v>
      </c>
    </row>
    <row r="603" spans="1:75">
      <c r="A603" t="s">
        <v>246</v>
      </c>
      <c r="B603" t="s">
        <v>252</v>
      </c>
      <c r="C603">
        <v>957</v>
      </c>
      <c r="D603" t="s">
        <v>253</v>
      </c>
      <c r="E603" t="s">
        <v>254</v>
      </c>
      <c r="F603">
        <v>5</v>
      </c>
      <c r="G603" s="13">
        <v>46268.743472222224</v>
      </c>
      <c r="H603" s="13">
        <v>46268.743842592594</v>
      </c>
      <c r="I603">
        <v>32</v>
      </c>
      <c r="J603" t="s">
        <v>255</v>
      </c>
      <c r="K603">
        <v>1</v>
      </c>
      <c r="L603">
        <v>0.01</v>
      </c>
      <c r="M603">
        <v>0.01</v>
      </c>
      <c r="N603">
        <v>1</v>
      </c>
      <c r="O603">
        <v>0.01</v>
      </c>
      <c r="P603">
        <v>0.22</v>
      </c>
      <c r="Q603">
        <v>1.64</v>
      </c>
      <c r="R603">
        <v>1.64</v>
      </c>
      <c r="S603" t="s">
        <v>256</v>
      </c>
      <c r="T603" t="s">
        <v>257</v>
      </c>
      <c r="U603">
        <v>11</v>
      </c>
      <c r="V603">
        <v>7399.2</v>
      </c>
      <c r="W603">
        <v>4999.83</v>
      </c>
      <c r="X603">
        <v>4999.78</v>
      </c>
      <c r="Y603">
        <v>0</v>
      </c>
      <c r="Z603">
        <v>0</v>
      </c>
      <c r="AA603">
        <v>35</v>
      </c>
      <c r="AB603">
        <v>50</v>
      </c>
      <c r="AC603">
        <v>5000</v>
      </c>
      <c r="AD603">
        <v>0</v>
      </c>
      <c r="AE603">
        <v>0</v>
      </c>
      <c r="AF603">
        <v>7400.66</v>
      </c>
      <c r="AG603">
        <v>7400.66</v>
      </c>
      <c r="AH603" s="14">
        <v>46268</v>
      </c>
      <c r="AI603" t="s">
        <v>266</v>
      </c>
      <c r="AJ603" s="13">
        <v>46265.054768518516</v>
      </c>
      <c r="AK603">
        <v>6763.31</v>
      </c>
      <c r="AL603" t="s">
        <v>259</v>
      </c>
      <c r="AM603" t="s">
        <v>260</v>
      </c>
      <c r="AN603">
        <v>1400</v>
      </c>
      <c r="AO603">
        <v>0</v>
      </c>
      <c r="AP603">
        <v>35</v>
      </c>
      <c r="AQ603">
        <v>85</v>
      </c>
      <c r="AR603">
        <v>35</v>
      </c>
      <c r="AS603">
        <v>2</v>
      </c>
      <c r="AT603">
        <v>23</v>
      </c>
      <c r="AU603">
        <v>1</v>
      </c>
      <c r="AV603">
        <v>0</v>
      </c>
      <c r="AW603">
        <v>10</v>
      </c>
      <c r="AX603">
        <v>1</v>
      </c>
      <c r="AY603">
        <v>5</v>
      </c>
      <c r="AZ603">
        <v>2</v>
      </c>
      <c r="BA603">
        <v>1</v>
      </c>
      <c r="BB603">
        <v>1440</v>
      </c>
      <c r="BC603">
        <v>0</v>
      </c>
      <c r="BD603">
        <v>0</v>
      </c>
      <c r="BE603">
        <v>14</v>
      </c>
      <c r="BF603">
        <v>25</v>
      </c>
      <c r="BG603">
        <v>3</v>
      </c>
      <c r="BH603">
        <v>8</v>
      </c>
      <c r="BI603">
        <v>3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0</v>
      </c>
      <c r="BQ603">
        <v>60</v>
      </c>
      <c r="BR603">
        <v>0</v>
      </c>
      <c r="BS603">
        <v>3</v>
      </c>
      <c r="BT603" t="s">
        <v>246</v>
      </c>
      <c r="BU603" t="s">
        <v>267</v>
      </c>
      <c r="BV603" t="b">
        <v>0</v>
      </c>
      <c r="BW603" t="s">
        <v>268</v>
      </c>
    </row>
    <row r="604" spans="1:75">
      <c r="A604" t="s">
        <v>246</v>
      </c>
      <c r="B604" t="s">
        <v>252</v>
      </c>
      <c r="C604">
        <v>958</v>
      </c>
      <c r="D604" t="s">
        <v>253</v>
      </c>
      <c r="E604" t="s">
        <v>254</v>
      </c>
      <c r="F604">
        <v>5</v>
      </c>
      <c r="G604" s="13">
        <v>46268.748090277775</v>
      </c>
      <c r="H604" s="13">
        <v>46268.748506944445</v>
      </c>
      <c r="I604">
        <v>36</v>
      </c>
      <c r="J604" t="s">
        <v>255</v>
      </c>
      <c r="K604">
        <v>1</v>
      </c>
      <c r="L604">
        <v>0.01</v>
      </c>
      <c r="M604">
        <v>0.01</v>
      </c>
      <c r="N604">
        <v>1</v>
      </c>
      <c r="O604">
        <v>0.01</v>
      </c>
      <c r="P604">
        <v>0.65</v>
      </c>
      <c r="Q604">
        <v>2.87</v>
      </c>
      <c r="R604">
        <v>2.84</v>
      </c>
      <c r="S604" t="s">
        <v>256</v>
      </c>
      <c r="T604" t="s">
        <v>257</v>
      </c>
      <c r="U604">
        <v>10</v>
      </c>
      <c r="V604">
        <v>7400.5</v>
      </c>
      <c r="W604">
        <v>4999.84</v>
      </c>
      <c r="X604">
        <v>4999.3500000000004</v>
      </c>
      <c r="Y604">
        <v>0</v>
      </c>
      <c r="Z604">
        <v>0</v>
      </c>
      <c r="AA604">
        <v>35</v>
      </c>
      <c r="AB604">
        <v>50</v>
      </c>
      <c r="AC604">
        <v>5000</v>
      </c>
      <c r="AD604">
        <v>0</v>
      </c>
      <c r="AE604">
        <v>0</v>
      </c>
      <c r="AF604">
        <v>7403.18</v>
      </c>
      <c r="AG604">
        <v>7403.18</v>
      </c>
      <c r="AH604" s="14">
        <v>46268</v>
      </c>
      <c r="AI604" t="s">
        <v>266</v>
      </c>
      <c r="AJ604" s="13">
        <v>46265.054768518516</v>
      </c>
      <c r="AK604">
        <v>6763.31</v>
      </c>
      <c r="AL604" t="s">
        <v>259</v>
      </c>
      <c r="AM604" t="s">
        <v>260</v>
      </c>
      <c r="AN604">
        <v>1400</v>
      </c>
      <c r="AO604">
        <v>0</v>
      </c>
      <c r="AP604">
        <v>35</v>
      </c>
      <c r="AQ604">
        <v>85</v>
      </c>
      <c r="AR604">
        <v>35</v>
      </c>
      <c r="AS604">
        <v>2</v>
      </c>
      <c r="AT604">
        <v>23</v>
      </c>
      <c r="AU604">
        <v>1</v>
      </c>
      <c r="AV604">
        <v>0</v>
      </c>
      <c r="AW604">
        <v>10</v>
      </c>
      <c r="AX604">
        <v>1</v>
      </c>
      <c r="AY604">
        <v>5</v>
      </c>
      <c r="AZ604">
        <v>2</v>
      </c>
      <c r="BA604">
        <v>1</v>
      </c>
      <c r="BB604">
        <v>1440</v>
      </c>
      <c r="BC604">
        <v>0</v>
      </c>
      <c r="BD604">
        <v>0</v>
      </c>
      <c r="BE604">
        <v>14</v>
      </c>
      <c r="BF604">
        <v>25</v>
      </c>
      <c r="BG604">
        <v>3</v>
      </c>
      <c r="BH604">
        <v>8</v>
      </c>
      <c r="BI604">
        <v>3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0</v>
      </c>
      <c r="BQ604">
        <v>60</v>
      </c>
      <c r="BR604">
        <v>0</v>
      </c>
      <c r="BS604">
        <v>3</v>
      </c>
      <c r="BT604" t="s">
        <v>246</v>
      </c>
      <c r="BU604" t="s">
        <v>267</v>
      </c>
      <c r="BV604" t="b">
        <v>0</v>
      </c>
      <c r="BW604" t="s">
        <v>268</v>
      </c>
    </row>
    <row r="605" spans="1:75">
      <c r="A605" t="s">
        <v>246</v>
      </c>
      <c r="B605" t="s">
        <v>252</v>
      </c>
      <c r="C605">
        <v>959</v>
      </c>
      <c r="D605" t="s">
        <v>253</v>
      </c>
      <c r="E605" t="s">
        <v>254</v>
      </c>
      <c r="F605">
        <v>5</v>
      </c>
      <c r="G605" s="13">
        <v>46268.750775462962</v>
      </c>
      <c r="H605" s="13">
        <v>46268.751423611109</v>
      </c>
      <c r="I605">
        <v>56</v>
      </c>
      <c r="J605" t="s">
        <v>255</v>
      </c>
      <c r="K605">
        <v>1</v>
      </c>
      <c r="L605">
        <v>0.01</v>
      </c>
      <c r="M605">
        <v>0.01</v>
      </c>
      <c r="N605">
        <v>1</v>
      </c>
      <c r="O605">
        <v>0.01</v>
      </c>
      <c r="P605">
        <v>0.17</v>
      </c>
      <c r="Q605">
        <v>4.09</v>
      </c>
      <c r="R605">
        <v>4.09</v>
      </c>
      <c r="S605" t="s">
        <v>256</v>
      </c>
      <c r="T605" t="s">
        <v>257</v>
      </c>
      <c r="U605">
        <v>10</v>
      </c>
      <c r="V605">
        <v>7403.01</v>
      </c>
      <c r="W605">
        <v>4999.83</v>
      </c>
      <c r="X605">
        <v>4999.83</v>
      </c>
      <c r="Y605">
        <v>0</v>
      </c>
      <c r="Z605">
        <v>0</v>
      </c>
      <c r="AA605">
        <v>35</v>
      </c>
      <c r="AB605">
        <v>50</v>
      </c>
      <c r="AC605">
        <v>5000</v>
      </c>
      <c r="AD605">
        <v>0</v>
      </c>
      <c r="AE605">
        <v>0</v>
      </c>
      <c r="AF605">
        <v>7406.92</v>
      </c>
      <c r="AG605">
        <v>7406.92</v>
      </c>
      <c r="AH605" s="14">
        <v>46268</v>
      </c>
      <c r="AI605" t="s">
        <v>266</v>
      </c>
      <c r="AJ605" s="13">
        <v>46265.054768518516</v>
      </c>
      <c r="AK605">
        <v>6763.31</v>
      </c>
      <c r="AL605" t="s">
        <v>259</v>
      </c>
      <c r="AM605" t="s">
        <v>260</v>
      </c>
      <c r="AN605">
        <v>1400</v>
      </c>
      <c r="AO605">
        <v>0</v>
      </c>
      <c r="AP605">
        <v>35</v>
      </c>
      <c r="AQ605">
        <v>85</v>
      </c>
      <c r="AR605">
        <v>35</v>
      </c>
      <c r="AS605">
        <v>2</v>
      </c>
      <c r="AT605">
        <v>23</v>
      </c>
      <c r="AU605">
        <v>1</v>
      </c>
      <c r="AV605">
        <v>0</v>
      </c>
      <c r="AW605">
        <v>10</v>
      </c>
      <c r="AX605">
        <v>1</v>
      </c>
      <c r="AY605">
        <v>5</v>
      </c>
      <c r="AZ605">
        <v>2</v>
      </c>
      <c r="BA605">
        <v>1</v>
      </c>
      <c r="BB605">
        <v>1440</v>
      </c>
      <c r="BC605">
        <v>0</v>
      </c>
      <c r="BD605">
        <v>0</v>
      </c>
      <c r="BE605">
        <v>14</v>
      </c>
      <c r="BF605">
        <v>25</v>
      </c>
      <c r="BG605">
        <v>3</v>
      </c>
      <c r="BH605">
        <v>8</v>
      </c>
      <c r="BI605">
        <v>3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0</v>
      </c>
      <c r="BQ605">
        <v>60</v>
      </c>
      <c r="BR605">
        <v>0</v>
      </c>
      <c r="BS605">
        <v>3</v>
      </c>
      <c r="BT605" t="s">
        <v>246</v>
      </c>
      <c r="BU605" t="s">
        <v>267</v>
      </c>
      <c r="BV605" t="b">
        <v>0</v>
      </c>
      <c r="BW605" t="s">
        <v>268</v>
      </c>
    </row>
    <row r="606" spans="1:75">
      <c r="A606" t="s">
        <v>246</v>
      </c>
      <c r="B606" t="s">
        <v>252</v>
      </c>
      <c r="C606">
        <v>960</v>
      </c>
      <c r="D606" t="s">
        <v>253</v>
      </c>
      <c r="E606" t="s">
        <v>254</v>
      </c>
      <c r="F606">
        <v>5</v>
      </c>
      <c r="G606" s="13">
        <v>46268.756747685184</v>
      </c>
      <c r="H606" s="13">
        <v>46268.757476851853</v>
      </c>
      <c r="I606">
        <v>63</v>
      </c>
      <c r="J606" t="s">
        <v>264</v>
      </c>
      <c r="K606">
        <v>1</v>
      </c>
      <c r="L606">
        <v>0.01</v>
      </c>
      <c r="M606">
        <v>0.01</v>
      </c>
      <c r="N606">
        <v>1</v>
      </c>
      <c r="O606">
        <v>0.01</v>
      </c>
      <c r="P606">
        <v>0.17</v>
      </c>
      <c r="Q606">
        <v>2.76</v>
      </c>
      <c r="R606">
        <v>2.76</v>
      </c>
      <c r="S606" t="s">
        <v>256</v>
      </c>
      <c r="T606" t="s">
        <v>257</v>
      </c>
      <c r="U606">
        <v>10</v>
      </c>
      <c r="V606">
        <v>7406.75</v>
      </c>
      <c r="W606">
        <v>4999.83</v>
      </c>
      <c r="X606">
        <v>4999.83</v>
      </c>
      <c r="Y606">
        <v>0</v>
      </c>
      <c r="Z606">
        <v>0</v>
      </c>
      <c r="AA606">
        <v>35</v>
      </c>
      <c r="AB606">
        <v>50</v>
      </c>
      <c r="AC606">
        <v>5000</v>
      </c>
      <c r="AD606">
        <v>0</v>
      </c>
      <c r="AE606">
        <v>0</v>
      </c>
      <c r="AF606">
        <v>7409.33</v>
      </c>
      <c r="AG606">
        <v>7409.33</v>
      </c>
      <c r="AH606" s="14">
        <v>46268</v>
      </c>
      <c r="AI606" t="s">
        <v>266</v>
      </c>
      <c r="AJ606" s="13">
        <v>46265.054768518516</v>
      </c>
      <c r="AK606">
        <v>6763.31</v>
      </c>
      <c r="AL606" t="s">
        <v>259</v>
      </c>
      <c r="AM606" t="s">
        <v>260</v>
      </c>
      <c r="AN606">
        <v>1400</v>
      </c>
      <c r="AO606">
        <v>0</v>
      </c>
      <c r="AP606">
        <v>35</v>
      </c>
      <c r="AQ606">
        <v>85</v>
      </c>
      <c r="AR606">
        <v>35</v>
      </c>
      <c r="AS606">
        <v>2</v>
      </c>
      <c r="AT606">
        <v>23</v>
      </c>
      <c r="AU606">
        <v>1</v>
      </c>
      <c r="AV606">
        <v>0</v>
      </c>
      <c r="AW606">
        <v>10</v>
      </c>
      <c r="AX606">
        <v>1</v>
      </c>
      <c r="AY606">
        <v>5</v>
      </c>
      <c r="AZ606">
        <v>2</v>
      </c>
      <c r="BA606">
        <v>1</v>
      </c>
      <c r="BB606">
        <v>1440</v>
      </c>
      <c r="BC606">
        <v>0</v>
      </c>
      <c r="BD606">
        <v>0</v>
      </c>
      <c r="BE606">
        <v>14</v>
      </c>
      <c r="BF606">
        <v>25</v>
      </c>
      <c r="BG606">
        <v>3</v>
      </c>
      <c r="BH606">
        <v>8</v>
      </c>
      <c r="BI606">
        <v>3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0</v>
      </c>
      <c r="BQ606">
        <v>60</v>
      </c>
      <c r="BR606">
        <v>0</v>
      </c>
      <c r="BS606">
        <v>3</v>
      </c>
      <c r="BT606" t="s">
        <v>246</v>
      </c>
      <c r="BU606" t="s">
        <v>267</v>
      </c>
      <c r="BV606" t="b">
        <v>0</v>
      </c>
      <c r="BW606" t="s">
        <v>268</v>
      </c>
    </row>
    <row r="607" spans="1:75">
      <c r="A607" t="s">
        <v>246</v>
      </c>
      <c r="B607" t="s">
        <v>252</v>
      </c>
      <c r="C607">
        <v>961</v>
      </c>
      <c r="D607" t="s">
        <v>253</v>
      </c>
      <c r="E607" t="s">
        <v>254</v>
      </c>
      <c r="F607">
        <v>5</v>
      </c>
      <c r="G607" s="13">
        <v>46268.758611111109</v>
      </c>
      <c r="H607" s="13">
        <v>46268.772812499999</v>
      </c>
      <c r="I607">
        <v>1227</v>
      </c>
      <c r="J607" t="s">
        <v>264</v>
      </c>
      <c r="K607">
        <v>5</v>
      </c>
      <c r="L607">
        <v>0.05</v>
      </c>
      <c r="M607">
        <v>0.01</v>
      </c>
      <c r="N607">
        <v>5</v>
      </c>
      <c r="O607">
        <v>0.05</v>
      </c>
      <c r="P607">
        <v>26.17</v>
      </c>
      <c r="Q607">
        <v>8.02</v>
      </c>
      <c r="R607">
        <v>1.22</v>
      </c>
      <c r="S607" t="s">
        <v>263</v>
      </c>
      <c r="T607" t="s">
        <v>257</v>
      </c>
      <c r="U607">
        <v>11</v>
      </c>
      <c r="V607">
        <v>7409.17</v>
      </c>
      <c r="W607">
        <v>4999.84</v>
      </c>
      <c r="X607">
        <v>4973.83</v>
      </c>
      <c r="Y607">
        <v>0</v>
      </c>
      <c r="Z607">
        <v>0</v>
      </c>
      <c r="AA607">
        <v>35</v>
      </c>
      <c r="AB607">
        <v>50</v>
      </c>
      <c r="AC607">
        <v>5000</v>
      </c>
      <c r="AD607">
        <v>0</v>
      </c>
      <c r="AE607">
        <v>0</v>
      </c>
      <c r="AF607">
        <v>7410.37</v>
      </c>
      <c r="AG607">
        <v>7410.37</v>
      </c>
      <c r="AH607" s="14">
        <v>46268</v>
      </c>
      <c r="AI607" t="s">
        <v>266</v>
      </c>
      <c r="AJ607" s="13">
        <v>46265.054768518516</v>
      </c>
      <c r="AK607">
        <v>6763.31</v>
      </c>
      <c r="AL607" t="s">
        <v>259</v>
      </c>
      <c r="AM607" t="s">
        <v>260</v>
      </c>
      <c r="AN607">
        <v>1400</v>
      </c>
      <c r="AO607">
        <v>0</v>
      </c>
      <c r="AP607">
        <v>35</v>
      </c>
      <c r="AQ607">
        <v>85</v>
      </c>
      <c r="AR607">
        <v>35</v>
      </c>
      <c r="AS607">
        <v>2</v>
      </c>
      <c r="AT607">
        <v>23</v>
      </c>
      <c r="AU607">
        <v>1</v>
      </c>
      <c r="AV607">
        <v>0</v>
      </c>
      <c r="AW607">
        <v>10</v>
      </c>
      <c r="AX607">
        <v>1</v>
      </c>
      <c r="AY607">
        <v>5</v>
      </c>
      <c r="AZ607">
        <v>2</v>
      </c>
      <c r="BA607">
        <v>1</v>
      </c>
      <c r="BB607">
        <v>1440</v>
      </c>
      <c r="BC607">
        <v>0</v>
      </c>
      <c r="BD607">
        <v>0</v>
      </c>
      <c r="BE607">
        <v>14</v>
      </c>
      <c r="BF607">
        <v>25</v>
      </c>
      <c r="BG607">
        <v>3</v>
      </c>
      <c r="BH607">
        <v>8</v>
      </c>
      <c r="BI607">
        <v>3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0</v>
      </c>
      <c r="BQ607">
        <v>60</v>
      </c>
      <c r="BR607">
        <v>0</v>
      </c>
      <c r="BS607">
        <v>3</v>
      </c>
      <c r="BT607" t="s">
        <v>246</v>
      </c>
      <c r="BU607" t="s">
        <v>267</v>
      </c>
      <c r="BV607" t="b">
        <v>0</v>
      </c>
      <c r="BW607" t="s">
        <v>268</v>
      </c>
    </row>
    <row r="608" spans="1:75">
      <c r="A608" t="s">
        <v>246</v>
      </c>
      <c r="B608" t="s">
        <v>252</v>
      </c>
      <c r="C608">
        <v>962</v>
      </c>
      <c r="D608" t="s">
        <v>253</v>
      </c>
      <c r="E608" t="s">
        <v>254</v>
      </c>
      <c r="F608">
        <v>5</v>
      </c>
      <c r="G608" s="13">
        <v>46268.77547453704</v>
      </c>
      <c r="H608" s="13">
        <v>46268.775949074072</v>
      </c>
      <c r="I608">
        <v>41</v>
      </c>
      <c r="J608" t="s">
        <v>264</v>
      </c>
      <c r="K608">
        <v>1</v>
      </c>
      <c r="L608">
        <v>0.01</v>
      </c>
      <c r="M608">
        <v>0.01</v>
      </c>
      <c r="N608">
        <v>1</v>
      </c>
      <c r="O608">
        <v>0.01</v>
      </c>
      <c r="P608">
        <v>0.74</v>
      </c>
      <c r="Q608">
        <v>0.81</v>
      </c>
      <c r="R608">
        <v>0.62</v>
      </c>
      <c r="S608" t="s">
        <v>256</v>
      </c>
      <c r="T608" t="s">
        <v>257</v>
      </c>
      <c r="U608">
        <v>11</v>
      </c>
      <c r="V608">
        <v>7410.21</v>
      </c>
      <c r="W608">
        <v>4999.84</v>
      </c>
      <c r="X608">
        <v>4999.26</v>
      </c>
      <c r="Y608">
        <v>0</v>
      </c>
      <c r="Z608">
        <v>0</v>
      </c>
      <c r="AA608">
        <v>35</v>
      </c>
      <c r="AB608">
        <v>50</v>
      </c>
      <c r="AC608">
        <v>5000</v>
      </c>
      <c r="AD608">
        <v>0</v>
      </c>
      <c r="AE608">
        <v>0</v>
      </c>
      <c r="AF608">
        <v>7410.83</v>
      </c>
      <c r="AG608">
        <v>7410.83</v>
      </c>
      <c r="AH608" s="14">
        <v>46268</v>
      </c>
      <c r="AI608" t="s">
        <v>266</v>
      </c>
      <c r="AJ608" s="13">
        <v>46265.054768518516</v>
      </c>
      <c r="AK608">
        <v>6763.31</v>
      </c>
      <c r="AL608" t="s">
        <v>259</v>
      </c>
      <c r="AM608" t="s">
        <v>260</v>
      </c>
      <c r="AN608">
        <v>1400</v>
      </c>
      <c r="AO608">
        <v>0</v>
      </c>
      <c r="AP608">
        <v>35</v>
      </c>
      <c r="AQ608">
        <v>85</v>
      </c>
      <c r="AR608">
        <v>35</v>
      </c>
      <c r="AS608">
        <v>2</v>
      </c>
      <c r="AT608">
        <v>23</v>
      </c>
      <c r="AU608">
        <v>1</v>
      </c>
      <c r="AV608">
        <v>0</v>
      </c>
      <c r="AW608">
        <v>10</v>
      </c>
      <c r="AX608">
        <v>1</v>
      </c>
      <c r="AY608">
        <v>5</v>
      </c>
      <c r="AZ608">
        <v>2</v>
      </c>
      <c r="BA608">
        <v>1</v>
      </c>
      <c r="BB608">
        <v>1440</v>
      </c>
      <c r="BC608">
        <v>0</v>
      </c>
      <c r="BD608">
        <v>0</v>
      </c>
      <c r="BE608">
        <v>14</v>
      </c>
      <c r="BF608">
        <v>25</v>
      </c>
      <c r="BG608">
        <v>3</v>
      </c>
      <c r="BH608">
        <v>8</v>
      </c>
      <c r="BI608">
        <v>3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0</v>
      </c>
      <c r="BQ608">
        <v>60</v>
      </c>
      <c r="BR608">
        <v>0</v>
      </c>
      <c r="BS608">
        <v>3</v>
      </c>
      <c r="BT608" t="s">
        <v>246</v>
      </c>
      <c r="BU608" t="s">
        <v>267</v>
      </c>
      <c r="BV608" t="b">
        <v>0</v>
      </c>
      <c r="BW608" t="s">
        <v>268</v>
      </c>
    </row>
    <row r="609" spans="1:75">
      <c r="A609" t="s">
        <v>246</v>
      </c>
      <c r="B609" t="s">
        <v>252</v>
      </c>
      <c r="C609">
        <v>963</v>
      </c>
      <c r="D609" t="s">
        <v>253</v>
      </c>
      <c r="E609" t="s">
        <v>254</v>
      </c>
      <c r="F609">
        <v>5</v>
      </c>
      <c r="G609" s="13">
        <v>46268.781215277777</v>
      </c>
      <c r="H609" s="13">
        <v>46268.781597222223</v>
      </c>
      <c r="I609">
        <v>33</v>
      </c>
      <c r="J609" t="s">
        <v>264</v>
      </c>
      <c r="K609">
        <v>1</v>
      </c>
      <c r="L609">
        <v>0.01</v>
      </c>
      <c r="M609">
        <v>0.01</v>
      </c>
      <c r="N609">
        <v>1</v>
      </c>
      <c r="O609">
        <v>0.01</v>
      </c>
      <c r="P609">
        <v>0.78</v>
      </c>
      <c r="Q609">
        <v>0.94</v>
      </c>
      <c r="R609">
        <v>0.68</v>
      </c>
      <c r="S609" t="s">
        <v>256</v>
      </c>
      <c r="T609" t="s">
        <v>257</v>
      </c>
      <c r="U609">
        <v>10</v>
      </c>
      <c r="V609">
        <v>7410.66</v>
      </c>
      <c r="W609">
        <v>4999.83</v>
      </c>
      <c r="X609">
        <v>4999.22</v>
      </c>
      <c r="Y609">
        <v>0</v>
      </c>
      <c r="Z609">
        <v>0</v>
      </c>
      <c r="AA609">
        <v>35</v>
      </c>
      <c r="AB609">
        <v>50</v>
      </c>
      <c r="AC609">
        <v>5000</v>
      </c>
      <c r="AD609">
        <v>0</v>
      </c>
      <c r="AE609">
        <v>0</v>
      </c>
      <c r="AF609">
        <v>7411.42</v>
      </c>
      <c r="AG609">
        <v>7411.42</v>
      </c>
      <c r="AH609" s="14">
        <v>46268</v>
      </c>
      <c r="AI609" t="s">
        <v>266</v>
      </c>
      <c r="AJ609" s="13">
        <v>46265.054768518516</v>
      </c>
      <c r="AK609">
        <v>6763.31</v>
      </c>
      <c r="AL609" t="s">
        <v>259</v>
      </c>
      <c r="AM609" t="s">
        <v>260</v>
      </c>
      <c r="AN609">
        <v>1400</v>
      </c>
      <c r="AO609">
        <v>0</v>
      </c>
      <c r="AP609">
        <v>35</v>
      </c>
      <c r="AQ609">
        <v>85</v>
      </c>
      <c r="AR609">
        <v>35</v>
      </c>
      <c r="AS609">
        <v>2</v>
      </c>
      <c r="AT609">
        <v>23</v>
      </c>
      <c r="AU609">
        <v>1</v>
      </c>
      <c r="AV609">
        <v>0</v>
      </c>
      <c r="AW609">
        <v>10</v>
      </c>
      <c r="AX609">
        <v>1</v>
      </c>
      <c r="AY609">
        <v>5</v>
      </c>
      <c r="AZ609">
        <v>2</v>
      </c>
      <c r="BA609">
        <v>1</v>
      </c>
      <c r="BB609">
        <v>1440</v>
      </c>
      <c r="BC609">
        <v>0</v>
      </c>
      <c r="BD609">
        <v>0</v>
      </c>
      <c r="BE609">
        <v>14</v>
      </c>
      <c r="BF609">
        <v>25</v>
      </c>
      <c r="BG609">
        <v>3</v>
      </c>
      <c r="BH609">
        <v>8</v>
      </c>
      <c r="BI609">
        <v>3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0</v>
      </c>
      <c r="BQ609">
        <v>60</v>
      </c>
      <c r="BR609">
        <v>0</v>
      </c>
      <c r="BS609">
        <v>3</v>
      </c>
      <c r="BT609" t="s">
        <v>246</v>
      </c>
      <c r="BU609" t="s">
        <v>267</v>
      </c>
      <c r="BV609" t="b">
        <v>0</v>
      </c>
      <c r="BW609" t="s">
        <v>268</v>
      </c>
    </row>
    <row r="610" spans="1:75">
      <c r="A610" t="s">
        <v>246</v>
      </c>
      <c r="B610" t="s">
        <v>252</v>
      </c>
      <c r="C610">
        <v>964</v>
      </c>
      <c r="D610" t="s">
        <v>253</v>
      </c>
      <c r="E610" t="s">
        <v>254</v>
      </c>
      <c r="F610">
        <v>5</v>
      </c>
      <c r="G610" s="13">
        <v>46268.78197916667</v>
      </c>
      <c r="H610" s="13">
        <v>46268.782280092593</v>
      </c>
      <c r="I610">
        <v>26</v>
      </c>
      <c r="J610" t="s">
        <v>264</v>
      </c>
      <c r="K610">
        <v>1</v>
      </c>
      <c r="L610">
        <v>0.01</v>
      </c>
      <c r="M610">
        <v>0.01</v>
      </c>
      <c r="N610">
        <v>1</v>
      </c>
      <c r="O610">
        <v>0.01</v>
      </c>
      <c r="P610">
        <v>0.82</v>
      </c>
      <c r="Q610">
        <v>1.82</v>
      </c>
      <c r="R610">
        <v>1.79</v>
      </c>
      <c r="S610" t="s">
        <v>256</v>
      </c>
      <c r="T610" t="s">
        <v>257</v>
      </c>
      <c r="U610">
        <v>10</v>
      </c>
      <c r="V610">
        <v>7411.26</v>
      </c>
      <c r="W610">
        <v>4999.84</v>
      </c>
      <c r="X610">
        <v>4999.18</v>
      </c>
      <c r="Y610">
        <v>0</v>
      </c>
      <c r="Z610">
        <v>0</v>
      </c>
      <c r="AA610">
        <v>35</v>
      </c>
      <c r="AB610">
        <v>50</v>
      </c>
      <c r="AC610">
        <v>5000</v>
      </c>
      <c r="AD610">
        <v>0</v>
      </c>
      <c r="AE610">
        <v>0</v>
      </c>
      <c r="AF610">
        <v>7412.89</v>
      </c>
      <c r="AG610">
        <v>7412.89</v>
      </c>
      <c r="AH610" s="14">
        <v>46268</v>
      </c>
      <c r="AI610" t="s">
        <v>266</v>
      </c>
      <c r="AJ610" s="13">
        <v>46265.054768518516</v>
      </c>
      <c r="AK610">
        <v>6763.31</v>
      </c>
      <c r="AL610" t="s">
        <v>259</v>
      </c>
      <c r="AM610" t="s">
        <v>260</v>
      </c>
      <c r="AN610">
        <v>1400</v>
      </c>
      <c r="AO610">
        <v>0</v>
      </c>
      <c r="AP610">
        <v>35</v>
      </c>
      <c r="AQ610">
        <v>85</v>
      </c>
      <c r="AR610">
        <v>35</v>
      </c>
      <c r="AS610">
        <v>2</v>
      </c>
      <c r="AT610">
        <v>23</v>
      </c>
      <c r="AU610">
        <v>1</v>
      </c>
      <c r="AV610">
        <v>0</v>
      </c>
      <c r="AW610">
        <v>10</v>
      </c>
      <c r="AX610">
        <v>1</v>
      </c>
      <c r="AY610">
        <v>5</v>
      </c>
      <c r="AZ610">
        <v>2</v>
      </c>
      <c r="BA610">
        <v>1</v>
      </c>
      <c r="BB610">
        <v>1440</v>
      </c>
      <c r="BC610">
        <v>0</v>
      </c>
      <c r="BD610">
        <v>0</v>
      </c>
      <c r="BE610">
        <v>14</v>
      </c>
      <c r="BF610">
        <v>25</v>
      </c>
      <c r="BG610">
        <v>3</v>
      </c>
      <c r="BH610">
        <v>8</v>
      </c>
      <c r="BI610">
        <v>3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0</v>
      </c>
      <c r="BQ610">
        <v>60</v>
      </c>
      <c r="BR610">
        <v>0</v>
      </c>
      <c r="BS610">
        <v>3</v>
      </c>
      <c r="BT610" t="s">
        <v>246</v>
      </c>
      <c r="BU610" t="s">
        <v>267</v>
      </c>
      <c r="BV610" t="b">
        <v>0</v>
      </c>
      <c r="BW610" t="s">
        <v>268</v>
      </c>
    </row>
    <row r="611" spans="1:75">
      <c r="A611" t="s">
        <v>246</v>
      </c>
      <c r="B611" t="s">
        <v>252</v>
      </c>
      <c r="C611">
        <v>965</v>
      </c>
      <c r="D611" t="s">
        <v>253</v>
      </c>
      <c r="E611" t="s">
        <v>254</v>
      </c>
      <c r="F611">
        <v>5</v>
      </c>
      <c r="G611" s="13">
        <v>46268.785636574074</v>
      </c>
      <c r="H611" s="13">
        <v>46268.791828703703</v>
      </c>
      <c r="I611">
        <v>535</v>
      </c>
      <c r="J611" t="s">
        <v>255</v>
      </c>
      <c r="K611">
        <v>2</v>
      </c>
      <c r="L611">
        <v>0.02</v>
      </c>
      <c r="M611">
        <v>0.01</v>
      </c>
      <c r="N611">
        <v>2</v>
      </c>
      <c r="O611">
        <v>0.02</v>
      </c>
      <c r="P611">
        <v>5.54</v>
      </c>
      <c r="Q611">
        <v>5.25</v>
      </c>
      <c r="R611">
        <v>2.0499999999999998</v>
      </c>
      <c r="S611" t="s">
        <v>263</v>
      </c>
      <c r="T611" t="s">
        <v>257</v>
      </c>
      <c r="U611">
        <v>11</v>
      </c>
      <c r="V611">
        <v>7412.72</v>
      </c>
      <c r="W611">
        <v>4999.83</v>
      </c>
      <c r="X611">
        <v>4994.46</v>
      </c>
      <c r="Y611">
        <v>0</v>
      </c>
      <c r="Z611">
        <v>0</v>
      </c>
      <c r="AA611">
        <v>35</v>
      </c>
      <c r="AB611">
        <v>50</v>
      </c>
      <c r="AC611">
        <v>5000</v>
      </c>
      <c r="AD611">
        <v>0</v>
      </c>
      <c r="AE611">
        <v>0</v>
      </c>
      <c r="AF611">
        <v>7414.51</v>
      </c>
      <c r="AG611">
        <v>7414.51</v>
      </c>
      <c r="AH611" s="14">
        <v>46268</v>
      </c>
      <c r="AI611" t="s">
        <v>266</v>
      </c>
      <c r="AJ611" s="13">
        <v>46265.054768518516</v>
      </c>
      <c r="AK611">
        <v>6763.31</v>
      </c>
      <c r="AL611" t="s">
        <v>259</v>
      </c>
      <c r="AM611" t="s">
        <v>260</v>
      </c>
      <c r="AN611">
        <v>1400</v>
      </c>
      <c r="AO611">
        <v>0</v>
      </c>
      <c r="AP611">
        <v>35</v>
      </c>
      <c r="AQ611">
        <v>85</v>
      </c>
      <c r="AR611">
        <v>35</v>
      </c>
      <c r="AS611">
        <v>2</v>
      </c>
      <c r="AT611">
        <v>23</v>
      </c>
      <c r="AU611">
        <v>1</v>
      </c>
      <c r="AV611">
        <v>0</v>
      </c>
      <c r="AW611">
        <v>10</v>
      </c>
      <c r="AX611">
        <v>1</v>
      </c>
      <c r="AY611">
        <v>5</v>
      </c>
      <c r="AZ611">
        <v>2</v>
      </c>
      <c r="BA611">
        <v>1</v>
      </c>
      <c r="BB611">
        <v>1440</v>
      </c>
      <c r="BC611">
        <v>0</v>
      </c>
      <c r="BD611">
        <v>0</v>
      </c>
      <c r="BE611">
        <v>14</v>
      </c>
      <c r="BF611">
        <v>25</v>
      </c>
      <c r="BG611">
        <v>3</v>
      </c>
      <c r="BH611">
        <v>8</v>
      </c>
      <c r="BI611">
        <v>3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0</v>
      </c>
      <c r="BQ611">
        <v>60</v>
      </c>
      <c r="BR611">
        <v>0</v>
      </c>
      <c r="BS611">
        <v>3</v>
      </c>
      <c r="BT611" t="s">
        <v>246</v>
      </c>
      <c r="BU611" t="s">
        <v>267</v>
      </c>
      <c r="BV611" t="b">
        <v>0</v>
      </c>
      <c r="BW611" t="s">
        <v>268</v>
      </c>
    </row>
    <row r="612" spans="1:75">
      <c r="A612" t="s">
        <v>246</v>
      </c>
      <c r="B612" t="s">
        <v>252</v>
      </c>
      <c r="C612">
        <v>966</v>
      </c>
      <c r="D612" t="s">
        <v>253</v>
      </c>
      <c r="E612" t="s">
        <v>254</v>
      </c>
      <c r="F612">
        <v>5</v>
      </c>
      <c r="G612" s="13">
        <v>46268.797025462962</v>
      </c>
      <c r="H612" s="13">
        <v>46268.797569444447</v>
      </c>
      <c r="I612">
        <v>47</v>
      </c>
      <c r="J612" t="s">
        <v>255</v>
      </c>
      <c r="K612">
        <v>1</v>
      </c>
      <c r="L612">
        <v>0.01</v>
      </c>
      <c r="M612">
        <v>0.01</v>
      </c>
      <c r="N612">
        <v>1</v>
      </c>
      <c r="O612">
        <v>0.01</v>
      </c>
      <c r="P612">
        <v>0.31</v>
      </c>
      <c r="Q612">
        <v>1.3</v>
      </c>
      <c r="R612">
        <v>1.23</v>
      </c>
      <c r="S612" t="s">
        <v>256</v>
      </c>
      <c r="T612" t="s">
        <v>257</v>
      </c>
      <c r="U612">
        <v>11</v>
      </c>
      <c r="V612">
        <v>7414.34</v>
      </c>
      <c r="W612">
        <v>4999.83</v>
      </c>
      <c r="X612">
        <v>4999.6899999999996</v>
      </c>
      <c r="Y612">
        <v>0</v>
      </c>
      <c r="Z612">
        <v>0</v>
      </c>
      <c r="AA612">
        <v>35</v>
      </c>
      <c r="AB612">
        <v>50</v>
      </c>
      <c r="AC612">
        <v>5000</v>
      </c>
      <c r="AD612">
        <v>0</v>
      </c>
      <c r="AE612">
        <v>0</v>
      </c>
      <c r="AF612">
        <v>7415.46</v>
      </c>
      <c r="AG612">
        <v>7415.46</v>
      </c>
      <c r="AH612" s="14">
        <v>46268</v>
      </c>
      <c r="AI612" t="s">
        <v>266</v>
      </c>
      <c r="AJ612" s="13">
        <v>46265.054768518516</v>
      </c>
      <c r="AK612">
        <v>6763.31</v>
      </c>
      <c r="AL612" t="s">
        <v>259</v>
      </c>
      <c r="AM612" t="s">
        <v>260</v>
      </c>
      <c r="AN612">
        <v>1400</v>
      </c>
      <c r="AO612">
        <v>0</v>
      </c>
      <c r="AP612">
        <v>35</v>
      </c>
      <c r="AQ612">
        <v>85</v>
      </c>
      <c r="AR612">
        <v>35</v>
      </c>
      <c r="AS612">
        <v>2</v>
      </c>
      <c r="AT612">
        <v>23</v>
      </c>
      <c r="AU612">
        <v>1</v>
      </c>
      <c r="AV612">
        <v>0</v>
      </c>
      <c r="AW612">
        <v>10</v>
      </c>
      <c r="AX612">
        <v>1</v>
      </c>
      <c r="AY612">
        <v>5</v>
      </c>
      <c r="AZ612">
        <v>2</v>
      </c>
      <c r="BA612">
        <v>1</v>
      </c>
      <c r="BB612">
        <v>1440</v>
      </c>
      <c r="BC612">
        <v>0</v>
      </c>
      <c r="BD612">
        <v>0</v>
      </c>
      <c r="BE612">
        <v>14</v>
      </c>
      <c r="BF612">
        <v>25</v>
      </c>
      <c r="BG612">
        <v>3</v>
      </c>
      <c r="BH612">
        <v>8</v>
      </c>
      <c r="BI612">
        <v>3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0</v>
      </c>
      <c r="BQ612">
        <v>60</v>
      </c>
      <c r="BR612">
        <v>0</v>
      </c>
      <c r="BS612">
        <v>3</v>
      </c>
      <c r="BT612" t="s">
        <v>246</v>
      </c>
      <c r="BU612" t="s">
        <v>267</v>
      </c>
      <c r="BV612" t="b">
        <v>0</v>
      </c>
      <c r="BW612" t="s">
        <v>268</v>
      </c>
    </row>
    <row r="613" spans="1:75">
      <c r="A613" t="s">
        <v>246</v>
      </c>
      <c r="B613" t="s">
        <v>252</v>
      </c>
      <c r="C613">
        <v>967</v>
      </c>
      <c r="D613" t="s">
        <v>253</v>
      </c>
      <c r="E613" t="s">
        <v>254</v>
      </c>
      <c r="F613">
        <v>5</v>
      </c>
      <c r="G613" s="13">
        <v>46268.811319444445</v>
      </c>
      <c r="H613" s="13">
        <v>46268.812858796293</v>
      </c>
      <c r="I613">
        <v>133</v>
      </c>
      <c r="J613" t="s">
        <v>255</v>
      </c>
      <c r="K613">
        <v>1</v>
      </c>
      <c r="L613">
        <v>0.01</v>
      </c>
      <c r="M613">
        <v>0.01</v>
      </c>
      <c r="N613">
        <v>1</v>
      </c>
      <c r="O613">
        <v>0.01</v>
      </c>
      <c r="P613">
        <v>2.41</v>
      </c>
      <c r="Q613">
        <v>0.85</v>
      </c>
      <c r="R613">
        <v>0.8</v>
      </c>
      <c r="S613" t="s">
        <v>256</v>
      </c>
      <c r="T613" t="s">
        <v>257</v>
      </c>
      <c r="U613">
        <v>11</v>
      </c>
      <c r="V613">
        <v>7415.29</v>
      </c>
      <c r="W613">
        <v>4999.83</v>
      </c>
      <c r="X613">
        <v>4997.59</v>
      </c>
      <c r="Y613">
        <v>0</v>
      </c>
      <c r="Z613">
        <v>0</v>
      </c>
      <c r="AA613">
        <v>35</v>
      </c>
      <c r="AB613">
        <v>50</v>
      </c>
      <c r="AC613">
        <v>5000</v>
      </c>
      <c r="AD613">
        <v>0</v>
      </c>
      <c r="AE613">
        <v>0</v>
      </c>
      <c r="AF613">
        <v>7415.96</v>
      </c>
      <c r="AG613">
        <v>7415.96</v>
      </c>
      <c r="AH613" s="14">
        <v>46268</v>
      </c>
      <c r="AI613" t="s">
        <v>266</v>
      </c>
      <c r="AJ613" s="13">
        <v>46265.054768518516</v>
      </c>
      <c r="AK613">
        <v>6763.31</v>
      </c>
      <c r="AL613" t="s">
        <v>259</v>
      </c>
      <c r="AM613" t="s">
        <v>260</v>
      </c>
      <c r="AN613">
        <v>1400</v>
      </c>
      <c r="AO613">
        <v>0</v>
      </c>
      <c r="AP613">
        <v>35</v>
      </c>
      <c r="AQ613">
        <v>85</v>
      </c>
      <c r="AR613">
        <v>35</v>
      </c>
      <c r="AS613">
        <v>2</v>
      </c>
      <c r="AT613">
        <v>23</v>
      </c>
      <c r="AU613">
        <v>1</v>
      </c>
      <c r="AV613">
        <v>0</v>
      </c>
      <c r="AW613">
        <v>10</v>
      </c>
      <c r="AX613">
        <v>1</v>
      </c>
      <c r="AY613">
        <v>5</v>
      </c>
      <c r="AZ613">
        <v>2</v>
      </c>
      <c r="BA613">
        <v>1</v>
      </c>
      <c r="BB613">
        <v>1440</v>
      </c>
      <c r="BC613">
        <v>0</v>
      </c>
      <c r="BD613">
        <v>0</v>
      </c>
      <c r="BE613">
        <v>14</v>
      </c>
      <c r="BF613">
        <v>25</v>
      </c>
      <c r="BG613">
        <v>3</v>
      </c>
      <c r="BH613">
        <v>8</v>
      </c>
      <c r="BI613">
        <v>3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0</v>
      </c>
      <c r="BQ613">
        <v>60</v>
      </c>
      <c r="BR613">
        <v>0</v>
      </c>
      <c r="BS613">
        <v>3</v>
      </c>
      <c r="BT613" t="s">
        <v>246</v>
      </c>
      <c r="BU613" t="s">
        <v>267</v>
      </c>
      <c r="BV613" t="b">
        <v>0</v>
      </c>
      <c r="BW613" t="s">
        <v>268</v>
      </c>
    </row>
    <row r="614" spans="1:75">
      <c r="A614" t="s">
        <v>246</v>
      </c>
      <c r="B614" t="s">
        <v>252</v>
      </c>
      <c r="C614">
        <v>968</v>
      </c>
      <c r="D614" t="s">
        <v>253</v>
      </c>
      <c r="E614" t="s">
        <v>254</v>
      </c>
      <c r="F614">
        <v>5</v>
      </c>
      <c r="G614" s="13">
        <v>46268.813946759263</v>
      </c>
      <c r="H614" s="13">
        <v>46268.814247685186</v>
      </c>
      <c r="I614">
        <v>26</v>
      </c>
      <c r="J614" t="s">
        <v>264</v>
      </c>
      <c r="K614">
        <v>1</v>
      </c>
      <c r="L614">
        <v>0.01</v>
      </c>
      <c r="M614">
        <v>0.01</v>
      </c>
      <c r="N614">
        <v>1</v>
      </c>
      <c r="O614">
        <v>0.01</v>
      </c>
      <c r="P614">
        <v>0.32</v>
      </c>
      <c r="Q614">
        <v>2.2200000000000002</v>
      </c>
      <c r="R614">
        <v>2.1</v>
      </c>
      <c r="S614" t="s">
        <v>256</v>
      </c>
      <c r="T614" t="s">
        <v>257</v>
      </c>
      <c r="U614">
        <v>11</v>
      </c>
      <c r="V614">
        <v>7415.8</v>
      </c>
      <c r="W614">
        <v>4999.84</v>
      </c>
      <c r="X614">
        <v>4999.68</v>
      </c>
      <c r="Y614">
        <v>0</v>
      </c>
      <c r="Z614">
        <v>0</v>
      </c>
      <c r="AA614">
        <v>35</v>
      </c>
      <c r="AB614">
        <v>50</v>
      </c>
      <c r="AC614">
        <v>5000</v>
      </c>
      <c r="AD614">
        <v>0</v>
      </c>
      <c r="AE614">
        <v>0</v>
      </c>
      <c r="AF614">
        <v>7417.83</v>
      </c>
      <c r="AG614">
        <v>7417.83</v>
      </c>
      <c r="AH614" s="14">
        <v>46268</v>
      </c>
      <c r="AI614" t="s">
        <v>266</v>
      </c>
      <c r="AJ614" s="13">
        <v>46265.054768518516</v>
      </c>
      <c r="AK614">
        <v>6763.31</v>
      </c>
      <c r="AL614" t="s">
        <v>259</v>
      </c>
      <c r="AM614" t="s">
        <v>260</v>
      </c>
      <c r="AN614">
        <v>1400</v>
      </c>
      <c r="AO614">
        <v>0</v>
      </c>
      <c r="AP614">
        <v>35</v>
      </c>
      <c r="AQ614">
        <v>85</v>
      </c>
      <c r="AR614">
        <v>35</v>
      </c>
      <c r="AS614">
        <v>2</v>
      </c>
      <c r="AT614">
        <v>23</v>
      </c>
      <c r="AU614">
        <v>1</v>
      </c>
      <c r="AV614">
        <v>0</v>
      </c>
      <c r="AW614">
        <v>10</v>
      </c>
      <c r="AX614">
        <v>1</v>
      </c>
      <c r="AY614">
        <v>5</v>
      </c>
      <c r="AZ614">
        <v>2</v>
      </c>
      <c r="BA614">
        <v>1</v>
      </c>
      <c r="BB614">
        <v>1440</v>
      </c>
      <c r="BC614">
        <v>0</v>
      </c>
      <c r="BD614">
        <v>0</v>
      </c>
      <c r="BE614">
        <v>14</v>
      </c>
      <c r="BF614">
        <v>25</v>
      </c>
      <c r="BG614">
        <v>3</v>
      </c>
      <c r="BH614">
        <v>8</v>
      </c>
      <c r="BI614">
        <v>3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0</v>
      </c>
      <c r="BQ614">
        <v>60</v>
      </c>
      <c r="BR614">
        <v>0</v>
      </c>
      <c r="BS614">
        <v>3</v>
      </c>
      <c r="BT614" t="s">
        <v>246</v>
      </c>
      <c r="BU614" t="s">
        <v>267</v>
      </c>
      <c r="BV614" t="b">
        <v>0</v>
      </c>
      <c r="BW614" t="s">
        <v>268</v>
      </c>
    </row>
    <row r="615" spans="1:75">
      <c r="A615" t="s">
        <v>246</v>
      </c>
      <c r="B615" t="s">
        <v>252</v>
      </c>
      <c r="C615">
        <v>969</v>
      </c>
      <c r="D615" t="s">
        <v>253</v>
      </c>
      <c r="E615" t="s">
        <v>254</v>
      </c>
      <c r="F615">
        <v>5</v>
      </c>
      <c r="G615" s="13">
        <v>46268.821620370371</v>
      </c>
      <c r="H615" s="13">
        <v>46268.834108796298</v>
      </c>
      <c r="I615">
        <v>1079</v>
      </c>
      <c r="J615" t="s">
        <v>264</v>
      </c>
      <c r="K615">
        <v>3</v>
      </c>
      <c r="L615">
        <v>0.03</v>
      </c>
      <c r="M615">
        <v>0.01</v>
      </c>
      <c r="N615">
        <v>3</v>
      </c>
      <c r="O615">
        <v>0.03</v>
      </c>
      <c r="P615">
        <v>5.99</v>
      </c>
      <c r="Q615">
        <v>8.4700000000000006</v>
      </c>
      <c r="R615">
        <v>6.46</v>
      </c>
      <c r="S615" t="s">
        <v>263</v>
      </c>
      <c r="T615" t="s">
        <v>257</v>
      </c>
      <c r="U615">
        <v>10</v>
      </c>
      <c r="V615">
        <v>7417.67</v>
      </c>
      <c r="W615">
        <v>4999.84</v>
      </c>
      <c r="X615">
        <v>4994.01</v>
      </c>
      <c r="Y615">
        <v>0</v>
      </c>
      <c r="Z615">
        <v>0</v>
      </c>
      <c r="AA615">
        <v>35</v>
      </c>
      <c r="AB615">
        <v>50</v>
      </c>
      <c r="AC615">
        <v>5000</v>
      </c>
      <c r="AD615">
        <v>0</v>
      </c>
      <c r="AE615">
        <v>0</v>
      </c>
      <c r="AF615">
        <v>7423.25</v>
      </c>
      <c r="AG615">
        <v>7423.25</v>
      </c>
      <c r="AH615" s="14">
        <v>46268</v>
      </c>
      <c r="AI615" t="s">
        <v>266</v>
      </c>
      <c r="AJ615" s="13">
        <v>46265.054768518516</v>
      </c>
      <c r="AK615">
        <v>6763.31</v>
      </c>
      <c r="AL615" t="s">
        <v>259</v>
      </c>
      <c r="AM615" t="s">
        <v>260</v>
      </c>
      <c r="AN615">
        <v>1400</v>
      </c>
      <c r="AO615">
        <v>0</v>
      </c>
      <c r="AP615">
        <v>35</v>
      </c>
      <c r="AQ615">
        <v>85</v>
      </c>
      <c r="AR615">
        <v>35</v>
      </c>
      <c r="AS615">
        <v>2</v>
      </c>
      <c r="AT615">
        <v>23</v>
      </c>
      <c r="AU615">
        <v>1</v>
      </c>
      <c r="AV615">
        <v>0</v>
      </c>
      <c r="AW615">
        <v>10</v>
      </c>
      <c r="AX615">
        <v>1</v>
      </c>
      <c r="AY615">
        <v>5</v>
      </c>
      <c r="AZ615">
        <v>2</v>
      </c>
      <c r="BA615">
        <v>1</v>
      </c>
      <c r="BB615">
        <v>1440</v>
      </c>
      <c r="BC615">
        <v>0</v>
      </c>
      <c r="BD615">
        <v>0</v>
      </c>
      <c r="BE615">
        <v>14</v>
      </c>
      <c r="BF615">
        <v>25</v>
      </c>
      <c r="BG615">
        <v>3</v>
      </c>
      <c r="BH615">
        <v>8</v>
      </c>
      <c r="BI615">
        <v>3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0</v>
      </c>
      <c r="BQ615">
        <v>60</v>
      </c>
      <c r="BR615">
        <v>0</v>
      </c>
      <c r="BS615">
        <v>3</v>
      </c>
      <c r="BT615" t="s">
        <v>246</v>
      </c>
      <c r="BU615" t="s">
        <v>267</v>
      </c>
      <c r="BV615" t="b">
        <v>0</v>
      </c>
      <c r="BW615" t="s">
        <v>268</v>
      </c>
    </row>
    <row r="616" spans="1:75">
      <c r="A616" t="s">
        <v>246</v>
      </c>
      <c r="B616" t="s">
        <v>252</v>
      </c>
      <c r="C616">
        <v>970</v>
      </c>
      <c r="D616" t="s">
        <v>253</v>
      </c>
      <c r="E616" t="s">
        <v>254</v>
      </c>
      <c r="F616">
        <v>5</v>
      </c>
      <c r="G616" s="13">
        <v>46268.83525462963</v>
      </c>
      <c r="H616" s="13">
        <v>46268.879293981481</v>
      </c>
      <c r="I616">
        <v>3805</v>
      </c>
      <c r="J616" t="s">
        <v>264</v>
      </c>
      <c r="K616">
        <v>4</v>
      </c>
      <c r="L616">
        <v>0.04</v>
      </c>
      <c r="M616">
        <v>0.01</v>
      </c>
      <c r="N616">
        <v>4</v>
      </c>
      <c r="O616">
        <v>0.04</v>
      </c>
      <c r="P616">
        <v>10.8</v>
      </c>
      <c r="Q616">
        <v>8.69</v>
      </c>
      <c r="R616">
        <v>6.69</v>
      </c>
      <c r="S616" t="s">
        <v>263</v>
      </c>
      <c r="T616" t="s">
        <v>257</v>
      </c>
      <c r="U616">
        <v>11</v>
      </c>
      <c r="V616">
        <v>7423.09</v>
      </c>
      <c r="W616">
        <v>4999.84</v>
      </c>
      <c r="X616">
        <v>4989.2</v>
      </c>
      <c r="Y616">
        <v>0</v>
      </c>
      <c r="Z616">
        <v>0</v>
      </c>
      <c r="AA616">
        <v>35</v>
      </c>
      <c r="AB616">
        <v>50</v>
      </c>
      <c r="AC616">
        <v>5000</v>
      </c>
      <c r="AD616">
        <v>0</v>
      </c>
      <c r="AE616">
        <v>0</v>
      </c>
      <c r="AF616">
        <v>7429.73</v>
      </c>
      <c r="AG616">
        <v>7429.73</v>
      </c>
      <c r="AH616" s="14">
        <v>46268</v>
      </c>
      <c r="AI616" t="s">
        <v>266</v>
      </c>
      <c r="AJ616" s="13">
        <v>46265.054768518516</v>
      </c>
      <c r="AK616">
        <v>6763.31</v>
      </c>
      <c r="AL616" t="s">
        <v>259</v>
      </c>
      <c r="AM616" t="s">
        <v>260</v>
      </c>
      <c r="AN616">
        <v>1400</v>
      </c>
      <c r="AO616">
        <v>0</v>
      </c>
      <c r="AP616">
        <v>35</v>
      </c>
      <c r="AQ616">
        <v>85</v>
      </c>
      <c r="AR616">
        <v>35</v>
      </c>
      <c r="AS616">
        <v>2</v>
      </c>
      <c r="AT616">
        <v>23</v>
      </c>
      <c r="AU616">
        <v>1</v>
      </c>
      <c r="AV616">
        <v>0</v>
      </c>
      <c r="AW616">
        <v>10</v>
      </c>
      <c r="AX616">
        <v>1</v>
      </c>
      <c r="AY616">
        <v>5</v>
      </c>
      <c r="AZ616">
        <v>2</v>
      </c>
      <c r="BA616">
        <v>1</v>
      </c>
      <c r="BB616">
        <v>1440</v>
      </c>
      <c r="BC616">
        <v>0</v>
      </c>
      <c r="BD616">
        <v>0</v>
      </c>
      <c r="BE616">
        <v>14</v>
      </c>
      <c r="BF616">
        <v>25</v>
      </c>
      <c r="BG616">
        <v>3</v>
      </c>
      <c r="BH616">
        <v>8</v>
      </c>
      <c r="BI616">
        <v>3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0</v>
      </c>
      <c r="BQ616">
        <v>60</v>
      </c>
      <c r="BR616">
        <v>0</v>
      </c>
      <c r="BS616">
        <v>3</v>
      </c>
      <c r="BT616" t="s">
        <v>246</v>
      </c>
      <c r="BU616" t="s">
        <v>267</v>
      </c>
      <c r="BV616" t="b">
        <v>0</v>
      </c>
      <c r="BW616" t="s">
        <v>268</v>
      </c>
    </row>
    <row r="617" spans="1:75">
      <c r="A617" t="s">
        <v>246</v>
      </c>
      <c r="B617" t="s">
        <v>252</v>
      </c>
      <c r="C617">
        <v>971</v>
      </c>
      <c r="D617" t="s">
        <v>253</v>
      </c>
      <c r="E617" t="s">
        <v>254</v>
      </c>
      <c r="F617">
        <v>5</v>
      </c>
      <c r="G617" s="13">
        <v>46268.884016203701</v>
      </c>
      <c r="H617" s="13">
        <v>46268.885231481479</v>
      </c>
      <c r="I617">
        <v>105</v>
      </c>
      <c r="J617" t="s">
        <v>264</v>
      </c>
      <c r="K617">
        <v>1</v>
      </c>
      <c r="L617">
        <v>0.01</v>
      </c>
      <c r="M617">
        <v>0.01</v>
      </c>
      <c r="N617">
        <v>1</v>
      </c>
      <c r="O617">
        <v>0.01</v>
      </c>
      <c r="P617">
        <v>0.99</v>
      </c>
      <c r="Q617">
        <v>0.96</v>
      </c>
      <c r="R617">
        <v>0.68</v>
      </c>
      <c r="S617" t="s">
        <v>256</v>
      </c>
      <c r="T617" t="s">
        <v>257</v>
      </c>
      <c r="U617">
        <v>10</v>
      </c>
      <c r="V617">
        <v>7429.57</v>
      </c>
      <c r="W617">
        <v>4999.84</v>
      </c>
      <c r="X617">
        <v>4999.01</v>
      </c>
      <c r="Y617">
        <v>0</v>
      </c>
      <c r="Z617">
        <v>0</v>
      </c>
      <c r="AA617">
        <v>35</v>
      </c>
      <c r="AB617">
        <v>50</v>
      </c>
      <c r="AC617">
        <v>5000</v>
      </c>
      <c r="AD617">
        <v>0</v>
      </c>
      <c r="AE617">
        <v>0</v>
      </c>
      <c r="AF617">
        <v>7430.34</v>
      </c>
      <c r="AG617">
        <v>7430.34</v>
      </c>
      <c r="AH617" s="14">
        <v>46268</v>
      </c>
      <c r="AI617" t="s">
        <v>266</v>
      </c>
      <c r="AJ617" s="13">
        <v>46265.054768518516</v>
      </c>
      <c r="AK617">
        <v>6763.31</v>
      </c>
      <c r="AL617" t="s">
        <v>259</v>
      </c>
      <c r="AM617" t="s">
        <v>260</v>
      </c>
      <c r="AN617">
        <v>1400</v>
      </c>
      <c r="AO617">
        <v>0</v>
      </c>
      <c r="AP617">
        <v>35</v>
      </c>
      <c r="AQ617">
        <v>85</v>
      </c>
      <c r="AR617">
        <v>35</v>
      </c>
      <c r="AS617">
        <v>2</v>
      </c>
      <c r="AT617">
        <v>23</v>
      </c>
      <c r="AU617">
        <v>1</v>
      </c>
      <c r="AV617">
        <v>0</v>
      </c>
      <c r="AW617">
        <v>10</v>
      </c>
      <c r="AX617">
        <v>1</v>
      </c>
      <c r="AY617">
        <v>5</v>
      </c>
      <c r="AZ617">
        <v>2</v>
      </c>
      <c r="BA617">
        <v>1</v>
      </c>
      <c r="BB617">
        <v>1440</v>
      </c>
      <c r="BC617">
        <v>0</v>
      </c>
      <c r="BD617">
        <v>0</v>
      </c>
      <c r="BE617">
        <v>14</v>
      </c>
      <c r="BF617">
        <v>25</v>
      </c>
      <c r="BG617">
        <v>3</v>
      </c>
      <c r="BH617">
        <v>8</v>
      </c>
      <c r="BI617">
        <v>3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0</v>
      </c>
      <c r="BQ617">
        <v>60</v>
      </c>
      <c r="BR617">
        <v>0</v>
      </c>
      <c r="BS617">
        <v>3</v>
      </c>
      <c r="BT617" t="s">
        <v>246</v>
      </c>
      <c r="BU617" t="s">
        <v>267</v>
      </c>
      <c r="BV617" t="b">
        <v>0</v>
      </c>
      <c r="BW617" t="s">
        <v>268</v>
      </c>
    </row>
    <row r="618" spans="1:75">
      <c r="A618" t="s">
        <v>246</v>
      </c>
      <c r="B618" t="s">
        <v>252</v>
      </c>
      <c r="C618">
        <v>972</v>
      </c>
      <c r="D618" t="s">
        <v>253</v>
      </c>
      <c r="E618" t="s">
        <v>254</v>
      </c>
      <c r="F618">
        <v>5</v>
      </c>
      <c r="G618" s="13">
        <v>46268.891412037039</v>
      </c>
      <c r="H618" s="13">
        <v>46268.891701388886</v>
      </c>
      <c r="I618">
        <v>25</v>
      </c>
      <c r="J618" t="s">
        <v>264</v>
      </c>
      <c r="K618">
        <v>1</v>
      </c>
      <c r="L618">
        <v>0.01</v>
      </c>
      <c r="M618">
        <v>0.01</v>
      </c>
      <c r="N618">
        <v>1</v>
      </c>
      <c r="O618">
        <v>0.01</v>
      </c>
      <c r="P618">
        <v>0.21</v>
      </c>
      <c r="Q618">
        <v>1.42</v>
      </c>
      <c r="R618">
        <v>1.1499999999999999</v>
      </c>
      <c r="S618" t="s">
        <v>256</v>
      </c>
      <c r="T618" t="s">
        <v>257</v>
      </c>
      <c r="U618">
        <v>10</v>
      </c>
      <c r="V618">
        <v>7430.18</v>
      </c>
      <c r="W618">
        <v>4999.84</v>
      </c>
      <c r="X618">
        <v>4999.79</v>
      </c>
      <c r="Y618">
        <v>0</v>
      </c>
      <c r="Z618">
        <v>0</v>
      </c>
      <c r="AA618">
        <v>35</v>
      </c>
      <c r="AB618">
        <v>50</v>
      </c>
      <c r="AC618">
        <v>5000</v>
      </c>
      <c r="AD618">
        <v>0</v>
      </c>
      <c r="AE618">
        <v>0</v>
      </c>
      <c r="AF618">
        <v>7431.41</v>
      </c>
      <c r="AG618">
        <v>7431.41</v>
      </c>
      <c r="AH618" s="14">
        <v>46268</v>
      </c>
      <c r="AI618" t="s">
        <v>266</v>
      </c>
      <c r="AJ618" s="13">
        <v>46265.054768518516</v>
      </c>
      <c r="AK618">
        <v>6763.31</v>
      </c>
      <c r="AL618" t="s">
        <v>259</v>
      </c>
      <c r="AM618" t="s">
        <v>260</v>
      </c>
      <c r="AN618">
        <v>1400</v>
      </c>
      <c r="AO618">
        <v>0</v>
      </c>
      <c r="AP618">
        <v>35</v>
      </c>
      <c r="AQ618">
        <v>85</v>
      </c>
      <c r="AR618">
        <v>35</v>
      </c>
      <c r="AS618">
        <v>2</v>
      </c>
      <c r="AT618">
        <v>23</v>
      </c>
      <c r="AU618">
        <v>1</v>
      </c>
      <c r="AV618">
        <v>0</v>
      </c>
      <c r="AW618">
        <v>10</v>
      </c>
      <c r="AX618">
        <v>1</v>
      </c>
      <c r="AY618">
        <v>5</v>
      </c>
      <c r="AZ618">
        <v>2</v>
      </c>
      <c r="BA618">
        <v>1</v>
      </c>
      <c r="BB618">
        <v>1440</v>
      </c>
      <c r="BC618">
        <v>0</v>
      </c>
      <c r="BD618">
        <v>0</v>
      </c>
      <c r="BE618">
        <v>14</v>
      </c>
      <c r="BF618">
        <v>25</v>
      </c>
      <c r="BG618">
        <v>3</v>
      </c>
      <c r="BH618">
        <v>8</v>
      </c>
      <c r="BI618">
        <v>3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0</v>
      </c>
      <c r="BQ618">
        <v>60</v>
      </c>
      <c r="BR618">
        <v>0</v>
      </c>
      <c r="BS618">
        <v>3</v>
      </c>
      <c r="BT618" t="s">
        <v>246</v>
      </c>
      <c r="BU618" t="s">
        <v>267</v>
      </c>
      <c r="BV618" t="b">
        <v>0</v>
      </c>
      <c r="BW618" t="s">
        <v>268</v>
      </c>
    </row>
    <row r="619" spans="1:75">
      <c r="A619" t="s">
        <v>246</v>
      </c>
      <c r="B619" t="s">
        <v>252</v>
      </c>
      <c r="C619">
        <v>973</v>
      </c>
      <c r="D619" t="s">
        <v>253</v>
      </c>
      <c r="E619" t="s">
        <v>254</v>
      </c>
      <c r="F619">
        <v>5</v>
      </c>
      <c r="G619" s="13">
        <v>46268.89508101852</v>
      </c>
      <c r="H619" s="13">
        <v>46268.895844907405</v>
      </c>
      <c r="I619">
        <v>66</v>
      </c>
      <c r="J619" t="s">
        <v>264</v>
      </c>
      <c r="K619">
        <v>1</v>
      </c>
      <c r="L619">
        <v>0.01</v>
      </c>
      <c r="M619">
        <v>0.01</v>
      </c>
      <c r="N619">
        <v>1</v>
      </c>
      <c r="O619">
        <v>0.01</v>
      </c>
      <c r="P619">
        <v>0.52</v>
      </c>
      <c r="Q619">
        <v>1.1100000000000001</v>
      </c>
      <c r="R619">
        <v>1.1100000000000001</v>
      </c>
      <c r="S619" t="s">
        <v>256</v>
      </c>
      <c r="T619" t="s">
        <v>257</v>
      </c>
      <c r="U619">
        <v>10</v>
      </c>
      <c r="V619">
        <v>7431.25</v>
      </c>
      <c r="W619">
        <v>4999.84</v>
      </c>
      <c r="X619">
        <v>4999.4799999999996</v>
      </c>
      <c r="Y619">
        <v>0</v>
      </c>
      <c r="Z619">
        <v>0</v>
      </c>
      <c r="AA619">
        <v>35</v>
      </c>
      <c r="AB619">
        <v>50</v>
      </c>
      <c r="AC619">
        <v>5000</v>
      </c>
      <c r="AD619">
        <v>0</v>
      </c>
      <c r="AE619">
        <v>0</v>
      </c>
      <c r="AF619">
        <v>7432.17</v>
      </c>
      <c r="AG619">
        <v>7432.17</v>
      </c>
      <c r="AH619" s="14">
        <v>46268</v>
      </c>
      <c r="AI619" t="s">
        <v>266</v>
      </c>
      <c r="AJ619" s="13">
        <v>46265.054768518516</v>
      </c>
      <c r="AK619">
        <v>6763.31</v>
      </c>
      <c r="AL619" t="s">
        <v>259</v>
      </c>
      <c r="AM619" t="s">
        <v>260</v>
      </c>
      <c r="AN619">
        <v>1400</v>
      </c>
      <c r="AO619">
        <v>0</v>
      </c>
      <c r="AP619">
        <v>35</v>
      </c>
      <c r="AQ619">
        <v>85</v>
      </c>
      <c r="AR619">
        <v>35</v>
      </c>
      <c r="AS619">
        <v>2</v>
      </c>
      <c r="AT619">
        <v>23</v>
      </c>
      <c r="AU619">
        <v>1</v>
      </c>
      <c r="AV619">
        <v>0</v>
      </c>
      <c r="AW619">
        <v>10</v>
      </c>
      <c r="AX619">
        <v>1</v>
      </c>
      <c r="AY619">
        <v>5</v>
      </c>
      <c r="AZ619">
        <v>2</v>
      </c>
      <c r="BA619">
        <v>1</v>
      </c>
      <c r="BB619">
        <v>1440</v>
      </c>
      <c r="BC619">
        <v>0</v>
      </c>
      <c r="BD619">
        <v>0</v>
      </c>
      <c r="BE619">
        <v>14</v>
      </c>
      <c r="BF619">
        <v>25</v>
      </c>
      <c r="BG619">
        <v>3</v>
      </c>
      <c r="BH619">
        <v>8</v>
      </c>
      <c r="BI619">
        <v>3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0</v>
      </c>
      <c r="BQ619">
        <v>60</v>
      </c>
      <c r="BR619">
        <v>0</v>
      </c>
      <c r="BS619">
        <v>3</v>
      </c>
      <c r="BT619" t="s">
        <v>246</v>
      </c>
      <c r="BU619" t="s">
        <v>267</v>
      </c>
      <c r="BV619" t="b">
        <v>0</v>
      </c>
      <c r="BW619" t="s">
        <v>268</v>
      </c>
    </row>
    <row r="620" spans="1:75">
      <c r="A620" t="s">
        <v>246</v>
      </c>
      <c r="B620" t="s">
        <v>252</v>
      </c>
      <c r="C620">
        <v>974</v>
      </c>
      <c r="D620" t="s">
        <v>253</v>
      </c>
      <c r="E620" t="s">
        <v>254</v>
      </c>
      <c r="F620">
        <v>5</v>
      </c>
      <c r="G620" s="13">
        <v>46268.896724537037</v>
      </c>
      <c r="H620" s="13">
        <v>46268.897280092591</v>
      </c>
      <c r="I620">
        <v>48</v>
      </c>
      <c r="J620" t="s">
        <v>264</v>
      </c>
      <c r="K620">
        <v>1</v>
      </c>
      <c r="L620">
        <v>0.01</v>
      </c>
      <c r="M620">
        <v>0.01</v>
      </c>
      <c r="N620">
        <v>1</v>
      </c>
      <c r="O620">
        <v>0.01</v>
      </c>
      <c r="P620">
        <v>0.78</v>
      </c>
      <c r="Q620">
        <v>0.96</v>
      </c>
      <c r="R620">
        <v>0.79</v>
      </c>
      <c r="S620" t="s">
        <v>256</v>
      </c>
      <c r="T620" t="s">
        <v>257</v>
      </c>
      <c r="U620">
        <v>11</v>
      </c>
      <c r="V620">
        <v>7432.01</v>
      </c>
      <c r="W620">
        <v>4999.84</v>
      </c>
      <c r="X620">
        <v>4999.22</v>
      </c>
      <c r="Y620">
        <v>0</v>
      </c>
      <c r="Z620">
        <v>0</v>
      </c>
      <c r="AA620">
        <v>35</v>
      </c>
      <c r="AB620">
        <v>50</v>
      </c>
      <c r="AC620">
        <v>5000</v>
      </c>
      <c r="AD620">
        <v>0</v>
      </c>
      <c r="AE620">
        <v>0</v>
      </c>
      <c r="AF620">
        <v>7432.78</v>
      </c>
      <c r="AG620">
        <v>7432.78</v>
      </c>
      <c r="AH620" s="14">
        <v>46268</v>
      </c>
      <c r="AI620" t="s">
        <v>266</v>
      </c>
      <c r="AJ620" s="13">
        <v>46265.054768518516</v>
      </c>
      <c r="AK620">
        <v>6763.31</v>
      </c>
      <c r="AL620" t="s">
        <v>259</v>
      </c>
      <c r="AM620" t="s">
        <v>260</v>
      </c>
      <c r="AN620">
        <v>1400</v>
      </c>
      <c r="AO620">
        <v>0</v>
      </c>
      <c r="AP620">
        <v>35</v>
      </c>
      <c r="AQ620">
        <v>85</v>
      </c>
      <c r="AR620">
        <v>35</v>
      </c>
      <c r="AS620">
        <v>2</v>
      </c>
      <c r="AT620">
        <v>23</v>
      </c>
      <c r="AU620">
        <v>1</v>
      </c>
      <c r="AV620">
        <v>0</v>
      </c>
      <c r="AW620">
        <v>10</v>
      </c>
      <c r="AX620">
        <v>1</v>
      </c>
      <c r="AY620">
        <v>5</v>
      </c>
      <c r="AZ620">
        <v>2</v>
      </c>
      <c r="BA620">
        <v>1</v>
      </c>
      <c r="BB620">
        <v>1440</v>
      </c>
      <c r="BC620">
        <v>0</v>
      </c>
      <c r="BD620">
        <v>0</v>
      </c>
      <c r="BE620">
        <v>14</v>
      </c>
      <c r="BF620">
        <v>25</v>
      </c>
      <c r="BG620">
        <v>3</v>
      </c>
      <c r="BH620">
        <v>8</v>
      </c>
      <c r="BI620">
        <v>3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0</v>
      </c>
      <c r="BQ620">
        <v>60</v>
      </c>
      <c r="BR620">
        <v>0</v>
      </c>
      <c r="BS620">
        <v>3</v>
      </c>
      <c r="BT620" t="s">
        <v>246</v>
      </c>
      <c r="BU620" t="s">
        <v>267</v>
      </c>
      <c r="BV620" t="b">
        <v>0</v>
      </c>
      <c r="BW620" t="s">
        <v>268</v>
      </c>
    </row>
    <row r="621" spans="1:75">
      <c r="A621" t="s">
        <v>246</v>
      </c>
      <c r="B621" t="s">
        <v>252</v>
      </c>
      <c r="C621">
        <v>975</v>
      </c>
      <c r="D621" t="s">
        <v>253</v>
      </c>
      <c r="E621" t="s">
        <v>254</v>
      </c>
      <c r="F621">
        <v>5</v>
      </c>
      <c r="G621" s="13">
        <v>46268.901493055557</v>
      </c>
      <c r="H621" s="13">
        <v>46269.12537037037</v>
      </c>
      <c r="I621">
        <v>19343</v>
      </c>
      <c r="J621" t="s">
        <v>255</v>
      </c>
      <c r="K621">
        <v>5</v>
      </c>
      <c r="L621">
        <v>0.05</v>
      </c>
      <c r="M621">
        <v>0.01</v>
      </c>
      <c r="N621">
        <v>5</v>
      </c>
      <c r="O621">
        <v>0.05</v>
      </c>
      <c r="P621">
        <v>24.66</v>
      </c>
      <c r="Q621">
        <v>5.0999999999999996</v>
      </c>
      <c r="R621">
        <v>3.05</v>
      </c>
      <c r="S621" t="s">
        <v>263</v>
      </c>
      <c r="T621" t="s">
        <v>257</v>
      </c>
      <c r="U621">
        <v>11</v>
      </c>
      <c r="V621">
        <v>7425.37</v>
      </c>
      <c r="W621">
        <v>4992.59</v>
      </c>
      <c r="X621">
        <v>4975.34</v>
      </c>
      <c r="Y621">
        <v>0</v>
      </c>
      <c r="Z621">
        <v>0</v>
      </c>
      <c r="AA621">
        <v>35</v>
      </c>
      <c r="AB621">
        <v>50</v>
      </c>
      <c r="AC621">
        <v>5000</v>
      </c>
      <c r="AD621">
        <v>0</v>
      </c>
      <c r="AE621">
        <v>0</v>
      </c>
      <c r="AF621">
        <v>7435</v>
      </c>
      <c r="AG621">
        <v>7435</v>
      </c>
      <c r="AH621" s="14">
        <v>46268</v>
      </c>
      <c r="AI621" t="s">
        <v>266</v>
      </c>
      <c r="AJ621" s="13">
        <v>46265.054768518516</v>
      </c>
      <c r="AK621">
        <v>6763.31</v>
      </c>
      <c r="AL621" t="s">
        <v>259</v>
      </c>
      <c r="AM621" t="s">
        <v>260</v>
      </c>
      <c r="AN621">
        <v>1400</v>
      </c>
      <c r="AO621">
        <v>0</v>
      </c>
      <c r="AP621">
        <v>35</v>
      </c>
      <c r="AQ621">
        <v>85</v>
      </c>
      <c r="AR621">
        <v>35</v>
      </c>
      <c r="AS621">
        <v>2</v>
      </c>
      <c r="AT621">
        <v>23</v>
      </c>
      <c r="AU621">
        <v>1</v>
      </c>
      <c r="AV621">
        <v>0</v>
      </c>
      <c r="AW621">
        <v>10</v>
      </c>
      <c r="AX621">
        <v>1</v>
      </c>
      <c r="AY621">
        <v>5</v>
      </c>
      <c r="AZ621">
        <v>2</v>
      </c>
      <c r="BA621">
        <v>1</v>
      </c>
      <c r="BB621">
        <v>1440</v>
      </c>
      <c r="BC621">
        <v>0</v>
      </c>
      <c r="BD621">
        <v>0</v>
      </c>
      <c r="BE621">
        <v>14</v>
      </c>
      <c r="BF621">
        <v>25</v>
      </c>
      <c r="BG621">
        <v>3</v>
      </c>
      <c r="BH621">
        <v>8</v>
      </c>
      <c r="BI621">
        <v>3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0</v>
      </c>
      <c r="BQ621">
        <v>60</v>
      </c>
      <c r="BR621">
        <v>0</v>
      </c>
      <c r="BS621">
        <v>3</v>
      </c>
      <c r="BT621" t="s">
        <v>246</v>
      </c>
      <c r="BU621" t="s">
        <v>267</v>
      </c>
      <c r="BV621" t="b">
        <v>0</v>
      </c>
      <c r="BW621" t="s">
        <v>268</v>
      </c>
    </row>
    <row r="622" spans="1:75">
      <c r="A622" t="s">
        <v>246</v>
      </c>
      <c r="B622" t="s">
        <v>252</v>
      </c>
      <c r="C622">
        <v>976</v>
      </c>
      <c r="D622" t="s">
        <v>253</v>
      </c>
      <c r="E622" t="s">
        <v>254</v>
      </c>
      <c r="F622">
        <v>5</v>
      </c>
      <c r="G622" s="13">
        <v>46269.134884259256</v>
      </c>
      <c r="H622" s="13">
        <v>46269.155648148146</v>
      </c>
      <c r="I622">
        <v>1794</v>
      </c>
      <c r="J622" t="s">
        <v>255</v>
      </c>
      <c r="K622">
        <v>4</v>
      </c>
      <c r="L622">
        <v>0.04</v>
      </c>
      <c r="M622">
        <v>0.01</v>
      </c>
      <c r="N622">
        <v>4</v>
      </c>
      <c r="O622">
        <v>0.04</v>
      </c>
      <c r="P622">
        <v>17.36</v>
      </c>
      <c r="Q622">
        <v>5.22</v>
      </c>
      <c r="R622">
        <v>2.86</v>
      </c>
      <c r="S622" t="s">
        <v>263</v>
      </c>
      <c r="T622" t="s">
        <v>257</v>
      </c>
      <c r="U622">
        <v>11</v>
      </c>
      <c r="V622">
        <v>7434.84</v>
      </c>
      <c r="W622">
        <v>4999.84</v>
      </c>
      <c r="X622">
        <v>4982.6400000000003</v>
      </c>
      <c r="Y622">
        <v>0</v>
      </c>
      <c r="Z622">
        <v>0</v>
      </c>
      <c r="AA622">
        <v>35</v>
      </c>
      <c r="AB622">
        <v>50</v>
      </c>
      <c r="AC622">
        <v>5000</v>
      </c>
      <c r="AD622">
        <v>0</v>
      </c>
      <c r="AE622">
        <v>0</v>
      </c>
      <c r="AF622">
        <v>7437.82</v>
      </c>
      <c r="AG622">
        <v>7437.82</v>
      </c>
      <c r="AH622" s="14">
        <v>46269</v>
      </c>
      <c r="AI622" t="s">
        <v>266</v>
      </c>
      <c r="AJ622" s="13">
        <v>46265.054768518516</v>
      </c>
      <c r="AK622">
        <v>6763.31</v>
      </c>
      <c r="AL622" t="s">
        <v>259</v>
      </c>
      <c r="AM622" t="s">
        <v>260</v>
      </c>
      <c r="AN622">
        <v>1400</v>
      </c>
      <c r="AO622">
        <v>0</v>
      </c>
      <c r="AP622">
        <v>35</v>
      </c>
      <c r="AQ622">
        <v>85</v>
      </c>
      <c r="AR622">
        <v>35</v>
      </c>
      <c r="AS622">
        <v>2</v>
      </c>
      <c r="AT622">
        <v>23</v>
      </c>
      <c r="AU622">
        <v>1</v>
      </c>
      <c r="AV622">
        <v>0</v>
      </c>
      <c r="AW622">
        <v>10</v>
      </c>
      <c r="AX622">
        <v>1</v>
      </c>
      <c r="AY622">
        <v>5</v>
      </c>
      <c r="AZ622">
        <v>2</v>
      </c>
      <c r="BA622">
        <v>1</v>
      </c>
      <c r="BB622">
        <v>1440</v>
      </c>
      <c r="BC622">
        <v>0</v>
      </c>
      <c r="BD622">
        <v>0</v>
      </c>
      <c r="BE622">
        <v>14</v>
      </c>
      <c r="BF622">
        <v>25</v>
      </c>
      <c r="BG622">
        <v>3</v>
      </c>
      <c r="BH622">
        <v>8</v>
      </c>
      <c r="BI622">
        <v>3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0</v>
      </c>
      <c r="BQ622">
        <v>60</v>
      </c>
      <c r="BR622">
        <v>0</v>
      </c>
      <c r="BS622">
        <v>3</v>
      </c>
      <c r="BT622" t="s">
        <v>246</v>
      </c>
      <c r="BU622" t="s">
        <v>267</v>
      </c>
      <c r="BV622" t="b">
        <v>0</v>
      </c>
      <c r="BW622" t="s">
        <v>268</v>
      </c>
    </row>
    <row r="623" spans="1:75">
      <c r="A623" t="s">
        <v>246</v>
      </c>
      <c r="B623" t="s">
        <v>252</v>
      </c>
      <c r="C623">
        <v>977</v>
      </c>
      <c r="D623" t="s">
        <v>253</v>
      </c>
      <c r="E623" t="s">
        <v>254</v>
      </c>
      <c r="F623">
        <v>5</v>
      </c>
      <c r="G623" s="13">
        <v>46269.159722222219</v>
      </c>
      <c r="H623" s="13">
        <v>46269.169351851851</v>
      </c>
      <c r="I623">
        <v>832</v>
      </c>
      <c r="J623" t="s">
        <v>264</v>
      </c>
      <c r="K623">
        <v>3</v>
      </c>
      <c r="L623">
        <v>0.03</v>
      </c>
      <c r="M623">
        <v>0.01</v>
      </c>
      <c r="N623">
        <v>3</v>
      </c>
      <c r="O623">
        <v>0.03</v>
      </c>
      <c r="P623">
        <v>12.27</v>
      </c>
      <c r="Q623">
        <v>10.61</v>
      </c>
      <c r="R623">
        <v>8.5399999999999991</v>
      </c>
      <c r="S623" t="s">
        <v>263</v>
      </c>
      <c r="T623" t="s">
        <v>257</v>
      </c>
      <c r="U623">
        <v>10</v>
      </c>
      <c r="V623">
        <v>7437.66</v>
      </c>
      <c r="W623">
        <v>4999.84</v>
      </c>
      <c r="X623">
        <v>4987.7299999999996</v>
      </c>
      <c r="Y623">
        <v>0</v>
      </c>
      <c r="Z623">
        <v>0</v>
      </c>
      <c r="AA623">
        <v>35</v>
      </c>
      <c r="AB623">
        <v>50</v>
      </c>
      <c r="AC623">
        <v>5000</v>
      </c>
      <c r="AD623">
        <v>0</v>
      </c>
      <c r="AE623">
        <v>0</v>
      </c>
      <c r="AF623">
        <v>7446.33</v>
      </c>
      <c r="AG623">
        <v>7446.33</v>
      </c>
      <c r="AH623" s="14">
        <v>46269</v>
      </c>
      <c r="AI623" t="s">
        <v>266</v>
      </c>
      <c r="AJ623" s="13">
        <v>46265.054768518516</v>
      </c>
      <c r="AK623">
        <v>6763.31</v>
      </c>
      <c r="AL623" t="s">
        <v>259</v>
      </c>
      <c r="AM623" t="s">
        <v>260</v>
      </c>
      <c r="AN623">
        <v>1400</v>
      </c>
      <c r="AO623">
        <v>0</v>
      </c>
      <c r="AP623">
        <v>35</v>
      </c>
      <c r="AQ623">
        <v>85</v>
      </c>
      <c r="AR623">
        <v>35</v>
      </c>
      <c r="AS623">
        <v>2</v>
      </c>
      <c r="AT623">
        <v>23</v>
      </c>
      <c r="AU623">
        <v>1</v>
      </c>
      <c r="AV623">
        <v>0</v>
      </c>
      <c r="AW623">
        <v>10</v>
      </c>
      <c r="AX623">
        <v>1</v>
      </c>
      <c r="AY623">
        <v>5</v>
      </c>
      <c r="AZ623">
        <v>2</v>
      </c>
      <c r="BA623">
        <v>1</v>
      </c>
      <c r="BB623">
        <v>1440</v>
      </c>
      <c r="BC623">
        <v>0</v>
      </c>
      <c r="BD623">
        <v>0</v>
      </c>
      <c r="BE623">
        <v>14</v>
      </c>
      <c r="BF623">
        <v>25</v>
      </c>
      <c r="BG623">
        <v>3</v>
      </c>
      <c r="BH623">
        <v>8</v>
      </c>
      <c r="BI623">
        <v>3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0</v>
      </c>
      <c r="BQ623">
        <v>60</v>
      </c>
      <c r="BR623">
        <v>0</v>
      </c>
      <c r="BS623">
        <v>3</v>
      </c>
      <c r="BT623" t="s">
        <v>246</v>
      </c>
      <c r="BU623" t="s">
        <v>267</v>
      </c>
      <c r="BV623" t="b">
        <v>0</v>
      </c>
      <c r="BW623" t="s">
        <v>268</v>
      </c>
    </row>
    <row r="624" spans="1:75">
      <c r="A624" t="s">
        <v>246</v>
      </c>
      <c r="B624" t="s">
        <v>252</v>
      </c>
      <c r="C624">
        <v>978</v>
      </c>
      <c r="D624" t="s">
        <v>253</v>
      </c>
      <c r="E624" t="s">
        <v>254</v>
      </c>
      <c r="F624">
        <v>5</v>
      </c>
      <c r="G624" s="13">
        <v>46269.170428240737</v>
      </c>
      <c r="H624" s="13">
        <v>46269.170937499999</v>
      </c>
      <c r="I624">
        <v>44</v>
      </c>
      <c r="J624" t="s">
        <v>264</v>
      </c>
      <c r="K624">
        <v>1</v>
      </c>
      <c r="L624">
        <v>0.01</v>
      </c>
      <c r="M624">
        <v>0.01</v>
      </c>
      <c r="N624">
        <v>1</v>
      </c>
      <c r="O624">
        <v>0.01</v>
      </c>
      <c r="P624">
        <v>0.56999999999999995</v>
      </c>
      <c r="Q624">
        <v>1.08</v>
      </c>
      <c r="R624">
        <v>0.97</v>
      </c>
      <c r="S624" t="s">
        <v>256</v>
      </c>
      <c r="T624" t="s">
        <v>257</v>
      </c>
      <c r="U624">
        <v>11</v>
      </c>
      <c r="V624">
        <v>7446.1</v>
      </c>
      <c r="W624">
        <v>4999.7700000000004</v>
      </c>
      <c r="X624">
        <v>4999.43</v>
      </c>
      <c r="Y624">
        <v>0</v>
      </c>
      <c r="Z624">
        <v>0</v>
      </c>
      <c r="AA624">
        <v>35</v>
      </c>
      <c r="AB624">
        <v>50</v>
      </c>
      <c r="AC624">
        <v>5000</v>
      </c>
      <c r="AD624">
        <v>0</v>
      </c>
      <c r="AE624">
        <v>0</v>
      </c>
      <c r="AF624">
        <v>7447.05</v>
      </c>
      <c r="AG624">
        <v>7447.05</v>
      </c>
      <c r="AH624" s="14">
        <v>46269</v>
      </c>
      <c r="AI624" t="s">
        <v>266</v>
      </c>
      <c r="AJ624" s="13">
        <v>46265.054768518516</v>
      </c>
      <c r="AK624">
        <v>6763.31</v>
      </c>
      <c r="AL624" t="s">
        <v>259</v>
      </c>
      <c r="AM624" t="s">
        <v>260</v>
      </c>
      <c r="AN624">
        <v>1400</v>
      </c>
      <c r="AO624">
        <v>0</v>
      </c>
      <c r="AP624">
        <v>35</v>
      </c>
      <c r="AQ624">
        <v>85</v>
      </c>
      <c r="AR624">
        <v>35</v>
      </c>
      <c r="AS624">
        <v>2</v>
      </c>
      <c r="AT624">
        <v>23</v>
      </c>
      <c r="AU624">
        <v>1</v>
      </c>
      <c r="AV624">
        <v>0</v>
      </c>
      <c r="AW624">
        <v>10</v>
      </c>
      <c r="AX624">
        <v>1</v>
      </c>
      <c r="AY624">
        <v>5</v>
      </c>
      <c r="AZ624">
        <v>2</v>
      </c>
      <c r="BA624">
        <v>1</v>
      </c>
      <c r="BB624">
        <v>1440</v>
      </c>
      <c r="BC624">
        <v>0</v>
      </c>
      <c r="BD624">
        <v>0</v>
      </c>
      <c r="BE624">
        <v>14</v>
      </c>
      <c r="BF624">
        <v>25</v>
      </c>
      <c r="BG624">
        <v>3</v>
      </c>
      <c r="BH624">
        <v>8</v>
      </c>
      <c r="BI624">
        <v>3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0</v>
      </c>
      <c r="BQ624">
        <v>60</v>
      </c>
      <c r="BR624">
        <v>0</v>
      </c>
      <c r="BS624">
        <v>3</v>
      </c>
      <c r="BT624" t="s">
        <v>246</v>
      </c>
      <c r="BU624" t="s">
        <v>267</v>
      </c>
      <c r="BV624" t="b">
        <v>0</v>
      </c>
      <c r="BW624" t="s">
        <v>268</v>
      </c>
    </row>
    <row r="625" spans="1:75">
      <c r="A625" t="s">
        <v>246</v>
      </c>
      <c r="B625" t="s">
        <v>252</v>
      </c>
      <c r="C625">
        <v>979</v>
      </c>
      <c r="D625" t="s">
        <v>253</v>
      </c>
      <c r="E625" t="s">
        <v>254</v>
      </c>
      <c r="F625">
        <v>5</v>
      </c>
      <c r="G625" s="13">
        <v>46269.174849537034</v>
      </c>
      <c r="H625" s="13">
        <v>46269.17527777778</v>
      </c>
      <c r="I625">
        <v>37</v>
      </c>
      <c r="J625" t="s">
        <v>255</v>
      </c>
      <c r="K625">
        <v>1</v>
      </c>
      <c r="L625">
        <v>0.01</v>
      </c>
      <c r="M625">
        <v>0.01</v>
      </c>
      <c r="N625">
        <v>1</v>
      </c>
      <c r="O625">
        <v>0.01</v>
      </c>
      <c r="P625">
        <v>0.53</v>
      </c>
      <c r="Q625">
        <v>1.08</v>
      </c>
      <c r="R625">
        <v>0.75</v>
      </c>
      <c r="S625" t="s">
        <v>256</v>
      </c>
      <c r="T625" t="s">
        <v>257</v>
      </c>
      <c r="U625">
        <v>11</v>
      </c>
      <c r="V625">
        <v>7446.89</v>
      </c>
      <c r="W625">
        <v>4999.84</v>
      </c>
      <c r="X625">
        <v>4999.47</v>
      </c>
      <c r="Y625">
        <v>0</v>
      </c>
      <c r="Z625">
        <v>0</v>
      </c>
      <c r="AA625">
        <v>35</v>
      </c>
      <c r="AB625">
        <v>50</v>
      </c>
      <c r="AC625">
        <v>5000</v>
      </c>
      <c r="AD625">
        <v>0</v>
      </c>
      <c r="AE625">
        <v>0</v>
      </c>
      <c r="AF625">
        <v>7447.78</v>
      </c>
      <c r="AG625">
        <v>7447.78</v>
      </c>
      <c r="AH625" s="14">
        <v>46269</v>
      </c>
      <c r="AI625" t="s">
        <v>266</v>
      </c>
      <c r="AJ625" s="13">
        <v>46265.054768518516</v>
      </c>
      <c r="AK625">
        <v>6763.31</v>
      </c>
      <c r="AL625" t="s">
        <v>259</v>
      </c>
      <c r="AM625" t="s">
        <v>260</v>
      </c>
      <c r="AN625">
        <v>1400</v>
      </c>
      <c r="AO625">
        <v>0</v>
      </c>
      <c r="AP625">
        <v>35</v>
      </c>
      <c r="AQ625">
        <v>85</v>
      </c>
      <c r="AR625">
        <v>35</v>
      </c>
      <c r="AS625">
        <v>2</v>
      </c>
      <c r="AT625">
        <v>23</v>
      </c>
      <c r="AU625">
        <v>1</v>
      </c>
      <c r="AV625">
        <v>0</v>
      </c>
      <c r="AW625">
        <v>10</v>
      </c>
      <c r="AX625">
        <v>1</v>
      </c>
      <c r="AY625">
        <v>5</v>
      </c>
      <c r="AZ625">
        <v>2</v>
      </c>
      <c r="BA625">
        <v>1</v>
      </c>
      <c r="BB625">
        <v>1440</v>
      </c>
      <c r="BC625">
        <v>0</v>
      </c>
      <c r="BD625">
        <v>0</v>
      </c>
      <c r="BE625">
        <v>14</v>
      </c>
      <c r="BF625">
        <v>25</v>
      </c>
      <c r="BG625">
        <v>3</v>
      </c>
      <c r="BH625">
        <v>8</v>
      </c>
      <c r="BI625">
        <v>3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0</v>
      </c>
      <c r="BQ625">
        <v>60</v>
      </c>
      <c r="BR625">
        <v>0</v>
      </c>
      <c r="BS625">
        <v>3</v>
      </c>
      <c r="BT625" t="s">
        <v>246</v>
      </c>
      <c r="BU625" t="s">
        <v>267</v>
      </c>
      <c r="BV625" t="b">
        <v>0</v>
      </c>
      <c r="BW625" t="s">
        <v>268</v>
      </c>
    </row>
    <row r="626" spans="1:75">
      <c r="A626" t="s">
        <v>246</v>
      </c>
      <c r="B626" t="s">
        <v>252</v>
      </c>
      <c r="C626">
        <v>980</v>
      </c>
      <c r="D626" t="s">
        <v>253</v>
      </c>
      <c r="E626" t="s">
        <v>254</v>
      </c>
      <c r="F626">
        <v>5</v>
      </c>
      <c r="G626" s="13">
        <v>46269.177418981482</v>
      </c>
      <c r="H626" s="13">
        <v>46269.178819444445</v>
      </c>
      <c r="I626">
        <v>121</v>
      </c>
      <c r="J626" t="s">
        <v>255</v>
      </c>
      <c r="K626">
        <v>1</v>
      </c>
      <c r="L626">
        <v>0.01</v>
      </c>
      <c r="M626">
        <v>0.01</v>
      </c>
      <c r="N626">
        <v>1</v>
      </c>
      <c r="O626">
        <v>0.01</v>
      </c>
      <c r="P626">
        <v>1.6</v>
      </c>
      <c r="Q626">
        <v>1.1200000000000001</v>
      </c>
      <c r="R626">
        <v>0.8</v>
      </c>
      <c r="S626" t="s">
        <v>256</v>
      </c>
      <c r="T626" t="s">
        <v>257</v>
      </c>
      <c r="U626">
        <v>10</v>
      </c>
      <c r="V626">
        <v>7447.73</v>
      </c>
      <c r="W626">
        <v>4999.95</v>
      </c>
      <c r="X626">
        <v>4998.3999999999996</v>
      </c>
      <c r="Y626">
        <v>0</v>
      </c>
      <c r="Z626">
        <v>0</v>
      </c>
      <c r="AA626">
        <v>35</v>
      </c>
      <c r="AB626">
        <v>50</v>
      </c>
      <c r="AC626">
        <v>5000</v>
      </c>
      <c r="AD626">
        <v>0</v>
      </c>
      <c r="AE626">
        <v>0</v>
      </c>
      <c r="AF626">
        <v>7448.55</v>
      </c>
      <c r="AG626">
        <v>7448.55</v>
      </c>
      <c r="AH626" s="14">
        <v>46269</v>
      </c>
      <c r="AI626" t="s">
        <v>266</v>
      </c>
      <c r="AJ626" s="13">
        <v>46265.054768518516</v>
      </c>
      <c r="AK626">
        <v>6763.31</v>
      </c>
      <c r="AL626" t="s">
        <v>259</v>
      </c>
      <c r="AM626" t="s">
        <v>260</v>
      </c>
      <c r="AN626">
        <v>1400</v>
      </c>
      <c r="AO626">
        <v>0</v>
      </c>
      <c r="AP626">
        <v>35</v>
      </c>
      <c r="AQ626">
        <v>85</v>
      </c>
      <c r="AR626">
        <v>35</v>
      </c>
      <c r="AS626">
        <v>2</v>
      </c>
      <c r="AT626">
        <v>23</v>
      </c>
      <c r="AU626">
        <v>1</v>
      </c>
      <c r="AV626">
        <v>0</v>
      </c>
      <c r="AW626">
        <v>10</v>
      </c>
      <c r="AX626">
        <v>1</v>
      </c>
      <c r="AY626">
        <v>5</v>
      </c>
      <c r="AZ626">
        <v>2</v>
      </c>
      <c r="BA626">
        <v>1</v>
      </c>
      <c r="BB626">
        <v>1440</v>
      </c>
      <c r="BC626">
        <v>0</v>
      </c>
      <c r="BD626">
        <v>0</v>
      </c>
      <c r="BE626">
        <v>14</v>
      </c>
      <c r="BF626">
        <v>25</v>
      </c>
      <c r="BG626">
        <v>3</v>
      </c>
      <c r="BH626">
        <v>8</v>
      </c>
      <c r="BI626">
        <v>3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0</v>
      </c>
      <c r="BQ626">
        <v>60</v>
      </c>
      <c r="BR626">
        <v>0</v>
      </c>
      <c r="BS626">
        <v>3</v>
      </c>
      <c r="BT626" t="s">
        <v>246</v>
      </c>
      <c r="BU626" t="s">
        <v>267</v>
      </c>
      <c r="BV626" t="b">
        <v>0</v>
      </c>
      <c r="BW626" t="s">
        <v>268</v>
      </c>
    </row>
    <row r="627" spans="1:75">
      <c r="A627" t="s">
        <v>246</v>
      </c>
      <c r="B627" t="s">
        <v>252</v>
      </c>
      <c r="C627">
        <v>981</v>
      </c>
      <c r="D627" t="s">
        <v>253</v>
      </c>
      <c r="E627" t="s">
        <v>254</v>
      </c>
      <c r="F627">
        <v>5</v>
      </c>
      <c r="G627" s="13">
        <v>46269.182199074072</v>
      </c>
      <c r="H627" s="13">
        <v>46269.192604166667</v>
      </c>
      <c r="I627">
        <v>899</v>
      </c>
      <c r="J627" t="s">
        <v>255</v>
      </c>
      <c r="K627">
        <v>3</v>
      </c>
      <c r="L627">
        <v>0.03</v>
      </c>
      <c r="M627">
        <v>0.01</v>
      </c>
      <c r="N627">
        <v>3</v>
      </c>
      <c r="O627">
        <v>0.03</v>
      </c>
      <c r="P627">
        <v>13.53</v>
      </c>
      <c r="Q627">
        <v>5.55</v>
      </c>
      <c r="R627">
        <v>3.54</v>
      </c>
      <c r="S627" t="s">
        <v>263</v>
      </c>
      <c r="T627" t="s">
        <v>257</v>
      </c>
      <c r="U627">
        <v>11</v>
      </c>
      <c r="V627">
        <v>7448.39</v>
      </c>
      <c r="W627">
        <v>4999.84</v>
      </c>
      <c r="X627">
        <v>4986.47</v>
      </c>
      <c r="Y627">
        <v>0</v>
      </c>
      <c r="Z627">
        <v>0</v>
      </c>
      <c r="AA627">
        <v>35</v>
      </c>
      <c r="AB627">
        <v>50</v>
      </c>
      <c r="AC627">
        <v>5000</v>
      </c>
      <c r="AD627">
        <v>0</v>
      </c>
      <c r="AE627">
        <v>0</v>
      </c>
      <c r="AF627">
        <v>7452.09</v>
      </c>
      <c r="AG627">
        <v>7452.09</v>
      </c>
      <c r="AH627" s="14">
        <v>46269</v>
      </c>
      <c r="AI627" t="s">
        <v>266</v>
      </c>
      <c r="AJ627" s="13">
        <v>46265.054768518516</v>
      </c>
      <c r="AK627">
        <v>6763.31</v>
      </c>
      <c r="AL627" t="s">
        <v>259</v>
      </c>
      <c r="AM627" t="s">
        <v>260</v>
      </c>
      <c r="AN627">
        <v>1400</v>
      </c>
      <c r="AO627">
        <v>0</v>
      </c>
      <c r="AP627">
        <v>35</v>
      </c>
      <c r="AQ627">
        <v>85</v>
      </c>
      <c r="AR627">
        <v>35</v>
      </c>
      <c r="AS627">
        <v>2</v>
      </c>
      <c r="AT627">
        <v>23</v>
      </c>
      <c r="AU627">
        <v>1</v>
      </c>
      <c r="AV627">
        <v>0</v>
      </c>
      <c r="AW627">
        <v>10</v>
      </c>
      <c r="AX627">
        <v>1</v>
      </c>
      <c r="AY627">
        <v>5</v>
      </c>
      <c r="AZ627">
        <v>2</v>
      </c>
      <c r="BA627">
        <v>1</v>
      </c>
      <c r="BB627">
        <v>1440</v>
      </c>
      <c r="BC627">
        <v>0</v>
      </c>
      <c r="BD627">
        <v>0</v>
      </c>
      <c r="BE627">
        <v>14</v>
      </c>
      <c r="BF627">
        <v>25</v>
      </c>
      <c r="BG627">
        <v>3</v>
      </c>
      <c r="BH627">
        <v>8</v>
      </c>
      <c r="BI627">
        <v>3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0</v>
      </c>
      <c r="BQ627">
        <v>60</v>
      </c>
      <c r="BR627">
        <v>0</v>
      </c>
      <c r="BS627">
        <v>3</v>
      </c>
      <c r="BT627" t="s">
        <v>246</v>
      </c>
      <c r="BU627" t="s">
        <v>267</v>
      </c>
      <c r="BV627" t="b">
        <v>0</v>
      </c>
      <c r="BW627" t="s">
        <v>268</v>
      </c>
    </row>
    <row r="628" spans="1:75">
      <c r="A628" t="s">
        <v>246</v>
      </c>
      <c r="B628" t="s">
        <v>252</v>
      </c>
      <c r="C628">
        <v>982</v>
      </c>
      <c r="D628" t="s">
        <v>253</v>
      </c>
      <c r="E628" t="s">
        <v>254</v>
      </c>
      <c r="F628">
        <v>5</v>
      </c>
      <c r="G628" s="13">
        <v>46269.195648148147</v>
      </c>
      <c r="H628" s="13">
        <v>46269.206446759257</v>
      </c>
      <c r="I628">
        <v>933</v>
      </c>
      <c r="J628" t="s">
        <v>255</v>
      </c>
      <c r="K628">
        <v>3</v>
      </c>
      <c r="L628">
        <v>0.03</v>
      </c>
      <c r="M628">
        <v>0.01</v>
      </c>
      <c r="N628">
        <v>3</v>
      </c>
      <c r="O628">
        <v>0.03</v>
      </c>
      <c r="P628">
        <v>9.75</v>
      </c>
      <c r="Q628">
        <v>5.27</v>
      </c>
      <c r="R628">
        <v>2.2599999999999998</v>
      </c>
      <c r="S628" t="s">
        <v>263</v>
      </c>
      <c r="T628" t="s">
        <v>257</v>
      </c>
      <c r="U628">
        <v>10</v>
      </c>
      <c r="V628">
        <v>7452.01</v>
      </c>
      <c r="W628">
        <v>4999.92</v>
      </c>
      <c r="X628">
        <v>4990.25</v>
      </c>
      <c r="Y628">
        <v>0</v>
      </c>
      <c r="Z628">
        <v>0</v>
      </c>
      <c r="AA628">
        <v>35</v>
      </c>
      <c r="AB628">
        <v>50</v>
      </c>
      <c r="AC628">
        <v>5000</v>
      </c>
      <c r="AD628">
        <v>0</v>
      </c>
      <c r="AE628">
        <v>0</v>
      </c>
      <c r="AF628">
        <v>7454.33</v>
      </c>
      <c r="AG628">
        <v>7454.33</v>
      </c>
      <c r="AH628" s="14">
        <v>46269</v>
      </c>
      <c r="AI628" t="s">
        <v>266</v>
      </c>
      <c r="AJ628" s="13">
        <v>46265.054768518516</v>
      </c>
      <c r="AK628">
        <v>6763.31</v>
      </c>
      <c r="AL628" t="s">
        <v>259</v>
      </c>
      <c r="AM628" t="s">
        <v>260</v>
      </c>
      <c r="AN628">
        <v>1400</v>
      </c>
      <c r="AO628">
        <v>0</v>
      </c>
      <c r="AP628">
        <v>35</v>
      </c>
      <c r="AQ628">
        <v>85</v>
      </c>
      <c r="AR628">
        <v>35</v>
      </c>
      <c r="AS628">
        <v>2</v>
      </c>
      <c r="AT628">
        <v>23</v>
      </c>
      <c r="AU628">
        <v>1</v>
      </c>
      <c r="AV628">
        <v>0</v>
      </c>
      <c r="AW628">
        <v>10</v>
      </c>
      <c r="AX628">
        <v>1</v>
      </c>
      <c r="AY628">
        <v>5</v>
      </c>
      <c r="AZ628">
        <v>2</v>
      </c>
      <c r="BA628">
        <v>1</v>
      </c>
      <c r="BB628">
        <v>1440</v>
      </c>
      <c r="BC628">
        <v>0</v>
      </c>
      <c r="BD628">
        <v>0</v>
      </c>
      <c r="BE628">
        <v>14</v>
      </c>
      <c r="BF628">
        <v>25</v>
      </c>
      <c r="BG628">
        <v>3</v>
      </c>
      <c r="BH628">
        <v>8</v>
      </c>
      <c r="BI628">
        <v>3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0</v>
      </c>
      <c r="BQ628">
        <v>60</v>
      </c>
      <c r="BR628">
        <v>0</v>
      </c>
      <c r="BS628">
        <v>3</v>
      </c>
      <c r="BT628" t="s">
        <v>246</v>
      </c>
      <c r="BU628" t="s">
        <v>267</v>
      </c>
      <c r="BV628" t="b">
        <v>0</v>
      </c>
      <c r="BW628" t="s">
        <v>268</v>
      </c>
    </row>
    <row r="629" spans="1:75">
      <c r="A629" t="s">
        <v>246</v>
      </c>
      <c r="B629" t="s">
        <v>252</v>
      </c>
      <c r="C629">
        <v>983</v>
      </c>
      <c r="D629" t="s">
        <v>253</v>
      </c>
      <c r="E629" t="s">
        <v>254</v>
      </c>
      <c r="F629">
        <v>5</v>
      </c>
      <c r="G629" s="13">
        <v>46269.210474537038</v>
      </c>
      <c r="H629" s="13">
        <v>46269.244386574072</v>
      </c>
      <c r="I629">
        <v>2930</v>
      </c>
      <c r="J629" t="s">
        <v>255</v>
      </c>
      <c r="K629">
        <v>4</v>
      </c>
      <c r="L629">
        <v>0.04</v>
      </c>
      <c r="M629">
        <v>0.01</v>
      </c>
      <c r="N629">
        <v>4</v>
      </c>
      <c r="O629">
        <v>0.04</v>
      </c>
      <c r="P629">
        <v>21.39</v>
      </c>
      <c r="Q629">
        <v>5.45</v>
      </c>
      <c r="R629">
        <v>3.21</v>
      </c>
      <c r="S629" t="s">
        <v>263</v>
      </c>
      <c r="T629" t="s">
        <v>257</v>
      </c>
      <c r="U629">
        <v>11</v>
      </c>
      <c r="V629">
        <v>7454.17</v>
      </c>
      <c r="W629">
        <v>4999.84</v>
      </c>
      <c r="X629">
        <v>4978.6099999999997</v>
      </c>
      <c r="Y629">
        <v>0</v>
      </c>
      <c r="Z629">
        <v>0</v>
      </c>
      <c r="AA629">
        <v>35</v>
      </c>
      <c r="AB629">
        <v>50</v>
      </c>
      <c r="AC629">
        <v>5000</v>
      </c>
      <c r="AD629">
        <v>0</v>
      </c>
      <c r="AE629">
        <v>0</v>
      </c>
      <c r="AF629">
        <v>7457.61</v>
      </c>
      <c r="AG629">
        <v>7457.61</v>
      </c>
      <c r="AH629" s="14">
        <v>46269</v>
      </c>
      <c r="AI629" t="s">
        <v>266</v>
      </c>
      <c r="AJ629" s="13">
        <v>46265.054768518516</v>
      </c>
      <c r="AK629">
        <v>6763.31</v>
      </c>
      <c r="AL629" t="s">
        <v>259</v>
      </c>
      <c r="AM629" t="s">
        <v>260</v>
      </c>
      <c r="AN629">
        <v>1400</v>
      </c>
      <c r="AO629">
        <v>0</v>
      </c>
      <c r="AP629">
        <v>35</v>
      </c>
      <c r="AQ629">
        <v>85</v>
      </c>
      <c r="AR629">
        <v>35</v>
      </c>
      <c r="AS629">
        <v>2</v>
      </c>
      <c r="AT629">
        <v>23</v>
      </c>
      <c r="AU629">
        <v>1</v>
      </c>
      <c r="AV629">
        <v>0</v>
      </c>
      <c r="AW629">
        <v>10</v>
      </c>
      <c r="AX629">
        <v>1</v>
      </c>
      <c r="AY629">
        <v>5</v>
      </c>
      <c r="AZ629">
        <v>2</v>
      </c>
      <c r="BA629">
        <v>1</v>
      </c>
      <c r="BB629">
        <v>1440</v>
      </c>
      <c r="BC629">
        <v>0</v>
      </c>
      <c r="BD629">
        <v>0</v>
      </c>
      <c r="BE629">
        <v>14</v>
      </c>
      <c r="BF629">
        <v>25</v>
      </c>
      <c r="BG629">
        <v>3</v>
      </c>
      <c r="BH629">
        <v>8</v>
      </c>
      <c r="BI629">
        <v>3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0</v>
      </c>
      <c r="BQ629">
        <v>60</v>
      </c>
      <c r="BR629">
        <v>0</v>
      </c>
      <c r="BS629">
        <v>3</v>
      </c>
      <c r="BT629" t="s">
        <v>246</v>
      </c>
      <c r="BU629" t="s">
        <v>267</v>
      </c>
      <c r="BV629" t="b">
        <v>0</v>
      </c>
      <c r="BW629" t="s">
        <v>268</v>
      </c>
    </row>
    <row r="630" spans="1:75">
      <c r="A630" t="s">
        <v>246</v>
      </c>
      <c r="B630" t="s">
        <v>252</v>
      </c>
      <c r="C630">
        <v>984</v>
      </c>
      <c r="D630" t="s">
        <v>253</v>
      </c>
      <c r="E630" t="s">
        <v>254</v>
      </c>
      <c r="F630">
        <v>5</v>
      </c>
      <c r="G630" s="13">
        <v>46269.246215277781</v>
      </c>
      <c r="H630" s="13">
        <v>46269.246689814812</v>
      </c>
      <c r="I630">
        <v>41</v>
      </c>
      <c r="J630" t="s">
        <v>255</v>
      </c>
      <c r="K630">
        <v>1</v>
      </c>
      <c r="L630">
        <v>0.01</v>
      </c>
      <c r="M630">
        <v>0.01</v>
      </c>
      <c r="N630">
        <v>1</v>
      </c>
      <c r="O630">
        <v>0.01</v>
      </c>
      <c r="P630">
        <v>0.51</v>
      </c>
      <c r="Q630">
        <v>1.56</v>
      </c>
      <c r="R630">
        <v>1.56</v>
      </c>
      <c r="S630" t="s">
        <v>256</v>
      </c>
      <c r="T630" t="s">
        <v>257</v>
      </c>
      <c r="U630">
        <v>10</v>
      </c>
      <c r="V630">
        <v>7457.42</v>
      </c>
      <c r="W630">
        <v>4999.8100000000004</v>
      </c>
      <c r="X630">
        <v>4999.49</v>
      </c>
      <c r="Y630">
        <v>0</v>
      </c>
      <c r="Z630">
        <v>0</v>
      </c>
      <c r="AA630">
        <v>35</v>
      </c>
      <c r="AB630">
        <v>50</v>
      </c>
      <c r="AC630">
        <v>5000</v>
      </c>
      <c r="AD630">
        <v>0</v>
      </c>
      <c r="AE630">
        <v>0</v>
      </c>
      <c r="AF630">
        <v>7458.82</v>
      </c>
      <c r="AG630">
        <v>7458.82</v>
      </c>
      <c r="AH630" s="14">
        <v>46269</v>
      </c>
      <c r="AI630" t="s">
        <v>266</v>
      </c>
      <c r="AJ630" s="13">
        <v>46265.054768518516</v>
      </c>
      <c r="AK630">
        <v>6763.31</v>
      </c>
      <c r="AL630" t="s">
        <v>259</v>
      </c>
      <c r="AM630" t="s">
        <v>260</v>
      </c>
      <c r="AN630">
        <v>1400</v>
      </c>
      <c r="AO630">
        <v>0</v>
      </c>
      <c r="AP630">
        <v>35</v>
      </c>
      <c r="AQ630">
        <v>85</v>
      </c>
      <c r="AR630">
        <v>35</v>
      </c>
      <c r="AS630">
        <v>2</v>
      </c>
      <c r="AT630">
        <v>23</v>
      </c>
      <c r="AU630">
        <v>1</v>
      </c>
      <c r="AV630">
        <v>0</v>
      </c>
      <c r="AW630">
        <v>10</v>
      </c>
      <c r="AX630">
        <v>1</v>
      </c>
      <c r="AY630">
        <v>5</v>
      </c>
      <c r="AZ630">
        <v>2</v>
      </c>
      <c r="BA630">
        <v>1</v>
      </c>
      <c r="BB630">
        <v>1440</v>
      </c>
      <c r="BC630">
        <v>0</v>
      </c>
      <c r="BD630">
        <v>0</v>
      </c>
      <c r="BE630">
        <v>14</v>
      </c>
      <c r="BF630">
        <v>25</v>
      </c>
      <c r="BG630">
        <v>3</v>
      </c>
      <c r="BH630">
        <v>8</v>
      </c>
      <c r="BI630">
        <v>3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0</v>
      </c>
      <c r="BQ630">
        <v>60</v>
      </c>
      <c r="BR630">
        <v>0</v>
      </c>
      <c r="BS630">
        <v>3</v>
      </c>
      <c r="BT630" t="s">
        <v>246</v>
      </c>
      <c r="BU630" t="s">
        <v>267</v>
      </c>
      <c r="BV630" t="b">
        <v>0</v>
      </c>
      <c r="BW630" t="s">
        <v>268</v>
      </c>
    </row>
    <row r="631" spans="1:75">
      <c r="A631" t="s">
        <v>246</v>
      </c>
      <c r="B631" t="s">
        <v>252</v>
      </c>
      <c r="C631">
        <v>985</v>
      </c>
      <c r="D631" t="s">
        <v>253</v>
      </c>
      <c r="E631" t="s">
        <v>254</v>
      </c>
      <c r="F631">
        <v>5</v>
      </c>
      <c r="G631" s="13">
        <v>46269.24796296296</v>
      </c>
      <c r="H631" s="13">
        <v>46269.248171296298</v>
      </c>
      <c r="I631">
        <v>18</v>
      </c>
      <c r="J631" t="s">
        <v>264</v>
      </c>
      <c r="K631">
        <v>1</v>
      </c>
      <c r="L631">
        <v>0.01</v>
      </c>
      <c r="M631">
        <v>0.01</v>
      </c>
      <c r="N631">
        <v>1</v>
      </c>
      <c r="O631">
        <v>0.01</v>
      </c>
      <c r="P631">
        <v>0.28999999999999998</v>
      </c>
      <c r="Q631">
        <v>1.1200000000000001</v>
      </c>
      <c r="R631">
        <v>1.06</v>
      </c>
      <c r="S631" t="s">
        <v>256</v>
      </c>
      <c r="T631" t="s">
        <v>257</v>
      </c>
      <c r="U631">
        <v>11</v>
      </c>
      <c r="V631">
        <v>7458.73</v>
      </c>
      <c r="W631">
        <v>4999.91</v>
      </c>
      <c r="X631">
        <v>4999.71</v>
      </c>
      <c r="Y631">
        <v>0</v>
      </c>
      <c r="Z631">
        <v>0</v>
      </c>
      <c r="AA631">
        <v>35</v>
      </c>
      <c r="AB631">
        <v>50</v>
      </c>
      <c r="AC631">
        <v>5000</v>
      </c>
      <c r="AD631">
        <v>0</v>
      </c>
      <c r="AE631">
        <v>0</v>
      </c>
      <c r="AF631">
        <v>7459.59</v>
      </c>
      <c r="AG631">
        <v>7459.59</v>
      </c>
      <c r="AH631" s="14">
        <v>46269</v>
      </c>
      <c r="AI631" t="s">
        <v>266</v>
      </c>
      <c r="AJ631" s="13">
        <v>46265.054768518516</v>
      </c>
      <c r="AK631">
        <v>6763.31</v>
      </c>
      <c r="AL631" t="s">
        <v>259</v>
      </c>
      <c r="AM631" t="s">
        <v>260</v>
      </c>
      <c r="AN631">
        <v>1400</v>
      </c>
      <c r="AO631">
        <v>0</v>
      </c>
      <c r="AP631">
        <v>35</v>
      </c>
      <c r="AQ631">
        <v>85</v>
      </c>
      <c r="AR631">
        <v>35</v>
      </c>
      <c r="AS631">
        <v>2</v>
      </c>
      <c r="AT631">
        <v>23</v>
      </c>
      <c r="AU631">
        <v>1</v>
      </c>
      <c r="AV631">
        <v>0</v>
      </c>
      <c r="AW631">
        <v>10</v>
      </c>
      <c r="AX631">
        <v>1</v>
      </c>
      <c r="AY631">
        <v>5</v>
      </c>
      <c r="AZ631">
        <v>2</v>
      </c>
      <c r="BA631">
        <v>1</v>
      </c>
      <c r="BB631">
        <v>1440</v>
      </c>
      <c r="BC631">
        <v>0</v>
      </c>
      <c r="BD631">
        <v>0</v>
      </c>
      <c r="BE631">
        <v>14</v>
      </c>
      <c r="BF631">
        <v>25</v>
      </c>
      <c r="BG631">
        <v>3</v>
      </c>
      <c r="BH631">
        <v>8</v>
      </c>
      <c r="BI631">
        <v>3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0</v>
      </c>
      <c r="BQ631">
        <v>60</v>
      </c>
      <c r="BR631">
        <v>0</v>
      </c>
      <c r="BS631">
        <v>3</v>
      </c>
      <c r="BT631" t="s">
        <v>246</v>
      </c>
      <c r="BU631" t="s">
        <v>267</v>
      </c>
      <c r="BV631" t="b">
        <v>0</v>
      </c>
      <c r="BW631" t="s">
        <v>268</v>
      </c>
    </row>
    <row r="632" spans="1:75">
      <c r="A632" t="s">
        <v>246</v>
      </c>
      <c r="B632" t="s">
        <v>252</v>
      </c>
      <c r="C632">
        <v>986</v>
      </c>
      <c r="D632" t="s">
        <v>253</v>
      </c>
      <c r="E632" t="s">
        <v>254</v>
      </c>
      <c r="F632">
        <v>5</v>
      </c>
      <c r="G632" s="13">
        <v>46269.256712962961</v>
      </c>
      <c r="H632" s="13">
        <v>46269.256874999999</v>
      </c>
      <c r="I632">
        <v>14</v>
      </c>
      <c r="J632" t="s">
        <v>264</v>
      </c>
      <c r="K632">
        <v>1</v>
      </c>
      <c r="L632">
        <v>0.01</v>
      </c>
      <c r="M632">
        <v>0.01</v>
      </c>
      <c r="N632">
        <v>1</v>
      </c>
      <c r="O632">
        <v>0.01</v>
      </c>
      <c r="P632">
        <v>0.25</v>
      </c>
      <c r="Q632">
        <v>0.79</v>
      </c>
      <c r="R632">
        <v>0.49</v>
      </c>
      <c r="S632" t="s">
        <v>256</v>
      </c>
      <c r="T632" t="s">
        <v>257</v>
      </c>
      <c r="U632">
        <v>11</v>
      </c>
      <c r="V632">
        <v>7459.42</v>
      </c>
      <c r="W632">
        <v>4999.83</v>
      </c>
      <c r="X632">
        <v>4999.75</v>
      </c>
      <c r="Y632">
        <v>0</v>
      </c>
      <c r="Z632">
        <v>0</v>
      </c>
      <c r="AA632">
        <v>35</v>
      </c>
      <c r="AB632">
        <v>50</v>
      </c>
      <c r="AC632">
        <v>5000</v>
      </c>
      <c r="AD632">
        <v>0</v>
      </c>
      <c r="AE632">
        <v>0</v>
      </c>
      <c r="AF632">
        <v>7460.03</v>
      </c>
      <c r="AG632">
        <v>7460.03</v>
      </c>
      <c r="AH632" s="14">
        <v>46269</v>
      </c>
      <c r="AI632" t="s">
        <v>266</v>
      </c>
      <c r="AJ632" s="13">
        <v>46265.054768518516</v>
      </c>
      <c r="AK632">
        <v>6763.31</v>
      </c>
      <c r="AL632" t="s">
        <v>259</v>
      </c>
      <c r="AM632" t="s">
        <v>260</v>
      </c>
      <c r="AN632">
        <v>1400</v>
      </c>
      <c r="AO632">
        <v>0</v>
      </c>
      <c r="AP632">
        <v>35</v>
      </c>
      <c r="AQ632">
        <v>85</v>
      </c>
      <c r="AR632">
        <v>35</v>
      </c>
      <c r="AS632">
        <v>2</v>
      </c>
      <c r="AT632">
        <v>23</v>
      </c>
      <c r="AU632">
        <v>1</v>
      </c>
      <c r="AV632">
        <v>0</v>
      </c>
      <c r="AW632">
        <v>10</v>
      </c>
      <c r="AX632">
        <v>1</v>
      </c>
      <c r="AY632">
        <v>5</v>
      </c>
      <c r="AZ632">
        <v>2</v>
      </c>
      <c r="BA632">
        <v>1</v>
      </c>
      <c r="BB632">
        <v>1440</v>
      </c>
      <c r="BC632">
        <v>0</v>
      </c>
      <c r="BD632">
        <v>0</v>
      </c>
      <c r="BE632">
        <v>14</v>
      </c>
      <c r="BF632">
        <v>25</v>
      </c>
      <c r="BG632">
        <v>3</v>
      </c>
      <c r="BH632">
        <v>8</v>
      </c>
      <c r="BI632">
        <v>3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0</v>
      </c>
      <c r="BQ632">
        <v>60</v>
      </c>
      <c r="BR632">
        <v>0</v>
      </c>
      <c r="BS632">
        <v>3</v>
      </c>
      <c r="BT632" t="s">
        <v>246</v>
      </c>
      <c r="BU632" t="s">
        <v>267</v>
      </c>
      <c r="BV632" t="b">
        <v>0</v>
      </c>
      <c r="BW632" t="s">
        <v>268</v>
      </c>
    </row>
    <row r="633" spans="1:75">
      <c r="A633" t="s">
        <v>246</v>
      </c>
      <c r="B633" t="s">
        <v>252</v>
      </c>
      <c r="C633">
        <v>987</v>
      </c>
      <c r="D633" t="s">
        <v>253</v>
      </c>
      <c r="E633" t="s">
        <v>254</v>
      </c>
      <c r="F633">
        <v>5</v>
      </c>
      <c r="G633" s="13">
        <v>46269.281030092592</v>
      </c>
      <c r="H633" s="13">
        <v>46269.285902777781</v>
      </c>
      <c r="I633">
        <v>421</v>
      </c>
      <c r="J633" t="s">
        <v>264</v>
      </c>
      <c r="K633">
        <v>1</v>
      </c>
      <c r="L633">
        <v>0.01</v>
      </c>
      <c r="M633">
        <v>0.01</v>
      </c>
      <c r="N633">
        <v>1</v>
      </c>
      <c r="O633">
        <v>0.01</v>
      </c>
      <c r="P633">
        <v>0.54</v>
      </c>
      <c r="Q633">
        <v>1.96</v>
      </c>
      <c r="R633">
        <v>1.59</v>
      </c>
      <c r="S633" t="s">
        <v>256</v>
      </c>
      <c r="T633" t="s">
        <v>257</v>
      </c>
      <c r="U633">
        <v>11</v>
      </c>
      <c r="V633">
        <v>7459.86</v>
      </c>
      <c r="W633">
        <v>4999.83</v>
      </c>
      <c r="X633">
        <v>4999.46</v>
      </c>
      <c r="Y633">
        <v>0</v>
      </c>
      <c r="Z633">
        <v>0</v>
      </c>
      <c r="AA633">
        <v>35</v>
      </c>
      <c r="AB633">
        <v>50</v>
      </c>
      <c r="AC633">
        <v>5000</v>
      </c>
      <c r="AD633">
        <v>0</v>
      </c>
      <c r="AE633">
        <v>0</v>
      </c>
      <c r="AF633">
        <v>7461.63</v>
      </c>
      <c r="AG633">
        <v>7461.63</v>
      </c>
      <c r="AH633" s="14">
        <v>46269</v>
      </c>
      <c r="AI633" t="s">
        <v>266</v>
      </c>
      <c r="AJ633" s="13">
        <v>46265.054768518516</v>
      </c>
      <c r="AK633">
        <v>6763.31</v>
      </c>
      <c r="AL633" t="s">
        <v>259</v>
      </c>
      <c r="AM633" t="s">
        <v>260</v>
      </c>
      <c r="AN633">
        <v>1400</v>
      </c>
      <c r="AO633">
        <v>0</v>
      </c>
      <c r="AP633">
        <v>35</v>
      </c>
      <c r="AQ633">
        <v>85</v>
      </c>
      <c r="AR633">
        <v>35</v>
      </c>
      <c r="AS633">
        <v>2</v>
      </c>
      <c r="AT633">
        <v>23</v>
      </c>
      <c r="AU633">
        <v>1</v>
      </c>
      <c r="AV633">
        <v>0</v>
      </c>
      <c r="AW633">
        <v>10</v>
      </c>
      <c r="AX633">
        <v>1</v>
      </c>
      <c r="AY633">
        <v>5</v>
      </c>
      <c r="AZ633">
        <v>2</v>
      </c>
      <c r="BA633">
        <v>1</v>
      </c>
      <c r="BB633">
        <v>1440</v>
      </c>
      <c r="BC633">
        <v>0</v>
      </c>
      <c r="BD633">
        <v>0</v>
      </c>
      <c r="BE633">
        <v>14</v>
      </c>
      <c r="BF633">
        <v>25</v>
      </c>
      <c r="BG633">
        <v>3</v>
      </c>
      <c r="BH633">
        <v>8</v>
      </c>
      <c r="BI633">
        <v>3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0</v>
      </c>
      <c r="BQ633">
        <v>60</v>
      </c>
      <c r="BR633">
        <v>0</v>
      </c>
      <c r="BS633">
        <v>3</v>
      </c>
      <c r="BT633" t="s">
        <v>246</v>
      </c>
      <c r="BU633" t="s">
        <v>267</v>
      </c>
      <c r="BV633" t="b">
        <v>0</v>
      </c>
      <c r="BW633" t="s">
        <v>268</v>
      </c>
    </row>
    <row r="634" spans="1:75">
      <c r="A634" t="s">
        <v>246</v>
      </c>
      <c r="B634" t="s">
        <v>252</v>
      </c>
      <c r="C634">
        <v>988</v>
      </c>
      <c r="D634" t="s">
        <v>253</v>
      </c>
      <c r="E634" t="s">
        <v>254</v>
      </c>
      <c r="F634">
        <v>5</v>
      </c>
      <c r="G634" s="13">
        <v>46269.293333333335</v>
      </c>
      <c r="H634" s="13">
        <v>46269.301458333335</v>
      </c>
      <c r="I634">
        <v>702</v>
      </c>
      <c r="J634" t="s">
        <v>255</v>
      </c>
      <c r="K634">
        <v>1</v>
      </c>
      <c r="L634">
        <v>0.01</v>
      </c>
      <c r="M634">
        <v>0.01</v>
      </c>
      <c r="N634">
        <v>1</v>
      </c>
      <c r="O634">
        <v>0.01</v>
      </c>
      <c r="P634">
        <v>2.82</v>
      </c>
      <c r="Q634">
        <v>1.01</v>
      </c>
      <c r="R634">
        <v>0.88</v>
      </c>
      <c r="S634" t="s">
        <v>256</v>
      </c>
      <c r="T634" t="s">
        <v>257</v>
      </c>
      <c r="U634">
        <v>11</v>
      </c>
      <c r="V634">
        <v>7461.47</v>
      </c>
      <c r="W634">
        <v>4999.84</v>
      </c>
      <c r="X634">
        <v>4997.18</v>
      </c>
      <c r="Y634">
        <v>0</v>
      </c>
      <c r="Z634">
        <v>0</v>
      </c>
      <c r="AA634">
        <v>35</v>
      </c>
      <c r="AB634">
        <v>50</v>
      </c>
      <c r="AC634">
        <v>5000</v>
      </c>
      <c r="AD634">
        <v>0</v>
      </c>
      <c r="AE634">
        <v>0</v>
      </c>
      <c r="AF634">
        <v>7462.28</v>
      </c>
      <c r="AG634">
        <v>7462.28</v>
      </c>
      <c r="AH634" s="14">
        <v>46269</v>
      </c>
      <c r="AI634" t="s">
        <v>266</v>
      </c>
      <c r="AJ634" s="13">
        <v>46265.054768518516</v>
      </c>
      <c r="AK634">
        <v>6763.31</v>
      </c>
      <c r="AL634" t="s">
        <v>259</v>
      </c>
      <c r="AM634" t="s">
        <v>260</v>
      </c>
      <c r="AN634">
        <v>1400</v>
      </c>
      <c r="AO634">
        <v>0</v>
      </c>
      <c r="AP634">
        <v>35</v>
      </c>
      <c r="AQ634">
        <v>85</v>
      </c>
      <c r="AR634">
        <v>35</v>
      </c>
      <c r="AS634">
        <v>2</v>
      </c>
      <c r="AT634">
        <v>23</v>
      </c>
      <c r="AU634">
        <v>1</v>
      </c>
      <c r="AV634">
        <v>0</v>
      </c>
      <c r="AW634">
        <v>10</v>
      </c>
      <c r="AX634">
        <v>1</v>
      </c>
      <c r="AY634">
        <v>5</v>
      </c>
      <c r="AZ634">
        <v>2</v>
      </c>
      <c r="BA634">
        <v>1</v>
      </c>
      <c r="BB634">
        <v>1440</v>
      </c>
      <c r="BC634">
        <v>0</v>
      </c>
      <c r="BD634">
        <v>0</v>
      </c>
      <c r="BE634">
        <v>14</v>
      </c>
      <c r="BF634">
        <v>25</v>
      </c>
      <c r="BG634">
        <v>3</v>
      </c>
      <c r="BH634">
        <v>8</v>
      </c>
      <c r="BI634">
        <v>3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0</v>
      </c>
      <c r="BQ634">
        <v>60</v>
      </c>
      <c r="BR634">
        <v>0</v>
      </c>
      <c r="BS634">
        <v>3</v>
      </c>
      <c r="BT634" t="s">
        <v>246</v>
      </c>
      <c r="BU634" t="s">
        <v>267</v>
      </c>
      <c r="BV634" t="b">
        <v>0</v>
      </c>
      <c r="BW634" t="s">
        <v>268</v>
      </c>
    </row>
    <row r="635" spans="1:75">
      <c r="A635" t="s">
        <v>246</v>
      </c>
      <c r="B635" t="s">
        <v>252</v>
      </c>
      <c r="C635">
        <v>989</v>
      </c>
      <c r="D635" t="s">
        <v>253</v>
      </c>
      <c r="E635" t="s">
        <v>254</v>
      </c>
      <c r="F635">
        <v>5</v>
      </c>
      <c r="G635" s="13">
        <v>46269.336770833332</v>
      </c>
      <c r="H635" s="13">
        <v>46269.33697916667</v>
      </c>
      <c r="I635">
        <v>18</v>
      </c>
      <c r="J635" t="s">
        <v>264</v>
      </c>
      <c r="K635">
        <v>1</v>
      </c>
      <c r="L635">
        <v>0.01</v>
      </c>
      <c r="M635">
        <v>0.01</v>
      </c>
      <c r="N635">
        <v>1</v>
      </c>
      <c r="O635">
        <v>0.01</v>
      </c>
      <c r="P635">
        <v>0.17</v>
      </c>
      <c r="Q635">
        <v>1.06</v>
      </c>
      <c r="R635">
        <v>0.73</v>
      </c>
      <c r="S635" t="s">
        <v>256</v>
      </c>
      <c r="T635" t="s">
        <v>257</v>
      </c>
      <c r="U635">
        <v>10</v>
      </c>
      <c r="V635">
        <v>7462.11</v>
      </c>
      <c r="W635">
        <v>4999.83</v>
      </c>
      <c r="X635">
        <v>4999.83</v>
      </c>
      <c r="Y635">
        <v>0</v>
      </c>
      <c r="Z635">
        <v>0</v>
      </c>
      <c r="AA635">
        <v>35</v>
      </c>
      <c r="AB635">
        <v>50</v>
      </c>
      <c r="AC635">
        <v>5000</v>
      </c>
      <c r="AD635">
        <v>0</v>
      </c>
      <c r="AE635">
        <v>0</v>
      </c>
      <c r="AF635">
        <v>7462.99</v>
      </c>
      <c r="AG635">
        <v>7462.99</v>
      </c>
      <c r="AH635" s="14">
        <v>46269</v>
      </c>
      <c r="AI635" t="s">
        <v>266</v>
      </c>
      <c r="AJ635" s="13">
        <v>46265.054768518516</v>
      </c>
      <c r="AK635">
        <v>6763.31</v>
      </c>
      <c r="AL635" t="s">
        <v>259</v>
      </c>
      <c r="AM635" t="s">
        <v>260</v>
      </c>
      <c r="AN635">
        <v>1400</v>
      </c>
      <c r="AO635">
        <v>0</v>
      </c>
      <c r="AP635">
        <v>35</v>
      </c>
      <c r="AQ635">
        <v>85</v>
      </c>
      <c r="AR635">
        <v>35</v>
      </c>
      <c r="AS635">
        <v>2</v>
      </c>
      <c r="AT635">
        <v>23</v>
      </c>
      <c r="AU635">
        <v>1</v>
      </c>
      <c r="AV635">
        <v>0</v>
      </c>
      <c r="AW635">
        <v>10</v>
      </c>
      <c r="AX635">
        <v>1</v>
      </c>
      <c r="AY635">
        <v>5</v>
      </c>
      <c r="AZ635">
        <v>2</v>
      </c>
      <c r="BA635">
        <v>1</v>
      </c>
      <c r="BB635">
        <v>1440</v>
      </c>
      <c r="BC635">
        <v>0</v>
      </c>
      <c r="BD635">
        <v>0</v>
      </c>
      <c r="BE635">
        <v>14</v>
      </c>
      <c r="BF635">
        <v>25</v>
      </c>
      <c r="BG635">
        <v>3</v>
      </c>
      <c r="BH635">
        <v>8</v>
      </c>
      <c r="BI635">
        <v>3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0</v>
      </c>
      <c r="BQ635">
        <v>60</v>
      </c>
      <c r="BR635">
        <v>0</v>
      </c>
      <c r="BS635">
        <v>3</v>
      </c>
      <c r="BT635" t="s">
        <v>246</v>
      </c>
      <c r="BU635" t="s">
        <v>267</v>
      </c>
      <c r="BV635" t="b">
        <v>0</v>
      </c>
      <c r="BW635" t="s">
        <v>268</v>
      </c>
    </row>
    <row r="636" spans="1:75">
      <c r="A636" t="s">
        <v>246</v>
      </c>
      <c r="B636" t="s">
        <v>252</v>
      </c>
      <c r="C636">
        <v>990</v>
      </c>
      <c r="D636" t="s">
        <v>253</v>
      </c>
      <c r="E636" t="s">
        <v>254</v>
      </c>
      <c r="F636">
        <v>5</v>
      </c>
      <c r="G636" s="13">
        <v>46269.339375000003</v>
      </c>
      <c r="H636" s="13">
        <v>46269.346909722219</v>
      </c>
      <c r="I636">
        <v>651</v>
      </c>
      <c r="J636" t="s">
        <v>255</v>
      </c>
      <c r="K636">
        <v>2</v>
      </c>
      <c r="L636">
        <v>0.02</v>
      </c>
      <c r="M636">
        <v>0.01</v>
      </c>
      <c r="N636">
        <v>2</v>
      </c>
      <c r="O636">
        <v>0.02</v>
      </c>
      <c r="P636">
        <v>4.4000000000000004</v>
      </c>
      <c r="Q636">
        <v>5.76</v>
      </c>
      <c r="R636">
        <v>3.7</v>
      </c>
      <c r="S636" t="s">
        <v>263</v>
      </c>
      <c r="T636" t="s">
        <v>257</v>
      </c>
      <c r="U636">
        <v>11</v>
      </c>
      <c r="V636">
        <v>7462.83</v>
      </c>
      <c r="W636">
        <v>4999.84</v>
      </c>
      <c r="X636">
        <v>4995.6000000000004</v>
      </c>
      <c r="Y636">
        <v>0</v>
      </c>
      <c r="Z636">
        <v>0</v>
      </c>
      <c r="AA636">
        <v>35</v>
      </c>
      <c r="AB636">
        <v>50</v>
      </c>
      <c r="AC636">
        <v>5000</v>
      </c>
      <c r="AD636">
        <v>0</v>
      </c>
      <c r="AE636">
        <v>0</v>
      </c>
      <c r="AF636">
        <v>7466.61</v>
      </c>
      <c r="AG636">
        <v>7466.61</v>
      </c>
      <c r="AH636" s="14">
        <v>46269</v>
      </c>
      <c r="AI636" t="s">
        <v>266</v>
      </c>
      <c r="AJ636" s="13">
        <v>46265.054768518516</v>
      </c>
      <c r="AK636">
        <v>6763.31</v>
      </c>
      <c r="AL636" t="s">
        <v>259</v>
      </c>
      <c r="AM636" t="s">
        <v>260</v>
      </c>
      <c r="AN636">
        <v>1400</v>
      </c>
      <c r="AO636">
        <v>0</v>
      </c>
      <c r="AP636">
        <v>35</v>
      </c>
      <c r="AQ636">
        <v>85</v>
      </c>
      <c r="AR636">
        <v>35</v>
      </c>
      <c r="AS636">
        <v>2</v>
      </c>
      <c r="AT636">
        <v>23</v>
      </c>
      <c r="AU636">
        <v>1</v>
      </c>
      <c r="AV636">
        <v>0</v>
      </c>
      <c r="AW636">
        <v>10</v>
      </c>
      <c r="AX636">
        <v>1</v>
      </c>
      <c r="AY636">
        <v>5</v>
      </c>
      <c r="AZ636">
        <v>2</v>
      </c>
      <c r="BA636">
        <v>1</v>
      </c>
      <c r="BB636">
        <v>1440</v>
      </c>
      <c r="BC636">
        <v>0</v>
      </c>
      <c r="BD636">
        <v>0</v>
      </c>
      <c r="BE636">
        <v>14</v>
      </c>
      <c r="BF636">
        <v>25</v>
      </c>
      <c r="BG636">
        <v>3</v>
      </c>
      <c r="BH636">
        <v>8</v>
      </c>
      <c r="BI636">
        <v>3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0</v>
      </c>
      <c r="BQ636">
        <v>60</v>
      </c>
      <c r="BR636">
        <v>0</v>
      </c>
      <c r="BS636">
        <v>3</v>
      </c>
      <c r="BT636" t="s">
        <v>246</v>
      </c>
      <c r="BU636" t="s">
        <v>267</v>
      </c>
      <c r="BV636" t="b">
        <v>0</v>
      </c>
      <c r="BW636" t="s">
        <v>268</v>
      </c>
    </row>
    <row r="637" spans="1:75">
      <c r="A637" t="s">
        <v>246</v>
      </c>
      <c r="B637" t="s">
        <v>252</v>
      </c>
      <c r="C637">
        <v>991</v>
      </c>
      <c r="D637" t="s">
        <v>253</v>
      </c>
      <c r="E637" t="s">
        <v>254</v>
      </c>
      <c r="F637">
        <v>5</v>
      </c>
      <c r="G637" s="13">
        <v>46269.348564814813</v>
      </c>
      <c r="H637" s="13">
        <v>46269.352939814817</v>
      </c>
      <c r="I637">
        <v>378</v>
      </c>
      <c r="J637" t="s">
        <v>264</v>
      </c>
      <c r="K637">
        <v>1</v>
      </c>
      <c r="L637">
        <v>0.01</v>
      </c>
      <c r="M637">
        <v>0.01</v>
      </c>
      <c r="N637">
        <v>1</v>
      </c>
      <c r="O637">
        <v>0.01</v>
      </c>
      <c r="P637">
        <v>0.73</v>
      </c>
      <c r="Q637">
        <v>1.37</v>
      </c>
      <c r="R637">
        <v>1.37</v>
      </c>
      <c r="S637" t="s">
        <v>256</v>
      </c>
      <c r="T637" t="s">
        <v>257</v>
      </c>
      <c r="U637">
        <v>10</v>
      </c>
      <c r="V637">
        <v>7466.44</v>
      </c>
      <c r="W637">
        <v>4999.83</v>
      </c>
      <c r="X637">
        <v>4999.2700000000004</v>
      </c>
      <c r="Y637">
        <v>0</v>
      </c>
      <c r="Z637">
        <v>0</v>
      </c>
      <c r="AA637">
        <v>35</v>
      </c>
      <c r="AB637">
        <v>50</v>
      </c>
      <c r="AC637">
        <v>5000</v>
      </c>
      <c r="AD637">
        <v>0</v>
      </c>
      <c r="AE637">
        <v>0</v>
      </c>
      <c r="AF637">
        <v>7467.63</v>
      </c>
      <c r="AG637">
        <v>7467.63</v>
      </c>
      <c r="AH637" s="14">
        <v>46269</v>
      </c>
      <c r="AI637" t="s">
        <v>266</v>
      </c>
      <c r="AJ637" s="13">
        <v>46265.054768518516</v>
      </c>
      <c r="AK637">
        <v>6763.31</v>
      </c>
      <c r="AL637" t="s">
        <v>259</v>
      </c>
      <c r="AM637" t="s">
        <v>260</v>
      </c>
      <c r="AN637">
        <v>1400</v>
      </c>
      <c r="AO637">
        <v>0</v>
      </c>
      <c r="AP637">
        <v>35</v>
      </c>
      <c r="AQ637">
        <v>85</v>
      </c>
      <c r="AR637">
        <v>35</v>
      </c>
      <c r="AS637">
        <v>2</v>
      </c>
      <c r="AT637">
        <v>23</v>
      </c>
      <c r="AU637">
        <v>1</v>
      </c>
      <c r="AV637">
        <v>0</v>
      </c>
      <c r="AW637">
        <v>10</v>
      </c>
      <c r="AX637">
        <v>1</v>
      </c>
      <c r="AY637">
        <v>5</v>
      </c>
      <c r="AZ637">
        <v>2</v>
      </c>
      <c r="BA637">
        <v>1</v>
      </c>
      <c r="BB637">
        <v>1440</v>
      </c>
      <c r="BC637">
        <v>0</v>
      </c>
      <c r="BD637">
        <v>0</v>
      </c>
      <c r="BE637">
        <v>14</v>
      </c>
      <c r="BF637">
        <v>25</v>
      </c>
      <c r="BG637">
        <v>3</v>
      </c>
      <c r="BH637">
        <v>8</v>
      </c>
      <c r="BI637">
        <v>3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0</v>
      </c>
      <c r="BQ637">
        <v>60</v>
      </c>
      <c r="BR637">
        <v>0</v>
      </c>
      <c r="BS637">
        <v>3</v>
      </c>
      <c r="BT637" t="s">
        <v>246</v>
      </c>
      <c r="BU637" t="s">
        <v>267</v>
      </c>
      <c r="BV637" t="b">
        <v>0</v>
      </c>
      <c r="BW637" t="s">
        <v>268</v>
      </c>
    </row>
    <row r="638" spans="1:75">
      <c r="A638" t="s">
        <v>246</v>
      </c>
      <c r="B638" t="s">
        <v>252</v>
      </c>
      <c r="C638">
        <v>992</v>
      </c>
      <c r="D638" t="s">
        <v>253</v>
      </c>
      <c r="E638" t="s">
        <v>254</v>
      </c>
      <c r="F638">
        <v>5</v>
      </c>
      <c r="G638" s="13">
        <v>46269.354548611111</v>
      </c>
      <c r="H638" s="13">
        <v>46269.354837962965</v>
      </c>
      <c r="I638">
        <v>25</v>
      </c>
      <c r="J638" t="s">
        <v>255</v>
      </c>
      <c r="K638">
        <v>1</v>
      </c>
      <c r="L638">
        <v>0.01</v>
      </c>
      <c r="M638">
        <v>0.01</v>
      </c>
      <c r="N638">
        <v>1</v>
      </c>
      <c r="O638">
        <v>0.01</v>
      </c>
      <c r="P638">
        <v>0.16</v>
      </c>
      <c r="Q638">
        <v>0.96</v>
      </c>
      <c r="R638">
        <v>0.95</v>
      </c>
      <c r="S638" t="s">
        <v>256</v>
      </c>
      <c r="T638" t="s">
        <v>257</v>
      </c>
      <c r="U638">
        <v>11</v>
      </c>
      <c r="V638">
        <v>7467.47</v>
      </c>
      <c r="W638">
        <v>4999.84</v>
      </c>
      <c r="X638">
        <v>4999.84</v>
      </c>
      <c r="Y638">
        <v>0</v>
      </c>
      <c r="Z638">
        <v>0</v>
      </c>
      <c r="AA638">
        <v>35</v>
      </c>
      <c r="AB638">
        <v>50</v>
      </c>
      <c r="AC638">
        <v>5000</v>
      </c>
      <c r="AD638">
        <v>0</v>
      </c>
      <c r="AE638">
        <v>0</v>
      </c>
      <c r="AF638">
        <v>7468.24</v>
      </c>
      <c r="AG638">
        <v>7468.24</v>
      </c>
      <c r="AH638" s="14">
        <v>46269</v>
      </c>
      <c r="AI638" t="s">
        <v>266</v>
      </c>
      <c r="AJ638" s="13">
        <v>46265.054768518516</v>
      </c>
      <c r="AK638">
        <v>6763.31</v>
      </c>
      <c r="AL638" t="s">
        <v>259</v>
      </c>
      <c r="AM638" t="s">
        <v>260</v>
      </c>
      <c r="AN638">
        <v>1400</v>
      </c>
      <c r="AO638">
        <v>0</v>
      </c>
      <c r="AP638">
        <v>35</v>
      </c>
      <c r="AQ638">
        <v>85</v>
      </c>
      <c r="AR638">
        <v>35</v>
      </c>
      <c r="AS638">
        <v>2</v>
      </c>
      <c r="AT638">
        <v>23</v>
      </c>
      <c r="AU638">
        <v>1</v>
      </c>
      <c r="AV638">
        <v>0</v>
      </c>
      <c r="AW638">
        <v>10</v>
      </c>
      <c r="AX638">
        <v>1</v>
      </c>
      <c r="AY638">
        <v>5</v>
      </c>
      <c r="AZ638">
        <v>2</v>
      </c>
      <c r="BA638">
        <v>1</v>
      </c>
      <c r="BB638">
        <v>1440</v>
      </c>
      <c r="BC638">
        <v>0</v>
      </c>
      <c r="BD638">
        <v>0</v>
      </c>
      <c r="BE638">
        <v>14</v>
      </c>
      <c r="BF638">
        <v>25</v>
      </c>
      <c r="BG638">
        <v>3</v>
      </c>
      <c r="BH638">
        <v>8</v>
      </c>
      <c r="BI638">
        <v>3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0</v>
      </c>
      <c r="BQ638">
        <v>60</v>
      </c>
      <c r="BR638">
        <v>0</v>
      </c>
      <c r="BS638">
        <v>3</v>
      </c>
      <c r="BT638" t="s">
        <v>246</v>
      </c>
      <c r="BU638" t="s">
        <v>267</v>
      </c>
      <c r="BV638" t="b">
        <v>0</v>
      </c>
      <c r="BW638" t="s">
        <v>268</v>
      </c>
    </row>
    <row r="639" spans="1:75">
      <c r="A639" t="s">
        <v>246</v>
      </c>
      <c r="B639" t="s">
        <v>252</v>
      </c>
      <c r="C639">
        <v>993</v>
      </c>
      <c r="D639" t="s">
        <v>253</v>
      </c>
      <c r="E639" t="s">
        <v>254</v>
      </c>
      <c r="F639">
        <v>5</v>
      </c>
      <c r="G639" s="13">
        <v>46269.358298611114</v>
      </c>
      <c r="H639" s="13">
        <v>46269.368715277778</v>
      </c>
      <c r="I639">
        <v>900</v>
      </c>
      <c r="J639" t="s">
        <v>264</v>
      </c>
      <c r="K639">
        <v>2</v>
      </c>
      <c r="L639">
        <v>0.02</v>
      </c>
      <c r="M639">
        <v>0.01</v>
      </c>
      <c r="N639">
        <v>2</v>
      </c>
      <c r="O639">
        <v>0.02</v>
      </c>
      <c r="P639">
        <v>8.02</v>
      </c>
      <c r="Q639">
        <v>6.77</v>
      </c>
      <c r="R639">
        <v>4.59</v>
      </c>
      <c r="S639" t="s">
        <v>263</v>
      </c>
      <c r="T639" t="s">
        <v>257</v>
      </c>
      <c r="U639">
        <v>10</v>
      </c>
      <c r="V639">
        <v>7468.08</v>
      </c>
      <c r="W639">
        <v>4999.84</v>
      </c>
      <c r="X639">
        <v>4991.9799999999996</v>
      </c>
      <c r="Y639">
        <v>0</v>
      </c>
      <c r="Z639">
        <v>0</v>
      </c>
      <c r="AA639">
        <v>35</v>
      </c>
      <c r="AB639">
        <v>50</v>
      </c>
      <c r="AC639">
        <v>5000</v>
      </c>
      <c r="AD639">
        <v>0</v>
      </c>
      <c r="AE639">
        <v>0</v>
      </c>
      <c r="AF639">
        <v>7472.88</v>
      </c>
      <c r="AG639">
        <v>7472.88</v>
      </c>
      <c r="AH639" s="14">
        <v>46269</v>
      </c>
      <c r="AI639" t="s">
        <v>266</v>
      </c>
      <c r="AJ639" s="13">
        <v>46265.054768518516</v>
      </c>
      <c r="AK639">
        <v>6763.31</v>
      </c>
      <c r="AL639" t="s">
        <v>259</v>
      </c>
      <c r="AM639" t="s">
        <v>260</v>
      </c>
      <c r="AN639">
        <v>1400</v>
      </c>
      <c r="AO639">
        <v>0</v>
      </c>
      <c r="AP639">
        <v>35</v>
      </c>
      <c r="AQ639">
        <v>85</v>
      </c>
      <c r="AR639">
        <v>35</v>
      </c>
      <c r="AS639">
        <v>2</v>
      </c>
      <c r="AT639">
        <v>23</v>
      </c>
      <c r="AU639">
        <v>1</v>
      </c>
      <c r="AV639">
        <v>0</v>
      </c>
      <c r="AW639">
        <v>10</v>
      </c>
      <c r="AX639">
        <v>1</v>
      </c>
      <c r="AY639">
        <v>5</v>
      </c>
      <c r="AZ639">
        <v>2</v>
      </c>
      <c r="BA639">
        <v>1</v>
      </c>
      <c r="BB639">
        <v>1440</v>
      </c>
      <c r="BC639">
        <v>0</v>
      </c>
      <c r="BD639">
        <v>0</v>
      </c>
      <c r="BE639">
        <v>14</v>
      </c>
      <c r="BF639">
        <v>25</v>
      </c>
      <c r="BG639">
        <v>3</v>
      </c>
      <c r="BH639">
        <v>8</v>
      </c>
      <c r="BI639">
        <v>3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0</v>
      </c>
      <c r="BQ639">
        <v>60</v>
      </c>
      <c r="BR639">
        <v>0</v>
      </c>
      <c r="BS639">
        <v>3</v>
      </c>
      <c r="BT639" t="s">
        <v>246</v>
      </c>
      <c r="BU639" t="s">
        <v>267</v>
      </c>
      <c r="BV639" t="b">
        <v>0</v>
      </c>
      <c r="BW639" t="s">
        <v>268</v>
      </c>
    </row>
    <row r="640" spans="1:75">
      <c r="A640" t="s">
        <v>246</v>
      </c>
      <c r="B640" t="s">
        <v>252</v>
      </c>
      <c r="C640">
        <v>994</v>
      </c>
      <c r="D640" t="s">
        <v>253</v>
      </c>
      <c r="E640" t="s">
        <v>254</v>
      </c>
      <c r="F640">
        <v>5</v>
      </c>
      <c r="G640" s="13">
        <v>46269.374050925922</v>
      </c>
      <c r="H640" s="13">
        <v>46269.374502314815</v>
      </c>
      <c r="I640">
        <v>39</v>
      </c>
      <c r="J640" t="s">
        <v>255</v>
      </c>
      <c r="K640">
        <v>1</v>
      </c>
      <c r="L640">
        <v>0.01</v>
      </c>
      <c r="M640">
        <v>0.01</v>
      </c>
      <c r="N640">
        <v>1</v>
      </c>
      <c r="O640">
        <v>0.01</v>
      </c>
      <c r="P640">
        <v>0.25</v>
      </c>
      <c r="Q640">
        <v>1.21</v>
      </c>
      <c r="R640">
        <v>0.9</v>
      </c>
      <c r="S640" t="s">
        <v>256</v>
      </c>
      <c r="T640" t="s">
        <v>257</v>
      </c>
      <c r="U640">
        <v>11</v>
      </c>
      <c r="V640">
        <v>7472.71</v>
      </c>
      <c r="W640">
        <v>4999.83</v>
      </c>
      <c r="X640">
        <v>4999.75</v>
      </c>
      <c r="Y640">
        <v>0</v>
      </c>
      <c r="Z640">
        <v>0</v>
      </c>
      <c r="AA640">
        <v>35</v>
      </c>
      <c r="AB640">
        <v>50</v>
      </c>
      <c r="AC640">
        <v>5000</v>
      </c>
      <c r="AD640">
        <v>0</v>
      </c>
      <c r="AE640">
        <v>0</v>
      </c>
      <c r="AF640">
        <v>7473.74</v>
      </c>
      <c r="AG640">
        <v>7473.74</v>
      </c>
      <c r="AH640" s="14">
        <v>46269</v>
      </c>
      <c r="AI640" t="s">
        <v>266</v>
      </c>
      <c r="AJ640" s="13">
        <v>46265.054768518516</v>
      </c>
      <c r="AK640">
        <v>6763.31</v>
      </c>
      <c r="AL640" t="s">
        <v>259</v>
      </c>
      <c r="AM640" t="s">
        <v>260</v>
      </c>
      <c r="AN640">
        <v>1400</v>
      </c>
      <c r="AO640">
        <v>0</v>
      </c>
      <c r="AP640">
        <v>35</v>
      </c>
      <c r="AQ640">
        <v>85</v>
      </c>
      <c r="AR640">
        <v>35</v>
      </c>
      <c r="AS640">
        <v>2</v>
      </c>
      <c r="AT640">
        <v>23</v>
      </c>
      <c r="AU640">
        <v>1</v>
      </c>
      <c r="AV640">
        <v>0</v>
      </c>
      <c r="AW640">
        <v>10</v>
      </c>
      <c r="AX640">
        <v>1</v>
      </c>
      <c r="AY640">
        <v>5</v>
      </c>
      <c r="AZ640">
        <v>2</v>
      </c>
      <c r="BA640">
        <v>1</v>
      </c>
      <c r="BB640">
        <v>1440</v>
      </c>
      <c r="BC640">
        <v>0</v>
      </c>
      <c r="BD640">
        <v>0</v>
      </c>
      <c r="BE640">
        <v>14</v>
      </c>
      <c r="BF640">
        <v>25</v>
      </c>
      <c r="BG640">
        <v>3</v>
      </c>
      <c r="BH640">
        <v>8</v>
      </c>
      <c r="BI640">
        <v>3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0</v>
      </c>
      <c r="BQ640">
        <v>60</v>
      </c>
      <c r="BR640">
        <v>0</v>
      </c>
      <c r="BS640">
        <v>3</v>
      </c>
      <c r="BT640" t="s">
        <v>246</v>
      </c>
      <c r="BU640" t="s">
        <v>267</v>
      </c>
      <c r="BV640" t="b">
        <v>0</v>
      </c>
      <c r="BW640" t="s">
        <v>268</v>
      </c>
    </row>
    <row r="641" spans="1:75">
      <c r="A641" t="s">
        <v>246</v>
      </c>
      <c r="B641" t="s">
        <v>252</v>
      </c>
      <c r="C641">
        <v>995</v>
      </c>
      <c r="D641" t="s">
        <v>253</v>
      </c>
      <c r="E641" t="s">
        <v>254</v>
      </c>
      <c r="F641">
        <v>5</v>
      </c>
      <c r="G641" s="13">
        <v>46269.377928240741</v>
      </c>
      <c r="H641" s="13">
        <v>46269.38077546296</v>
      </c>
      <c r="I641">
        <v>246</v>
      </c>
      <c r="J641" t="s">
        <v>264</v>
      </c>
      <c r="K641">
        <v>1</v>
      </c>
      <c r="L641">
        <v>0.01</v>
      </c>
      <c r="M641">
        <v>0.01</v>
      </c>
      <c r="N641">
        <v>1</v>
      </c>
      <c r="O641">
        <v>0.01</v>
      </c>
      <c r="P641">
        <v>1.97</v>
      </c>
      <c r="Q641">
        <v>1.21</v>
      </c>
      <c r="R641">
        <v>1.21</v>
      </c>
      <c r="S641" t="s">
        <v>256</v>
      </c>
      <c r="T641" t="s">
        <v>257</v>
      </c>
      <c r="U641">
        <v>11</v>
      </c>
      <c r="V641">
        <v>7473.58</v>
      </c>
      <c r="W641">
        <v>4999.84</v>
      </c>
      <c r="X641">
        <v>4998.03</v>
      </c>
      <c r="Y641">
        <v>0</v>
      </c>
      <c r="Z641">
        <v>0</v>
      </c>
      <c r="AA641">
        <v>35</v>
      </c>
      <c r="AB641">
        <v>50</v>
      </c>
      <c r="AC641">
        <v>5000</v>
      </c>
      <c r="AD641">
        <v>0</v>
      </c>
      <c r="AE641">
        <v>0</v>
      </c>
      <c r="AF641">
        <v>7474.6</v>
      </c>
      <c r="AG641">
        <v>7474.6</v>
      </c>
      <c r="AH641" s="14">
        <v>46269</v>
      </c>
      <c r="AI641" t="s">
        <v>266</v>
      </c>
      <c r="AJ641" s="13">
        <v>46265.054768518516</v>
      </c>
      <c r="AK641">
        <v>6763.31</v>
      </c>
      <c r="AL641" t="s">
        <v>259</v>
      </c>
      <c r="AM641" t="s">
        <v>260</v>
      </c>
      <c r="AN641">
        <v>1400</v>
      </c>
      <c r="AO641">
        <v>0</v>
      </c>
      <c r="AP641">
        <v>35</v>
      </c>
      <c r="AQ641">
        <v>85</v>
      </c>
      <c r="AR641">
        <v>35</v>
      </c>
      <c r="AS641">
        <v>2</v>
      </c>
      <c r="AT641">
        <v>23</v>
      </c>
      <c r="AU641">
        <v>1</v>
      </c>
      <c r="AV641">
        <v>0</v>
      </c>
      <c r="AW641">
        <v>10</v>
      </c>
      <c r="AX641">
        <v>1</v>
      </c>
      <c r="AY641">
        <v>5</v>
      </c>
      <c r="AZ641">
        <v>2</v>
      </c>
      <c r="BA641">
        <v>1</v>
      </c>
      <c r="BB641">
        <v>1440</v>
      </c>
      <c r="BC641">
        <v>0</v>
      </c>
      <c r="BD641">
        <v>0</v>
      </c>
      <c r="BE641">
        <v>14</v>
      </c>
      <c r="BF641">
        <v>25</v>
      </c>
      <c r="BG641">
        <v>3</v>
      </c>
      <c r="BH641">
        <v>8</v>
      </c>
      <c r="BI641">
        <v>3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0</v>
      </c>
      <c r="BQ641">
        <v>60</v>
      </c>
      <c r="BR641">
        <v>0</v>
      </c>
      <c r="BS641">
        <v>3</v>
      </c>
      <c r="BT641" t="s">
        <v>246</v>
      </c>
      <c r="BU641" t="s">
        <v>267</v>
      </c>
      <c r="BV641" t="b">
        <v>0</v>
      </c>
      <c r="BW641" t="s">
        <v>268</v>
      </c>
    </row>
    <row r="642" spans="1:75">
      <c r="A642" t="s">
        <v>246</v>
      </c>
      <c r="B642" t="s">
        <v>252</v>
      </c>
      <c r="C642">
        <v>996</v>
      </c>
      <c r="D642" t="s">
        <v>253</v>
      </c>
      <c r="E642" t="s">
        <v>254</v>
      </c>
      <c r="F642">
        <v>5</v>
      </c>
      <c r="G642" s="13">
        <v>46269.381550925929</v>
      </c>
      <c r="H642" s="13">
        <v>46269.399618055555</v>
      </c>
      <c r="I642">
        <v>1561</v>
      </c>
      <c r="J642" t="s">
        <v>264</v>
      </c>
      <c r="K642">
        <v>4</v>
      </c>
      <c r="L642">
        <v>0.04</v>
      </c>
      <c r="M642">
        <v>0.01</v>
      </c>
      <c r="N642">
        <v>4</v>
      </c>
      <c r="O642">
        <v>0.04</v>
      </c>
      <c r="P642">
        <v>12.37</v>
      </c>
      <c r="Q642">
        <v>10.69</v>
      </c>
      <c r="R642">
        <v>8.17</v>
      </c>
      <c r="S642" t="s">
        <v>263</v>
      </c>
      <c r="T642" t="s">
        <v>257</v>
      </c>
      <c r="U642">
        <v>11</v>
      </c>
      <c r="V642">
        <v>7474.43</v>
      </c>
      <c r="W642">
        <v>4999.83</v>
      </c>
      <c r="X642">
        <v>4987.63</v>
      </c>
      <c r="Y642">
        <v>0</v>
      </c>
      <c r="Z642">
        <v>0</v>
      </c>
      <c r="AA642">
        <v>35</v>
      </c>
      <c r="AB642">
        <v>50</v>
      </c>
      <c r="AC642">
        <v>5000</v>
      </c>
      <c r="AD642">
        <v>0</v>
      </c>
      <c r="AE642">
        <v>0</v>
      </c>
      <c r="AF642">
        <v>7482.71</v>
      </c>
      <c r="AG642">
        <v>7482.71</v>
      </c>
      <c r="AH642" s="14">
        <v>46269</v>
      </c>
      <c r="AI642" t="s">
        <v>266</v>
      </c>
      <c r="AJ642" s="13">
        <v>46265.054768518516</v>
      </c>
      <c r="AK642">
        <v>6763.31</v>
      </c>
      <c r="AL642" t="s">
        <v>259</v>
      </c>
      <c r="AM642" t="s">
        <v>260</v>
      </c>
      <c r="AN642">
        <v>1400</v>
      </c>
      <c r="AO642">
        <v>0</v>
      </c>
      <c r="AP642">
        <v>35</v>
      </c>
      <c r="AQ642">
        <v>85</v>
      </c>
      <c r="AR642">
        <v>35</v>
      </c>
      <c r="AS642">
        <v>2</v>
      </c>
      <c r="AT642">
        <v>23</v>
      </c>
      <c r="AU642">
        <v>1</v>
      </c>
      <c r="AV642">
        <v>0</v>
      </c>
      <c r="AW642">
        <v>10</v>
      </c>
      <c r="AX642">
        <v>1</v>
      </c>
      <c r="AY642">
        <v>5</v>
      </c>
      <c r="AZ642">
        <v>2</v>
      </c>
      <c r="BA642">
        <v>1</v>
      </c>
      <c r="BB642">
        <v>1440</v>
      </c>
      <c r="BC642">
        <v>0</v>
      </c>
      <c r="BD642">
        <v>0</v>
      </c>
      <c r="BE642">
        <v>14</v>
      </c>
      <c r="BF642">
        <v>25</v>
      </c>
      <c r="BG642">
        <v>3</v>
      </c>
      <c r="BH642">
        <v>8</v>
      </c>
      <c r="BI642">
        <v>3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0</v>
      </c>
      <c r="BQ642">
        <v>60</v>
      </c>
      <c r="BR642">
        <v>0</v>
      </c>
      <c r="BS642">
        <v>3</v>
      </c>
      <c r="BT642" t="s">
        <v>246</v>
      </c>
      <c r="BU642" t="s">
        <v>267</v>
      </c>
      <c r="BV642" t="b">
        <v>0</v>
      </c>
      <c r="BW642" t="s">
        <v>268</v>
      </c>
    </row>
    <row r="643" spans="1:75">
      <c r="A643" t="s">
        <v>246</v>
      </c>
      <c r="B643" t="s">
        <v>252</v>
      </c>
      <c r="C643">
        <v>997</v>
      </c>
      <c r="D643" t="s">
        <v>253</v>
      </c>
      <c r="E643" t="s">
        <v>254</v>
      </c>
      <c r="F643">
        <v>5</v>
      </c>
      <c r="G643" s="13">
        <v>46269.403912037036</v>
      </c>
      <c r="H643" s="13">
        <v>46269.424583333333</v>
      </c>
      <c r="I643">
        <v>1786</v>
      </c>
      <c r="J643" t="s">
        <v>255</v>
      </c>
      <c r="K643">
        <v>3</v>
      </c>
      <c r="L643">
        <v>0.03</v>
      </c>
      <c r="M643">
        <v>0.01</v>
      </c>
      <c r="N643">
        <v>3</v>
      </c>
      <c r="O643">
        <v>0.03</v>
      </c>
      <c r="P643">
        <v>8.08</v>
      </c>
      <c r="Q643">
        <v>10.17</v>
      </c>
      <c r="R643">
        <v>7.98</v>
      </c>
      <c r="S643" t="s">
        <v>263</v>
      </c>
      <c r="T643" t="s">
        <v>257</v>
      </c>
      <c r="U643">
        <v>10</v>
      </c>
      <c r="V643">
        <v>7482.54</v>
      </c>
      <c r="W643">
        <v>4999.83</v>
      </c>
      <c r="X643">
        <v>4991.92</v>
      </c>
      <c r="Y643">
        <v>0</v>
      </c>
      <c r="Z643">
        <v>0</v>
      </c>
      <c r="AA643">
        <v>35</v>
      </c>
      <c r="AB643">
        <v>50</v>
      </c>
      <c r="AC643">
        <v>5000</v>
      </c>
      <c r="AD643">
        <v>0</v>
      </c>
      <c r="AE643">
        <v>0</v>
      </c>
      <c r="AF643">
        <v>7490.63</v>
      </c>
      <c r="AG643">
        <v>7490.63</v>
      </c>
      <c r="AH643" s="14">
        <v>46269</v>
      </c>
      <c r="AI643" t="s">
        <v>266</v>
      </c>
      <c r="AJ643" s="13">
        <v>46265.054768518516</v>
      </c>
      <c r="AK643">
        <v>6763.31</v>
      </c>
      <c r="AL643" t="s">
        <v>259</v>
      </c>
      <c r="AM643" t="s">
        <v>260</v>
      </c>
      <c r="AN643">
        <v>1400</v>
      </c>
      <c r="AO643">
        <v>0</v>
      </c>
      <c r="AP643">
        <v>35</v>
      </c>
      <c r="AQ643">
        <v>85</v>
      </c>
      <c r="AR643">
        <v>35</v>
      </c>
      <c r="AS643">
        <v>2</v>
      </c>
      <c r="AT643">
        <v>23</v>
      </c>
      <c r="AU643">
        <v>1</v>
      </c>
      <c r="AV643">
        <v>0</v>
      </c>
      <c r="AW643">
        <v>10</v>
      </c>
      <c r="AX643">
        <v>1</v>
      </c>
      <c r="AY643">
        <v>5</v>
      </c>
      <c r="AZ643">
        <v>2</v>
      </c>
      <c r="BA643">
        <v>1</v>
      </c>
      <c r="BB643">
        <v>1440</v>
      </c>
      <c r="BC643">
        <v>0</v>
      </c>
      <c r="BD643">
        <v>0</v>
      </c>
      <c r="BE643">
        <v>14</v>
      </c>
      <c r="BF643">
        <v>25</v>
      </c>
      <c r="BG643">
        <v>3</v>
      </c>
      <c r="BH643">
        <v>8</v>
      </c>
      <c r="BI643">
        <v>3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0</v>
      </c>
      <c r="BQ643">
        <v>60</v>
      </c>
      <c r="BR643">
        <v>0</v>
      </c>
      <c r="BS643">
        <v>3</v>
      </c>
      <c r="BT643" t="s">
        <v>246</v>
      </c>
      <c r="BU643" t="s">
        <v>267</v>
      </c>
      <c r="BV643" t="b">
        <v>0</v>
      </c>
      <c r="BW643" t="s">
        <v>268</v>
      </c>
    </row>
    <row r="644" spans="1:75">
      <c r="A644" t="s">
        <v>246</v>
      </c>
      <c r="B644" t="s">
        <v>252</v>
      </c>
      <c r="C644">
        <v>998</v>
      </c>
      <c r="D644" t="s">
        <v>253</v>
      </c>
      <c r="E644" t="s">
        <v>254</v>
      </c>
      <c r="F644">
        <v>5</v>
      </c>
      <c r="G644" s="13">
        <v>46269.427071759259</v>
      </c>
      <c r="H644" s="13">
        <v>46269.427395833336</v>
      </c>
      <c r="I644">
        <v>28</v>
      </c>
      <c r="J644" t="s">
        <v>264</v>
      </c>
      <c r="K644">
        <v>1</v>
      </c>
      <c r="L644">
        <v>0.01</v>
      </c>
      <c r="M644">
        <v>0.01</v>
      </c>
      <c r="N644">
        <v>1</v>
      </c>
      <c r="O644">
        <v>0.01</v>
      </c>
      <c r="P644">
        <v>0.15</v>
      </c>
      <c r="Q644">
        <v>0.99</v>
      </c>
      <c r="R644">
        <v>0.73</v>
      </c>
      <c r="S644" t="s">
        <v>256</v>
      </c>
      <c r="T644" t="s">
        <v>257</v>
      </c>
      <c r="U644">
        <v>11</v>
      </c>
      <c r="V644">
        <v>7490.48</v>
      </c>
      <c r="W644">
        <v>4999.8500000000004</v>
      </c>
      <c r="X644">
        <v>4999.8500000000004</v>
      </c>
      <c r="Y644">
        <v>0</v>
      </c>
      <c r="Z644">
        <v>0</v>
      </c>
      <c r="AA644">
        <v>35</v>
      </c>
      <c r="AB644">
        <v>50</v>
      </c>
      <c r="AC644">
        <v>5000</v>
      </c>
      <c r="AD644">
        <v>0</v>
      </c>
      <c r="AE644">
        <v>0</v>
      </c>
      <c r="AF644">
        <v>7491.27</v>
      </c>
      <c r="AG644">
        <v>7491.27</v>
      </c>
      <c r="AH644" s="14">
        <v>46269</v>
      </c>
      <c r="AI644" t="s">
        <v>266</v>
      </c>
      <c r="AJ644" s="13">
        <v>46265.054768518516</v>
      </c>
      <c r="AK644">
        <v>6763.31</v>
      </c>
      <c r="AL644" t="s">
        <v>259</v>
      </c>
      <c r="AM644" t="s">
        <v>260</v>
      </c>
      <c r="AN644">
        <v>1400</v>
      </c>
      <c r="AO644">
        <v>0</v>
      </c>
      <c r="AP644">
        <v>35</v>
      </c>
      <c r="AQ644">
        <v>85</v>
      </c>
      <c r="AR644">
        <v>35</v>
      </c>
      <c r="AS644">
        <v>2</v>
      </c>
      <c r="AT644">
        <v>23</v>
      </c>
      <c r="AU644">
        <v>1</v>
      </c>
      <c r="AV644">
        <v>0</v>
      </c>
      <c r="AW644">
        <v>10</v>
      </c>
      <c r="AX644">
        <v>1</v>
      </c>
      <c r="AY644">
        <v>5</v>
      </c>
      <c r="AZ644">
        <v>2</v>
      </c>
      <c r="BA644">
        <v>1</v>
      </c>
      <c r="BB644">
        <v>1440</v>
      </c>
      <c r="BC644">
        <v>0</v>
      </c>
      <c r="BD644">
        <v>0</v>
      </c>
      <c r="BE644">
        <v>14</v>
      </c>
      <c r="BF644">
        <v>25</v>
      </c>
      <c r="BG644">
        <v>3</v>
      </c>
      <c r="BH644">
        <v>8</v>
      </c>
      <c r="BI644">
        <v>3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0</v>
      </c>
      <c r="BQ644">
        <v>60</v>
      </c>
      <c r="BR644">
        <v>0</v>
      </c>
      <c r="BS644">
        <v>3</v>
      </c>
      <c r="BT644" t="s">
        <v>246</v>
      </c>
      <c r="BU644" t="s">
        <v>267</v>
      </c>
      <c r="BV644" t="b">
        <v>0</v>
      </c>
      <c r="BW644" t="s">
        <v>268</v>
      </c>
    </row>
    <row r="645" spans="1:75">
      <c r="A645" t="s">
        <v>246</v>
      </c>
      <c r="B645" t="s">
        <v>252</v>
      </c>
      <c r="C645">
        <v>999</v>
      </c>
      <c r="D645" t="s">
        <v>253</v>
      </c>
      <c r="E645" t="s">
        <v>254</v>
      </c>
      <c r="F645">
        <v>5</v>
      </c>
      <c r="G645" s="13">
        <v>46269.437106481484</v>
      </c>
      <c r="H645" s="13">
        <v>46269.438252314816</v>
      </c>
      <c r="I645">
        <v>99</v>
      </c>
      <c r="J645" t="s">
        <v>255</v>
      </c>
      <c r="K645">
        <v>1</v>
      </c>
      <c r="L645">
        <v>0.01</v>
      </c>
      <c r="M645">
        <v>0.01</v>
      </c>
      <c r="N645">
        <v>1</v>
      </c>
      <c r="O645">
        <v>0.01</v>
      </c>
      <c r="P645">
        <v>0.22</v>
      </c>
      <c r="Q645">
        <v>2.1800000000000002</v>
      </c>
      <c r="R645">
        <v>2.04</v>
      </c>
      <c r="S645" t="s">
        <v>256</v>
      </c>
      <c r="T645" t="s">
        <v>257</v>
      </c>
      <c r="U645">
        <v>11</v>
      </c>
      <c r="V645">
        <v>7491.11</v>
      </c>
      <c r="W645">
        <v>4999.84</v>
      </c>
      <c r="X645">
        <v>4999.78</v>
      </c>
      <c r="Y645">
        <v>0</v>
      </c>
      <c r="Z645">
        <v>0</v>
      </c>
      <c r="AA645">
        <v>35</v>
      </c>
      <c r="AB645">
        <v>50</v>
      </c>
      <c r="AC645">
        <v>5000</v>
      </c>
      <c r="AD645">
        <v>0</v>
      </c>
      <c r="AE645">
        <v>0</v>
      </c>
      <c r="AF645">
        <v>7493.1</v>
      </c>
      <c r="AG645">
        <v>7493.1</v>
      </c>
      <c r="AH645" s="14">
        <v>46269</v>
      </c>
      <c r="AI645" t="s">
        <v>266</v>
      </c>
      <c r="AJ645" s="13">
        <v>46265.054768518516</v>
      </c>
      <c r="AK645">
        <v>6763.31</v>
      </c>
      <c r="AL645" t="s">
        <v>259</v>
      </c>
      <c r="AM645" t="s">
        <v>260</v>
      </c>
      <c r="AN645">
        <v>1400</v>
      </c>
      <c r="AO645">
        <v>0</v>
      </c>
      <c r="AP645">
        <v>35</v>
      </c>
      <c r="AQ645">
        <v>85</v>
      </c>
      <c r="AR645">
        <v>35</v>
      </c>
      <c r="AS645">
        <v>2</v>
      </c>
      <c r="AT645">
        <v>23</v>
      </c>
      <c r="AU645">
        <v>1</v>
      </c>
      <c r="AV645">
        <v>0</v>
      </c>
      <c r="AW645">
        <v>10</v>
      </c>
      <c r="AX645">
        <v>1</v>
      </c>
      <c r="AY645">
        <v>5</v>
      </c>
      <c r="AZ645">
        <v>2</v>
      </c>
      <c r="BA645">
        <v>1</v>
      </c>
      <c r="BB645">
        <v>1440</v>
      </c>
      <c r="BC645">
        <v>0</v>
      </c>
      <c r="BD645">
        <v>0</v>
      </c>
      <c r="BE645">
        <v>14</v>
      </c>
      <c r="BF645">
        <v>25</v>
      </c>
      <c r="BG645">
        <v>3</v>
      </c>
      <c r="BH645">
        <v>8</v>
      </c>
      <c r="BI645">
        <v>3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0</v>
      </c>
      <c r="BQ645">
        <v>60</v>
      </c>
      <c r="BR645">
        <v>0</v>
      </c>
      <c r="BS645">
        <v>3</v>
      </c>
      <c r="BT645" t="s">
        <v>246</v>
      </c>
      <c r="BU645" t="s">
        <v>267</v>
      </c>
      <c r="BV645" t="b">
        <v>0</v>
      </c>
      <c r="BW645" t="s">
        <v>268</v>
      </c>
    </row>
    <row r="646" spans="1:75">
      <c r="A646" t="s">
        <v>246</v>
      </c>
      <c r="B646" t="s">
        <v>252</v>
      </c>
      <c r="C646">
        <v>1000</v>
      </c>
      <c r="D646" t="s">
        <v>253</v>
      </c>
      <c r="E646" t="s">
        <v>254</v>
      </c>
      <c r="F646">
        <v>5</v>
      </c>
      <c r="G646" s="13">
        <v>46269.445879629631</v>
      </c>
      <c r="H646" s="13">
        <v>46269.446203703701</v>
      </c>
      <c r="I646">
        <v>28</v>
      </c>
      <c r="J646" t="s">
        <v>255</v>
      </c>
      <c r="K646">
        <v>1</v>
      </c>
      <c r="L646">
        <v>0.01</v>
      </c>
      <c r="M646">
        <v>0.01</v>
      </c>
      <c r="N646">
        <v>1</v>
      </c>
      <c r="O646">
        <v>0.01</v>
      </c>
      <c r="P646">
        <v>0.2</v>
      </c>
      <c r="Q646">
        <v>1.95</v>
      </c>
      <c r="R646">
        <v>1.63</v>
      </c>
      <c r="S646" t="s">
        <v>256</v>
      </c>
      <c r="T646" t="s">
        <v>257</v>
      </c>
      <c r="U646">
        <v>14</v>
      </c>
      <c r="V646">
        <v>7492.9</v>
      </c>
      <c r="W646">
        <v>4999.8</v>
      </c>
      <c r="X646">
        <v>4999.8</v>
      </c>
      <c r="Y646">
        <v>0</v>
      </c>
      <c r="Z646">
        <v>0</v>
      </c>
      <c r="AA646">
        <v>35</v>
      </c>
      <c r="AB646">
        <v>50</v>
      </c>
      <c r="AC646">
        <v>5000</v>
      </c>
      <c r="AD646">
        <v>0</v>
      </c>
      <c r="AE646">
        <v>0</v>
      </c>
      <c r="AF646">
        <v>7494.7</v>
      </c>
      <c r="AG646">
        <v>7494.7</v>
      </c>
      <c r="AH646" s="14">
        <v>46269</v>
      </c>
      <c r="AI646" t="s">
        <v>266</v>
      </c>
      <c r="AJ646" s="13">
        <v>46265.054768518516</v>
      </c>
      <c r="AK646">
        <v>6763.31</v>
      </c>
      <c r="AL646" t="s">
        <v>259</v>
      </c>
      <c r="AM646" t="s">
        <v>260</v>
      </c>
      <c r="AN646">
        <v>1400</v>
      </c>
      <c r="AO646">
        <v>0</v>
      </c>
      <c r="AP646">
        <v>35</v>
      </c>
      <c r="AQ646">
        <v>85</v>
      </c>
      <c r="AR646">
        <v>35</v>
      </c>
      <c r="AS646">
        <v>2</v>
      </c>
      <c r="AT646">
        <v>23</v>
      </c>
      <c r="AU646">
        <v>1</v>
      </c>
      <c r="AV646">
        <v>0</v>
      </c>
      <c r="AW646">
        <v>10</v>
      </c>
      <c r="AX646">
        <v>1</v>
      </c>
      <c r="AY646">
        <v>5</v>
      </c>
      <c r="AZ646">
        <v>2</v>
      </c>
      <c r="BA646">
        <v>1</v>
      </c>
      <c r="BB646">
        <v>1440</v>
      </c>
      <c r="BC646">
        <v>0</v>
      </c>
      <c r="BD646">
        <v>0</v>
      </c>
      <c r="BE646">
        <v>14</v>
      </c>
      <c r="BF646">
        <v>25</v>
      </c>
      <c r="BG646">
        <v>3</v>
      </c>
      <c r="BH646">
        <v>8</v>
      </c>
      <c r="BI646">
        <v>3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0</v>
      </c>
      <c r="BQ646">
        <v>60</v>
      </c>
      <c r="BR646">
        <v>0</v>
      </c>
      <c r="BS646">
        <v>3</v>
      </c>
      <c r="BT646" t="s">
        <v>246</v>
      </c>
      <c r="BU646" t="s">
        <v>267</v>
      </c>
      <c r="BV646" t="b">
        <v>0</v>
      </c>
      <c r="BW646" t="s">
        <v>268</v>
      </c>
    </row>
    <row r="647" spans="1:75">
      <c r="A647" t="s">
        <v>246</v>
      </c>
      <c r="B647" t="s">
        <v>252</v>
      </c>
      <c r="C647">
        <v>1001</v>
      </c>
      <c r="D647" t="s">
        <v>253</v>
      </c>
      <c r="E647" t="s">
        <v>254</v>
      </c>
      <c r="F647">
        <v>5</v>
      </c>
      <c r="G647" s="13">
        <v>46269.448819444442</v>
      </c>
      <c r="H647" s="13">
        <v>46269.450601851851</v>
      </c>
      <c r="I647">
        <v>154</v>
      </c>
      <c r="J647" t="s">
        <v>255</v>
      </c>
      <c r="K647">
        <v>1</v>
      </c>
      <c r="L647">
        <v>0.01</v>
      </c>
      <c r="M647">
        <v>0.01</v>
      </c>
      <c r="N647">
        <v>1</v>
      </c>
      <c r="O647">
        <v>0.01</v>
      </c>
      <c r="P647">
        <v>2.44</v>
      </c>
      <c r="Q647">
        <v>1.94</v>
      </c>
      <c r="R647">
        <v>1.94</v>
      </c>
      <c r="S647" t="s">
        <v>256</v>
      </c>
      <c r="T647" t="s">
        <v>257</v>
      </c>
      <c r="U647">
        <v>11</v>
      </c>
      <c r="V647">
        <v>7494.53</v>
      </c>
      <c r="W647">
        <v>4999.83</v>
      </c>
      <c r="X647">
        <v>4997.5600000000004</v>
      </c>
      <c r="Y647">
        <v>0</v>
      </c>
      <c r="Z647">
        <v>0</v>
      </c>
      <c r="AA647">
        <v>35</v>
      </c>
      <c r="AB647">
        <v>50</v>
      </c>
      <c r="AC647">
        <v>5000</v>
      </c>
      <c r="AD647">
        <v>0</v>
      </c>
      <c r="AE647">
        <v>0</v>
      </c>
      <c r="AF647">
        <v>7496.29</v>
      </c>
      <c r="AG647">
        <v>7496.29</v>
      </c>
      <c r="AH647" s="14">
        <v>46269</v>
      </c>
      <c r="AI647" t="s">
        <v>266</v>
      </c>
      <c r="AJ647" s="13">
        <v>46265.054768518516</v>
      </c>
      <c r="AK647">
        <v>6763.31</v>
      </c>
      <c r="AL647" t="s">
        <v>259</v>
      </c>
      <c r="AM647" t="s">
        <v>260</v>
      </c>
      <c r="AN647">
        <v>1400</v>
      </c>
      <c r="AO647">
        <v>0</v>
      </c>
      <c r="AP647">
        <v>35</v>
      </c>
      <c r="AQ647">
        <v>85</v>
      </c>
      <c r="AR647">
        <v>35</v>
      </c>
      <c r="AS647">
        <v>2</v>
      </c>
      <c r="AT647">
        <v>23</v>
      </c>
      <c r="AU647">
        <v>1</v>
      </c>
      <c r="AV647">
        <v>0</v>
      </c>
      <c r="AW647">
        <v>10</v>
      </c>
      <c r="AX647">
        <v>1</v>
      </c>
      <c r="AY647">
        <v>5</v>
      </c>
      <c r="AZ647">
        <v>2</v>
      </c>
      <c r="BA647">
        <v>1</v>
      </c>
      <c r="BB647">
        <v>1440</v>
      </c>
      <c r="BC647">
        <v>0</v>
      </c>
      <c r="BD647">
        <v>0</v>
      </c>
      <c r="BE647">
        <v>14</v>
      </c>
      <c r="BF647">
        <v>25</v>
      </c>
      <c r="BG647">
        <v>3</v>
      </c>
      <c r="BH647">
        <v>8</v>
      </c>
      <c r="BI647">
        <v>3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0</v>
      </c>
      <c r="BQ647">
        <v>60</v>
      </c>
      <c r="BR647">
        <v>0</v>
      </c>
      <c r="BS647">
        <v>3</v>
      </c>
      <c r="BT647" t="s">
        <v>246</v>
      </c>
      <c r="BU647" t="s">
        <v>267</v>
      </c>
      <c r="BV647" t="b">
        <v>0</v>
      </c>
      <c r="BW647" t="s">
        <v>268</v>
      </c>
    </row>
    <row r="648" spans="1:75">
      <c r="A648" t="s">
        <v>246</v>
      </c>
      <c r="B648" t="s">
        <v>252</v>
      </c>
      <c r="C648">
        <v>1002</v>
      </c>
      <c r="D648" t="s">
        <v>253</v>
      </c>
      <c r="E648" t="s">
        <v>254</v>
      </c>
      <c r="F648">
        <v>5</v>
      </c>
      <c r="G648" s="13">
        <v>46269.452094907407</v>
      </c>
      <c r="H648" s="13">
        <v>46269.45349537037</v>
      </c>
      <c r="I648">
        <v>121</v>
      </c>
      <c r="J648" t="s">
        <v>264</v>
      </c>
      <c r="K648">
        <v>1</v>
      </c>
      <c r="L648">
        <v>0.01</v>
      </c>
      <c r="M648">
        <v>0.01</v>
      </c>
      <c r="N648">
        <v>1</v>
      </c>
      <c r="O648">
        <v>0.01</v>
      </c>
      <c r="P648">
        <v>0.79</v>
      </c>
      <c r="Q648">
        <v>1.84</v>
      </c>
      <c r="R648">
        <v>1.51</v>
      </c>
      <c r="S648" t="s">
        <v>256</v>
      </c>
      <c r="T648" t="s">
        <v>257</v>
      </c>
      <c r="U648">
        <v>11</v>
      </c>
      <c r="V648">
        <v>7495.99</v>
      </c>
      <c r="W648">
        <v>4999.7</v>
      </c>
      <c r="X648">
        <v>4999.21</v>
      </c>
      <c r="Y648">
        <v>0</v>
      </c>
      <c r="Z648">
        <v>0</v>
      </c>
      <c r="AA648">
        <v>35</v>
      </c>
      <c r="AB648">
        <v>50</v>
      </c>
      <c r="AC648">
        <v>5000</v>
      </c>
      <c r="AD648">
        <v>0</v>
      </c>
      <c r="AE648">
        <v>0</v>
      </c>
      <c r="AF648">
        <v>7497.77</v>
      </c>
      <c r="AG648">
        <v>7497.77</v>
      </c>
      <c r="AH648" s="14">
        <v>46269</v>
      </c>
      <c r="AI648" t="s">
        <v>266</v>
      </c>
      <c r="AJ648" s="13">
        <v>46265.054768518516</v>
      </c>
      <c r="AK648">
        <v>6763.31</v>
      </c>
      <c r="AL648" t="s">
        <v>259</v>
      </c>
      <c r="AM648" t="s">
        <v>260</v>
      </c>
      <c r="AN648">
        <v>1400</v>
      </c>
      <c r="AO648">
        <v>0</v>
      </c>
      <c r="AP648">
        <v>35</v>
      </c>
      <c r="AQ648">
        <v>85</v>
      </c>
      <c r="AR648">
        <v>35</v>
      </c>
      <c r="AS648">
        <v>2</v>
      </c>
      <c r="AT648">
        <v>23</v>
      </c>
      <c r="AU648">
        <v>1</v>
      </c>
      <c r="AV648">
        <v>0</v>
      </c>
      <c r="AW648">
        <v>10</v>
      </c>
      <c r="AX648">
        <v>1</v>
      </c>
      <c r="AY648">
        <v>5</v>
      </c>
      <c r="AZ648">
        <v>2</v>
      </c>
      <c r="BA648">
        <v>1</v>
      </c>
      <c r="BB648">
        <v>1440</v>
      </c>
      <c r="BC648">
        <v>0</v>
      </c>
      <c r="BD648">
        <v>0</v>
      </c>
      <c r="BE648">
        <v>14</v>
      </c>
      <c r="BF648">
        <v>25</v>
      </c>
      <c r="BG648">
        <v>3</v>
      </c>
      <c r="BH648">
        <v>8</v>
      </c>
      <c r="BI648">
        <v>3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0</v>
      </c>
      <c r="BQ648">
        <v>60</v>
      </c>
      <c r="BR648">
        <v>0</v>
      </c>
      <c r="BS648">
        <v>3</v>
      </c>
      <c r="BT648" t="s">
        <v>246</v>
      </c>
      <c r="BU648" t="s">
        <v>267</v>
      </c>
      <c r="BV648" t="b">
        <v>0</v>
      </c>
      <c r="BW648" t="s">
        <v>268</v>
      </c>
    </row>
    <row r="649" spans="1:75">
      <c r="A649" t="s">
        <v>246</v>
      </c>
      <c r="B649" t="s">
        <v>252</v>
      </c>
      <c r="C649">
        <v>1003</v>
      </c>
      <c r="D649" t="s">
        <v>253</v>
      </c>
      <c r="E649" t="s">
        <v>254</v>
      </c>
      <c r="F649">
        <v>5</v>
      </c>
      <c r="G649" s="13">
        <v>46269.456608796296</v>
      </c>
      <c r="H649" s="13">
        <v>46269.456921296296</v>
      </c>
      <c r="I649">
        <v>27</v>
      </c>
      <c r="J649" t="s">
        <v>264</v>
      </c>
      <c r="K649">
        <v>1</v>
      </c>
      <c r="L649">
        <v>0.01</v>
      </c>
      <c r="M649">
        <v>0.01</v>
      </c>
      <c r="N649">
        <v>1</v>
      </c>
      <c r="O649">
        <v>0.01</v>
      </c>
      <c r="P649">
        <v>0.23</v>
      </c>
      <c r="Q649">
        <v>1.53</v>
      </c>
      <c r="R649">
        <v>1.51</v>
      </c>
      <c r="S649" t="s">
        <v>256</v>
      </c>
      <c r="T649" t="s">
        <v>257</v>
      </c>
      <c r="U649">
        <v>11</v>
      </c>
      <c r="V649">
        <v>7497.59</v>
      </c>
      <c r="W649">
        <v>4999.82</v>
      </c>
      <c r="X649">
        <v>4999.7700000000004</v>
      </c>
      <c r="Y649">
        <v>0</v>
      </c>
      <c r="Z649">
        <v>0</v>
      </c>
      <c r="AA649">
        <v>35</v>
      </c>
      <c r="AB649">
        <v>50</v>
      </c>
      <c r="AC649">
        <v>5000</v>
      </c>
      <c r="AD649">
        <v>0</v>
      </c>
      <c r="AE649">
        <v>0</v>
      </c>
      <c r="AF649">
        <v>7498.95</v>
      </c>
      <c r="AG649">
        <v>7498.95</v>
      </c>
      <c r="AH649" s="14">
        <v>46269</v>
      </c>
      <c r="AI649" t="s">
        <v>266</v>
      </c>
      <c r="AJ649" s="13">
        <v>46265.054768518516</v>
      </c>
      <c r="AK649">
        <v>6763.31</v>
      </c>
      <c r="AL649" t="s">
        <v>259</v>
      </c>
      <c r="AM649" t="s">
        <v>260</v>
      </c>
      <c r="AN649">
        <v>1400</v>
      </c>
      <c r="AO649">
        <v>0</v>
      </c>
      <c r="AP649">
        <v>35</v>
      </c>
      <c r="AQ649">
        <v>85</v>
      </c>
      <c r="AR649">
        <v>35</v>
      </c>
      <c r="AS649">
        <v>2</v>
      </c>
      <c r="AT649">
        <v>23</v>
      </c>
      <c r="AU649">
        <v>1</v>
      </c>
      <c r="AV649">
        <v>0</v>
      </c>
      <c r="AW649">
        <v>10</v>
      </c>
      <c r="AX649">
        <v>1</v>
      </c>
      <c r="AY649">
        <v>5</v>
      </c>
      <c r="AZ649">
        <v>2</v>
      </c>
      <c r="BA649">
        <v>1</v>
      </c>
      <c r="BB649">
        <v>1440</v>
      </c>
      <c r="BC649">
        <v>0</v>
      </c>
      <c r="BD649">
        <v>0</v>
      </c>
      <c r="BE649">
        <v>14</v>
      </c>
      <c r="BF649">
        <v>25</v>
      </c>
      <c r="BG649">
        <v>3</v>
      </c>
      <c r="BH649">
        <v>8</v>
      </c>
      <c r="BI649">
        <v>3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0</v>
      </c>
      <c r="BQ649">
        <v>60</v>
      </c>
      <c r="BR649">
        <v>0</v>
      </c>
      <c r="BS649">
        <v>3</v>
      </c>
      <c r="BT649" t="s">
        <v>246</v>
      </c>
      <c r="BU649" t="s">
        <v>267</v>
      </c>
      <c r="BV649" t="b">
        <v>0</v>
      </c>
      <c r="BW649" t="s">
        <v>268</v>
      </c>
    </row>
    <row r="650" spans="1:75">
      <c r="A650" t="s">
        <v>246</v>
      </c>
      <c r="B650" t="s">
        <v>252</v>
      </c>
      <c r="C650">
        <v>1004</v>
      </c>
      <c r="D650" t="s">
        <v>253</v>
      </c>
      <c r="E650" t="s">
        <v>254</v>
      </c>
      <c r="F650">
        <v>5</v>
      </c>
      <c r="G650" s="13">
        <v>46269.467685185184</v>
      </c>
      <c r="H650" s="13">
        <v>46269.470937500002</v>
      </c>
      <c r="I650">
        <v>281</v>
      </c>
      <c r="J650" t="s">
        <v>255</v>
      </c>
      <c r="K650">
        <v>1</v>
      </c>
      <c r="L650">
        <v>0.01</v>
      </c>
      <c r="M650">
        <v>0.01</v>
      </c>
      <c r="N650">
        <v>1</v>
      </c>
      <c r="O650">
        <v>0.01</v>
      </c>
      <c r="P650">
        <v>1.56</v>
      </c>
      <c r="Q650">
        <v>0.96</v>
      </c>
      <c r="R650">
        <v>0.63</v>
      </c>
      <c r="S650" t="s">
        <v>256</v>
      </c>
      <c r="T650" t="s">
        <v>257</v>
      </c>
      <c r="U650">
        <v>10</v>
      </c>
      <c r="V650">
        <v>7498.79</v>
      </c>
      <c r="W650">
        <v>4999.84</v>
      </c>
      <c r="X650">
        <v>4998.4399999999996</v>
      </c>
      <c r="Y650">
        <v>0</v>
      </c>
      <c r="Z650">
        <v>0</v>
      </c>
      <c r="AA650">
        <v>35</v>
      </c>
      <c r="AB650">
        <v>50</v>
      </c>
      <c r="AC650">
        <v>5000</v>
      </c>
      <c r="AD650">
        <v>0</v>
      </c>
      <c r="AE650">
        <v>0</v>
      </c>
      <c r="AF650">
        <v>7499.55</v>
      </c>
      <c r="AG650">
        <v>7499.55</v>
      </c>
      <c r="AH650" s="14">
        <v>46269</v>
      </c>
      <c r="AI650" t="s">
        <v>266</v>
      </c>
      <c r="AJ650" s="13">
        <v>46265.054768518516</v>
      </c>
      <c r="AK650">
        <v>6763.31</v>
      </c>
      <c r="AL650" t="s">
        <v>259</v>
      </c>
      <c r="AM650" t="s">
        <v>260</v>
      </c>
      <c r="AN650">
        <v>1400</v>
      </c>
      <c r="AO650">
        <v>0</v>
      </c>
      <c r="AP650">
        <v>35</v>
      </c>
      <c r="AQ650">
        <v>85</v>
      </c>
      <c r="AR650">
        <v>35</v>
      </c>
      <c r="AS650">
        <v>2</v>
      </c>
      <c r="AT650">
        <v>23</v>
      </c>
      <c r="AU650">
        <v>1</v>
      </c>
      <c r="AV650">
        <v>0</v>
      </c>
      <c r="AW650">
        <v>10</v>
      </c>
      <c r="AX650">
        <v>1</v>
      </c>
      <c r="AY650">
        <v>5</v>
      </c>
      <c r="AZ650">
        <v>2</v>
      </c>
      <c r="BA650">
        <v>1</v>
      </c>
      <c r="BB650">
        <v>1440</v>
      </c>
      <c r="BC650">
        <v>0</v>
      </c>
      <c r="BD650">
        <v>0</v>
      </c>
      <c r="BE650">
        <v>14</v>
      </c>
      <c r="BF650">
        <v>25</v>
      </c>
      <c r="BG650">
        <v>3</v>
      </c>
      <c r="BH650">
        <v>8</v>
      </c>
      <c r="BI650">
        <v>3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0</v>
      </c>
      <c r="BQ650">
        <v>60</v>
      </c>
      <c r="BR650">
        <v>0</v>
      </c>
      <c r="BS650">
        <v>3</v>
      </c>
      <c r="BT650" t="s">
        <v>246</v>
      </c>
      <c r="BU650" t="s">
        <v>267</v>
      </c>
      <c r="BV650" t="b">
        <v>0</v>
      </c>
      <c r="BW650" t="s">
        <v>268</v>
      </c>
    </row>
    <row r="651" spans="1:75">
      <c r="A651" t="s">
        <v>246</v>
      </c>
      <c r="B651" t="s">
        <v>252</v>
      </c>
      <c r="C651">
        <v>1005</v>
      </c>
      <c r="D651" t="s">
        <v>253</v>
      </c>
      <c r="E651" t="s">
        <v>254</v>
      </c>
      <c r="F651">
        <v>5</v>
      </c>
      <c r="G651" s="13">
        <v>46269.475115740737</v>
      </c>
      <c r="H651" s="13">
        <v>46269.480520833335</v>
      </c>
      <c r="I651">
        <v>467</v>
      </c>
      <c r="J651" t="s">
        <v>264</v>
      </c>
      <c r="K651">
        <v>1</v>
      </c>
      <c r="L651">
        <v>0.01</v>
      </c>
      <c r="M651">
        <v>0.01</v>
      </c>
      <c r="N651">
        <v>1</v>
      </c>
      <c r="O651">
        <v>0.01</v>
      </c>
      <c r="P651">
        <v>2.14</v>
      </c>
      <c r="Q651">
        <v>0.85</v>
      </c>
      <c r="R651">
        <v>0.81</v>
      </c>
      <c r="S651" t="s">
        <v>256</v>
      </c>
      <c r="T651" t="s">
        <v>257</v>
      </c>
      <c r="U651">
        <v>10</v>
      </c>
      <c r="V651">
        <v>7499.39</v>
      </c>
      <c r="W651">
        <v>4999.84</v>
      </c>
      <c r="X651">
        <v>4997.8599999999997</v>
      </c>
      <c r="Y651">
        <v>0</v>
      </c>
      <c r="Z651">
        <v>0</v>
      </c>
      <c r="AA651">
        <v>35</v>
      </c>
      <c r="AB651">
        <v>50</v>
      </c>
      <c r="AC651">
        <v>5000</v>
      </c>
      <c r="AD651">
        <v>0</v>
      </c>
      <c r="AE651">
        <v>0</v>
      </c>
      <c r="AF651">
        <v>7500.05</v>
      </c>
      <c r="AG651">
        <v>7500.05</v>
      </c>
      <c r="AH651" s="14">
        <v>46269</v>
      </c>
      <c r="AI651" t="s">
        <v>266</v>
      </c>
      <c r="AJ651" s="13">
        <v>46265.054768518516</v>
      </c>
      <c r="AK651">
        <v>6763.31</v>
      </c>
      <c r="AL651" t="s">
        <v>259</v>
      </c>
      <c r="AM651" t="s">
        <v>260</v>
      </c>
      <c r="AN651">
        <v>1400</v>
      </c>
      <c r="AO651">
        <v>0</v>
      </c>
      <c r="AP651">
        <v>35</v>
      </c>
      <c r="AQ651">
        <v>85</v>
      </c>
      <c r="AR651">
        <v>35</v>
      </c>
      <c r="AS651">
        <v>2</v>
      </c>
      <c r="AT651">
        <v>23</v>
      </c>
      <c r="AU651">
        <v>1</v>
      </c>
      <c r="AV651">
        <v>0</v>
      </c>
      <c r="AW651">
        <v>10</v>
      </c>
      <c r="AX651">
        <v>1</v>
      </c>
      <c r="AY651">
        <v>5</v>
      </c>
      <c r="AZ651">
        <v>2</v>
      </c>
      <c r="BA651">
        <v>1</v>
      </c>
      <c r="BB651">
        <v>1440</v>
      </c>
      <c r="BC651">
        <v>0</v>
      </c>
      <c r="BD651">
        <v>0</v>
      </c>
      <c r="BE651">
        <v>14</v>
      </c>
      <c r="BF651">
        <v>25</v>
      </c>
      <c r="BG651">
        <v>3</v>
      </c>
      <c r="BH651">
        <v>8</v>
      </c>
      <c r="BI651">
        <v>3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0</v>
      </c>
      <c r="BQ651">
        <v>60</v>
      </c>
      <c r="BR651">
        <v>0</v>
      </c>
      <c r="BS651">
        <v>3</v>
      </c>
      <c r="BT651" t="s">
        <v>246</v>
      </c>
      <c r="BU651" t="s">
        <v>267</v>
      </c>
      <c r="BV651" t="b">
        <v>0</v>
      </c>
      <c r="BW651" t="s">
        <v>268</v>
      </c>
    </row>
    <row r="652" spans="1:75">
      <c r="A652" t="s">
        <v>248</v>
      </c>
      <c r="B652" t="s">
        <v>252</v>
      </c>
      <c r="C652">
        <v>534</v>
      </c>
      <c r="D652" t="s">
        <v>253</v>
      </c>
      <c r="E652" t="s">
        <v>254</v>
      </c>
      <c r="F652">
        <v>5</v>
      </c>
      <c r="G652" s="13">
        <v>46265.087824074071</v>
      </c>
      <c r="H652" s="13">
        <v>46265.08929398148</v>
      </c>
      <c r="I652">
        <v>127</v>
      </c>
      <c r="J652" t="s">
        <v>255</v>
      </c>
      <c r="K652">
        <v>1</v>
      </c>
      <c r="L652">
        <v>0.04</v>
      </c>
      <c r="M652">
        <v>0.04</v>
      </c>
      <c r="N652">
        <v>1</v>
      </c>
      <c r="O652">
        <v>0.04</v>
      </c>
      <c r="P652">
        <v>7.28</v>
      </c>
      <c r="Q652">
        <v>4.3600000000000003</v>
      </c>
      <c r="R652">
        <v>4.3600000000000003</v>
      </c>
      <c r="S652" t="s">
        <v>256</v>
      </c>
      <c r="T652" t="s">
        <v>257</v>
      </c>
      <c r="U652">
        <v>11</v>
      </c>
      <c r="V652">
        <v>7052.34</v>
      </c>
      <c r="W652">
        <v>4999.3599999999997</v>
      </c>
      <c r="X652">
        <v>4992.72</v>
      </c>
      <c r="Y652">
        <v>0</v>
      </c>
      <c r="Z652">
        <v>0</v>
      </c>
      <c r="AA652">
        <v>35</v>
      </c>
      <c r="AB652">
        <v>50</v>
      </c>
      <c r="AC652">
        <v>5000</v>
      </c>
      <c r="AD652">
        <v>0</v>
      </c>
      <c r="AE652">
        <v>0</v>
      </c>
      <c r="AF652">
        <v>7055.94</v>
      </c>
      <c r="AG652">
        <v>7055.94</v>
      </c>
      <c r="AH652" s="14">
        <v>46265</v>
      </c>
      <c r="AI652" t="s">
        <v>269</v>
      </c>
      <c r="AJ652" s="13">
        <v>46265.054768518516</v>
      </c>
      <c r="AK652">
        <v>7052.98</v>
      </c>
      <c r="AL652" t="s">
        <v>259</v>
      </c>
      <c r="AM652" t="s">
        <v>260</v>
      </c>
      <c r="AN652">
        <v>1400</v>
      </c>
      <c r="AO652">
        <v>0</v>
      </c>
      <c r="AP652">
        <v>35</v>
      </c>
      <c r="AQ652">
        <v>85</v>
      </c>
      <c r="AR652">
        <v>35</v>
      </c>
      <c r="AS652">
        <v>2</v>
      </c>
      <c r="AT652">
        <v>23</v>
      </c>
      <c r="AU652">
        <v>1</v>
      </c>
      <c r="AV652">
        <v>0</v>
      </c>
      <c r="AW652">
        <v>10</v>
      </c>
      <c r="AX652">
        <v>1</v>
      </c>
      <c r="AY652">
        <v>7</v>
      </c>
      <c r="AZ652">
        <v>3</v>
      </c>
      <c r="BA652">
        <v>1</v>
      </c>
      <c r="BB652">
        <v>1440</v>
      </c>
      <c r="BC652">
        <v>0</v>
      </c>
      <c r="BD652">
        <v>0</v>
      </c>
      <c r="BE652">
        <v>14</v>
      </c>
      <c r="BF652">
        <v>25</v>
      </c>
      <c r="BG652">
        <v>3</v>
      </c>
      <c r="BH652">
        <v>8</v>
      </c>
      <c r="BI652">
        <v>3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0</v>
      </c>
      <c r="BQ652">
        <v>60</v>
      </c>
      <c r="BR652">
        <v>0</v>
      </c>
      <c r="BS652">
        <v>3</v>
      </c>
      <c r="BT652" t="s">
        <v>248</v>
      </c>
      <c r="BU652" t="s">
        <v>270</v>
      </c>
      <c r="BV652" t="b">
        <v>0</v>
      </c>
      <c r="BW652" t="s">
        <v>271</v>
      </c>
    </row>
    <row r="653" spans="1:75">
      <c r="A653" t="s">
        <v>248</v>
      </c>
      <c r="B653" t="s">
        <v>252</v>
      </c>
      <c r="C653">
        <v>535</v>
      </c>
      <c r="D653" t="s">
        <v>253</v>
      </c>
      <c r="E653" t="s">
        <v>254</v>
      </c>
      <c r="F653">
        <v>5</v>
      </c>
      <c r="G653" s="13">
        <v>46265.092928240738</v>
      </c>
      <c r="H653" s="13">
        <v>46265.093055555553</v>
      </c>
      <c r="I653">
        <v>11</v>
      </c>
      <c r="J653" t="s">
        <v>264</v>
      </c>
      <c r="K653">
        <v>1</v>
      </c>
      <c r="L653">
        <v>0.04</v>
      </c>
      <c r="M653">
        <v>0.04</v>
      </c>
      <c r="N653">
        <v>1</v>
      </c>
      <c r="O653">
        <v>0.04</v>
      </c>
      <c r="P653">
        <v>0.92</v>
      </c>
      <c r="Q653">
        <v>6.92</v>
      </c>
      <c r="R653">
        <v>6.88</v>
      </c>
      <c r="S653" t="s">
        <v>256</v>
      </c>
      <c r="T653" t="s">
        <v>257</v>
      </c>
      <c r="U653">
        <v>14</v>
      </c>
      <c r="V653">
        <v>7055.3</v>
      </c>
      <c r="W653">
        <v>4999.3599999999997</v>
      </c>
      <c r="X653">
        <v>4999.08</v>
      </c>
      <c r="Y653">
        <v>0</v>
      </c>
      <c r="Z653">
        <v>0</v>
      </c>
      <c r="AA653">
        <v>35</v>
      </c>
      <c r="AB653">
        <v>50</v>
      </c>
      <c r="AC653">
        <v>5000</v>
      </c>
      <c r="AD653">
        <v>0</v>
      </c>
      <c r="AE653">
        <v>0</v>
      </c>
      <c r="AF653">
        <v>7061.46</v>
      </c>
      <c r="AG653">
        <v>7061.46</v>
      </c>
      <c r="AH653" s="14">
        <v>46265</v>
      </c>
      <c r="AI653" t="s">
        <v>269</v>
      </c>
      <c r="AJ653" s="13">
        <v>46265.054768518516</v>
      </c>
      <c r="AK653">
        <v>7052.98</v>
      </c>
      <c r="AL653" t="s">
        <v>259</v>
      </c>
      <c r="AM653" t="s">
        <v>260</v>
      </c>
      <c r="AN653">
        <v>1400</v>
      </c>
      <c r="AO653">
        <v>0</v>
      </c>
      <c r="AP653">
        <v>35</v>
      </c>
      <c r="AQ653">
        <v>85</v>
      </c>
      <c r="AR653">
        <v>35</v>
      </c>
      <c r="AS653">
        <v>2</v>
      </c>
      <c r="AT653">
        <v>23</v>
      </c>
      <c r="AU653">
        <v>1</v>
      </c>
      <c r="AV653">
        <v>0</v>
      </c>
      <c r="AW653">
        <v>10</v>
      </c>
      <c r="AX653">
        <v>1</v>
      </c>
      <c r="AY653">
        <v>7</v>
      </c>
      <c r="AZ653">
        <v>3</v>
      </c>
      <c r="BA653">
        <v>1</v>
      </c>
      <c r="BB653">
        <v>1440</v>
      </c>
      <c r="BC653">
        <v>0</v>
      </c>
      <c r="BD653">
        <v>0</v>
      </c>
      <c r="BE653">
        <v>14</v>
      </c>
      <c r="BF653">
        <v>25</v>
      </c>
      <c r="BG653">
        <v>3</v>
      </c>
      <c r="BH653">
        <v>8</v>
      </c>
      <c r="BI653">
        <v>3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0</v>
      </c>
      <c r="BQ653">
        <v>60</v>
      </c>
      <c r="BR653">
        <v>0</v>
      </c>
      <c r="BS653">
        <v>3</v>
      </c>
      <c r="BT653" t="s">
        <v>248</v>
      </c>
      <c r="BU653" t="s">
        <v>270</v>
      </c>
      <c r="BV653" t="b">
        <v>0</v>
      </c>
      <c r="BW653" t="s">
        <v>271</v>
      </c>
    </row>
    <row r="654" spans="1:75">
      <c r="A654" t="s">
        <v>248</v>
      </c>
      <c r="B654" t="s">
        <v>252</v>
      </c>
      <c r="C654">
        <v>536</v>
      </c>
      <c r="D654" t="s">
        <v>253</v>
      </c>
      <c r="E654" t="s">
        <v>254</v>
      </c>
      <c r="F654">
        <v>5</v>
      </c>
      <c r="G654" s="13">
        <v>46265.095868055556</v>
      </c>
      <c r="H654" s="13">
        <v>46265.098194444443</v>
      </c>
      <c r="I654">
        <v>201</v>
      </c>
      <c r="J654" t="s">
        <v>255</v>
      </c>
      <c r="K654">
        <v>1</v>
      </c>
      <c r="L654">
        <v>0.04</v>
      </c>
      <c r="M654">
        <v>0.04</v>
      </c>
      <c r="N654">
        <v>1</v>
      </c>
      <c r="O654">
        <v>0.04</v>
      </c>
      <c r="P654">
        <v>6.16</v>
      </c>
      <c r="Q654">
        <v>3.92</v>
      </c>
      <c r="R654">
        <v>2.48</v>
      </c>
      <c r="S654" t="s">
        <v>256</v>
      </c>
      <c r="T654" t="s">
        <v>257</v>
      </c>
      <c r="U654">
        <v>11</v>
      </c>
      <c r="V654">
        <v>7060.78</v>
      </c>
      <c r="W654">
        <v>4999.32</v>
      </c>
      <c r="X654">
        <v>4993.84</v>
      </c>
      <c r="Y654">
        <v>0</v>
      </c>
      <c r="Z654">
        <v>0</v>
      </c>
      <c r="AA654">
        <v>35</v>
      </c>
      <c r="AB654">
        <v>50</v>
      </c>
      <c r="AC654">
        <v>5000</v>
      </c>
      <c r="AD654">
        <v>0</v>
      </c>
      <c r="AE654">
        <v>0</v>
      </c>
      <c r="AF654">
        <v>7063.94</v>
      </c>
      <c r="AG654">
        <v>7063.94</v>
      </c>
      <c r="AH654" s="14">
        <v>46265</v>
      </c>
      <c r="AI654" t="s">
        <v>269</v>
      </c>
      <c r="AJ654" s="13">
        <v>46265.054768518516</v>
      </c>
      <c r="AK654">
        <v>7052.98</v>
      </c>
      <c r="AL654" t="s">
        <v>259</v>
      </c>
      <c r="AM654" t="s">
        <v>260</v>
      </c>
      <c r="AN654">
        <v>1400</v>
      </c>
      <c r="AO654">
        <v>0</v>
      </c>
      <c r="AP654">
        <v>35</v>
      </c>
      <c r="AQ654">
        <v>85</v>
      </c>
      <c r="AR654">
        <v>35</v>
      </c>
      <c r="AS654">
        <v>2</v>
      </c>
      <c r="AT654">
        <v>23</v>
      </c>
      <c r="AU654">
        <v>1</v>
      </c>
      <c r="AV654">
        <v>0</v>
      </c>
      <c r="AW654">
        <v>10</v>
      </c>
      <c r="AX654">
        <v>1</v>
      </c>
      <c r="AY654">
        <v>7</v>
      </c>
      <c r="AZ654">
        <v>3</v>
      </c>
      <c r="BA654">
        <v>1</v>
      </c>
      <c r="BB654">
        <v>1440</v>
      </c>
      <c r="BC654">
        <v>0</v>
      </c>
      <c r="BD654">
        <v>0</v>
      </c>
      <c r="BE654">
        <v>14</v>
      </c>
      <c r="BF654">
        <v>25</v>
      </c>
      <c r="BG654">
        <v>3</v>
      </c>
      <c r="BH654">
        <v>8</v>
      </c>
      <c r="BI654">
        <v>3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0</v>
      </c>
      <c r="BQ654">
        <v>60</v>
      </c>
      <c r="BR654">
        <v>0</v>
      </c>
      <c r="BS654">
        <v>3</v>
      </c>
      <c r="BT654" t="s">
        <v>248</v>
      </c>
      <c r="BU654" t="s">
        <v>270</v>
      </c>
      <c r="BV654" t="b">
        <v>0</v>
      </c>
      <c r="BW654" t="s">
        <v>271</v>
      </c>
    </row>
    <row r="655" spans="1:75">
      <c r="A655" t="s">
        <v>248</v>
      </c>
      <c r="B655" t="s">
        <v>252</v>
      </c>
      <c r="C655">
        <v>537</v>
      </c>
      <c r="D655" t="s">
        <v>253</v>
      </c>
      <c r="E655" t="s">
        <v>254</v>
      </c>
      <c r="F655">
        <v>5</v>
      </c>
      <c r="G655" s="13">
        <v>46265.099351851852</v>
      </c>
      <c r="H655" s="13">
        <v>46265.100659722222</v>
      </c>
      <c r="I655">
        <v>113</v>
      </c>
      <c r="J655" t="s">
        <v>264</v>
      </c>
      <c r="K655">
        <v>1</v>
      </c>
      <c r="L655">
        <v>0.04</v>
      </c>
      <c r="M655">
        <v>0.04</v>
      </c>
      <c r="N655">
        <v>1</v>
      </c>
      <c r="O655">
        <v>0.04</v>
      </c>
      <c r="P655">
        <v>4.68</v>
      </c>
      <c r="Q655">
        <v>9.56</v>
      </c>
      <c r="R655">
        <v>8.56</v>
      </c>
      <c r="S655" t="s">
        <v>256</v>
      </c>
      <c r="T655" t="s">
        <v>257</v>
      </c>
      <c r="U655">
        <v>15</v>
      </c>
      <c r="V655">
        <v>7063.1</v>
      </c>
      <c r="W655">
        <v>4999.16</v>
      </c>
      <c r="X655">
        <v>4995.32</v>
      </c>
      <c r="Y655">
        <v>0</v>
      </c>
      <c r="Z655">
        <v>0</v>
      </c>
      <c r="AA655">
        <v>35</v>
      </c>
      <c r="AB655">
        <v>50</v>
      </c>
      <c r="AC655">
        <v>5000</v>
      </c>
      <c r="AD655">
        <v>0</v>
      </c>
      <c r="AE655">
        <v>0</v>
      </c>
      <c r="AF655">
        <v>7072.1</v>
      </c>
      <c r="AG655">
        <v>7072.1</v>
      </c>
      <c r="AH655" s="14">
        <v>46265</v>
      </c>
      <c r="AI655" t="s">
        <v>269</v>
      </c>
      <c r="AJ655" s="13">
        <v>46265.054768518516</v>
      </c>
      <c r="AK655">
        <v>7052.98</v>
      </c>
      <c r="AL655" t="s">
        <v>259</v>
      </c>
      <c r="AM655" t="s">
        <v>260</v>
      </c>
      <c r="AN655">
        <v>1400</v>
      </c>
      <c r="AO655">
        <v>0</v>
      </c>
      <c r="AP655">
        <v>35</v>
      </c>
      <c r="AQ655">
        <v>85</v>
      </c>
      <c r="AR655">
        <v>35</v>
      </c>
      <c r="AS655">
        <v>2</v>
      </c>
      <c r="AT655">
        <v>23</v>
      </c>
      <c r="AU655">
        <v>1</v>
      </c>
      <c r="AV655">
        <v>0</v>
      </c>
      <c r="AW655">
        <v>10</v>
      </c>
      <c r="AX655">
        <v>1</v>
      </c>
      <c r="AY655">
        <v>7</v>
      </c>
      <c r="AZ655">
        <v>3</v>
      </c>
      <c r="BA655">
        <v>1</v>
      </c>
      <c r="BB655">
        <v>1440</v>
      </c>
      <c r="BC655">
        <v>0</v>
      </c>
      <c r="BD655">
        <v>0</v>
      </c>
      <c r="BE655">
        <v>14</v>
      </c>
      <c r="BF655">
        <v>25</v>
      </c>
      <c r="BG655">
        <v>3</v>
      </c>
      <c r="BH655">
        <v>8</v>
      </c>
      <c r="BI655">
        <v>3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0</v>
      </c>
      <c r="BQ655">
        <v>60</v>
      </c>
      <c r="BR655">
        <v>0</v>
      </c>
      <c r="BS655">
        <v>3</v>
      </c>
      <c r="BT655" t="s">
        <v>248</v>
      </c>
      <c r="BU655" t="s">
        <v>270</v>
      </c>
      <c r="BV655" t="b">
        <v>0</v>
      </c>
      <c r="BW655" t="s">
        <v>271</v>
      </c>
    </row>
    <row r="656" spans="1:75">
      <c r="A656" t="s">
        <v>248</v>
      </c>
      <c r="B656" t="s">
        <v>252</v>
      </c>
      <c r="C656">
        <v>538</v>
      </c>
      <c r="D656" t="s">
        <v>253</v>
      </c>
      <c r="E656" t="s">
        <v>254</v>
      </c>
      <c r="F656">
        <v>5</v>
      </c>
      <c r="G656" s="13">
        <v>46265.102326388886</v>
      </c>
      <c r="H656" s="13">
        <v>46265.104479166665</v>
      </c>
      <c r="I656">
        <v>186</v>
      </c>
      <c r="J656" t="s">
        <v>264</v>
      </c>
      <c r="K656">
        <v>1</v>
      </c>
      <c r="L656">
        <v>0.04</v>
      </c>
      <c r="M656">
        <v>0.04</v>
      </c>
      <c r="N656">
        <v>2</v>
      </c>
      <c r="O656">
        <v>0.08</v>
      </c>
      <c r="P656">
        <v>8.8800000000000008</v>
      </c>
      <c r="Q656">
        <v>7.44</v>
      </c>
      <c r="R656">
        <v>-3.4</v>
      </c>
      <c r="S656" t="s">
        <v>263</v>
      </c>
      <c r="T656" t="s">
        <v>256</v>
      </c>
      <c r="U656">
        <v>10</v>
      </c>
      <c r="V656">
        <v>7071.46</v>
      </c>
      <c r="W656">
        <v>4999.3599999999997</v>
      </c>
      <c r="X656">
        <v>4991.12</v>
      </c>
      <c r="Y656">
        <v>0</v>
      </c>
      <c r="Z656">
        <v>0</v>
      </c>
      <c r="AA656">
        <v>35</v>
      </c>
      <c r="AB656">
        <v>50</v>
      </c>
      <c r="AC656">
        <v>5000</v>
      </c>
      <c r="AD656">
        <v>0</v>
      </c>
      <c r="AE656">
        <v>0</v>
      </c>
      <c r="AF656">
        <v>7074.7</v>
      </c>
      <c r="AG656">
        <v>7074.7</v>
      </c>
      <c r="AH656" s="14">
        <v>46265</v>
      </c>
      <c r="AI656" t="s">
        <v>269</v>
      </c>
      <c r="AJ656" s="13">
        <v>46265.054768518516</v>
      </c>
      <c r="AK656">
        <v>7052.98</v>
      </c>
      <c r="AL656" t="s">
        <v>259</v>
      </c>
      <c r="AM656" t="s">
        <v>260</v>
      </c>
      <c r="AN656">
        <v>1400</v>
      </c>
      <c r="AO656">
        <v>0</v>
      </c>
      <c r="AP656">
        <v>35</v>
      </c>
      <c r="AQ656">
        <v>85</v>
      </c>
      <c r="AR656">
        <v>35</v>
      </c>
      <c r="AS656">
        <v>2</v>
      </c>
      <c r="AT656">
        <v>23</v>
      </c>
      <c r="AU656">
        <v>1</v>
      </c>
      <c r="AV656">
        <v>0</v>
      </c>
      <c r="AW656">
        <v>10</v>
      </c>
      <c r="AX656">
        <v>1</v>
      </c>
      <c r="AY656">
        <v>7</v>
      </c>
      <c r="AZ656">
        <v>3</v>
      </c>
      <c r="BA656">
        <v>1</v>
      </c>
      <c r="BB656">
        <v>1440</v>
      </c>
      <c r="BC656">
        <v>0</v>
      </c>
      <c r="BD656">
        <v>0</v>
      </c>
      <c r="BE656">
        <v>14</v>
      </c>
      <c r="BF656">
        <v>25</v>
      </c>
      <c r="BG656">
        <v>3</v>
      </c>
      <c r="BH656">
        <v>8</v>
      </c>
      <c r="BI656">
        <v>3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0</v>
      </c>
      <c r="BQ656">
        <v>60</v>
      </c>
      <c r="BR656">
        <v>0</v>
      </c>
      <c r="BS656">
        <v>3</v>
      </c>
      <c r="BT656" t="s">
        <v>248</v>
      </c>
      <c r="BU656" t="s">
        <v>270</v>
      </c>
      <c r="BV656" t="b">
        <v>0</v>
      </c>
      <c r="BW656" t="s">
        <v>271</v>
      </c>
    </row>
    <row r="657" spans="1:75">
      <c r="A657" t="s">
        <v>248</v>
      </c>
      <c r="B657" t="s">
        <v>252</v>
      </c>
      <c r="C657">
        <v>539</v>
      </c>
      <c r="D657" t="s">
        <v>253</v>
      </c>
      <c r="E657" t="s">
        <v>254</v>
      </c>
      <c r="F657">
        <v>5</v>
      </c>
      <c r="G657" s="13">
        <v>46265.109675925924</v>
      </c>
      <c r="H657" s="13">
        <v>46265.112141203703</v>
      </c>
      <c r="I657">
        <v>213</v>
      </c>
      <c r="J657" t="s">
        <v>264</v>
      </c>
      <c r="K657">
        <v>1</v>
      </c>
      <c r="L657">
        <v>0.04</v>
      </c>
      <c r="M657">
        <v>0.04</v>
      </c>
      <c r="N657">
        <v>1</v>
      </c>
      <c r="O657">
        <v>0.04</v>
      </c>
      <c r="P657">
        <v>7.72</v>
      </c>
      <c r="Q657">
        <v>8.1199999999999992</v>
      </c>
      <c r="R657">
        <v>7.4</v>
      </c>
      <c r="S657" t="s">
        <v>256</v>
      </c>
      <c r="T657" t="s">
        <v>257</v>
      </c>
      <c r="U657">
        <v>11</v>
      </c>
      <c r="V657">
        <v>7074.02</v>
      </c>
      <c r="W657">
        <v>4999.32</v>
      </c>
      <c r="X657">
        <v>4992.28</v>
      </c>
      <c r="Y657">
        <v>0</v>
      </c>
      <c r="Z657">
        <v>0</v>
      </c>
      <c r="AA657">
        <v>35</v>
      </c>
      <c r="AB657">
        <v>50</v>
      </c>
      <c r="AC657">
        <v>5000</v>
      </c>
      <c r="AD657">
        <v>0</v>
      </c>
      <c r="AE657">
        <v>0</v>
      </c>
      <c r="AF657">
        <v>7081.42</v>
      </c>
      <c r="AG657">
        <v>7081.42</v>
      </c>
      <c r="AH657" s="14">
        <v>46265</v>
      </c>
      <c r="AI657" t="s">
        <v>269</v>
      </c>
      <c r="AJ657" s="13">
        <v>46265.054768518516</v>
      </c>
      <c r="AK657">
        <v>7052.98</v>
      </c>
      <c r="AL657" t="s">
        <v>259</v>
      </c>
      <c r="AM657" t="s">
        <v>260</v>
      </c>
      <c r="AN657">
        <v>1400</v>
      </c>
      <c r="AO657">
        <v>0</v>
      </c>
      <c r="AP657">
        <v>35</v>
      </c>
      <c r="AQ657">
        <v>85</v>
      </c>
      <c r="AR657">
        <v>35</v>
      </c>
      <c r="AS657">
        <v>2</v>
      </c>
      <c r="AT657">
        <v>23</v>
      </c>
      <c r="AU657">
        <v>1</v>
      </c>
      <c r="AV657">
        <v>0</v>
      </c>
      <c r="AW657">
        <v>10</v>
      </c>
      <c r="AX657">
        <v>1</v>
      </c>
      <c r="AY657">
        <v>7</v>
      </c>
      <c r="AZ657">
        <v>3</v>
      </c>
      <c r="BA657">
        <v>1</v>
      </c>
      <c r="BB657">
        <v>1440</v>
      </c>
      <c r="BC657">
        <v>0</v>
      </c>
      <c r="BD657">
        <v>0</v>
      </c>
      <c r="BE657">
        <v>14</v>
      </c>
      <c r="BF657">
        <v>25</v>
      </c>
      <c r="BG657">
        <v>3</v>
      </c>
      <c r="BH657">
        <v>8</v>
      </c>
      <c r="BI657">
        <v>3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0</v>
      </c>
      <c r="BQ657">
        <v>60</v>
      </c>
      <c r="BR657">
        <v>0</v>
      </c>
      <c r="BS657">
        <v>3</v>
      </c>
      <c r="BT657" t="s">
        <v>248</v>
      </c>
      <c r="BU657" t="s">
        <v>270</v>
      </c>
      <c r="BV657" t="b">
        <v>0</v>
      </c>
      <c r="BW657" t="s">
        <v>271</v>
      </c>
    </row>
    <row r="658" spans="1:75">
      <c r="A658" t="s">
        <v>248</v>
      </c>
      <c r="B658" t="s">
        <v>252</v>
      </c>
      <c r="C658">
        <v>540</v>
      </c>
      <c r="D658" t="s">
        <v>253</v>
      </c>
      <c r="E658" t="s">
        <v>254</v>
      </c>
      <c r="F658">
        <v>5</v>
      </c>
      <c r="G658" s="13">
        <v>46265.112222222226</v>
      </c>
      <c r="H658" s="13">
        <v>46265.113333333335</v>
      </c>
      <c r="I658">
        <v>96</v>
      </c>
      <c r="J658" t="s">
        <v>264</v>
      </c>
      <c r="K658">
        <v>1</v>
      </c>
      <c r="L658">
        <v>0.04</v>
      </c>
      <c r="M658">
        <v>0.04</v>
      </c>
      <c r="N658">
        <v>1</v>
      </c>
      <c r="O658">
        <v>0.04</v>
      </c>
      <c r="P658">
        <v>5.76</v>
      </c>
      <c r="Q658">
        <v>3.76</v>
      </c>
      <c r="R658">
        <v>3.72</v>
      </c>
      <c r="S658" t="s">
        <v>256</v>
      </c>
      <c r="T658" t="s">
        <v>257</v>
      </c>
      <c r="U658">
        <v>11</v>
      </c>
      <c r="V658">
        <v>7080.74</v>
      </c>
      <c r="W658">
        <v>4999.32</v>
      </c>
      <c r="X658">
        <v>4994.24</v>
      </c>
      <c r="Y658">
        <v>0</v>
      </c>
      <c r="Z658">
        <v>0</v>
      </c>
      <c r="AA658">
        <v>35</v>
      </c>
      <c r="AB658">
        <v>50</v>
      </c>
      <c r="AC658">
        <v>5000</v>
      </c>
      <c r="AD658">
        <v>0</v>
      </c>
      <c r="AE658">
        <v>0</v>
      </c>
      <c r="AF658">
        <v>7083.74</v>
      </c>
      <c r="AG658">
        <v>7083.74</v>
      </c>
      <c r="AH658" s="14">
        <v>46265</v>
      </c>
      <c r="AI658" t="s">
        <v>269</v>
      </c>
      <c r="AJ658" s="13">
        <v>46265.054768518516</v>
      </c>
      <c r="AK658">
        <v>7052.98</v>
      </c>
      <c r="AL658" t="s">
        <v>259</v>
      </c>
      <c r="AM658" t="s">
        <v>260</v>
      </c>
      <c r="AN658">
        <v>1400</v>
      </c>
      <c r="AO658">
        <v>0</v>
      </c>
      <c r="AP658">
        <v>35</v>
      </c>
      <c r="AQ658">
        <v>85</v>
      </c>
      <c r="AR658">
        <v>35</v>
      </c>
      <c r="AS658">
        <v>2</v>
      </c>
      <c r="AT658">
        <v>23</v>
      </c>
      <c r="AU658">
        <v>1</v>
      </c>
      <c r="AV658">
        <v>0</v>
      </c>
      <c r="AW658">
        <v>10</v>
      </c>
      <c r="AX658">
        <v>1</v>
      </c>
      <c r="AY658">
        <v>7</v>
      </c>
      <c r="AZ658">
        <v>3</v>
      </c>
      <c r="BA658">
        <v>1</v>
      </c>
      <c r="BB658">
        <v>1440</v>
      </c>
      <c r="BC658">
        <v>0</v>
      </c>
      <c r="BD658">
        <v>0</v>
      </c>
      <c r="BE658">
        <v>14</v>
      </c>
      <c r="BF658">
        <v>25</v>
      </c>
      <c r="BG658">
        <v>3</v>
      </c>
      <c r="BH658">
        <v>8</v>
      </c>
      <c r="BI658">
        <v>3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0</v>
      </c>
      <c r="BQ658">
        <v>60</v>
      </c>
      <c r="BR658">
        <v>0</v>
      </c>
      <c r="BS658">
        <v>3</v>
      </c>
      <c r="BT658" t="s">
        <v>248</v>
      </c>
      <c r="BU658" t="s">
        <v>270</v>
      </c>
      <c r="BV658" t="b">
        <v>0</v>
      </c>
      <c r="BW658" t="s">
        <v>271</v>
      </c>
    </row>
    <row r="659" spans="1:75">
      <c r="A659" t="s">
        <v>248</v>
      </c>
      <c r="B659" t="s">
        <v>252</v>
      </c>
      <c r="C659">
        <v>541</v>
      </c>
      <c r="D659" t="s">
        <v>253</v>
      </c>
      <c r="E659" t="s">
        <v>254</v>
      </c>
      <c r="F659">
        <v>5</v>
      </c>
      <c r="G659" s="13">
        <v>46265.114756944444</v>
      </c>
      <c r="H659" s="13">
        <v>46265.114895833336</v>
      </c>
      <c r="I659">
        <v>12</v>
      </c>
      <c r="J659" t="s">
        <v>264</v>
      </c>
      <c r="K659">
        <v>1</v>
      </c>
      <c r="L659">
        <v>0.04</v>
      </c>
      <c r="M659">
        <v>0.04</v>
      </c>
      <c r="N659">
        <v>1</v>
      </c>
      <c r="O659">
        <v>0.04</v>
      </c>
      <c r="P659">
        <v>1.56</v>
      </c>
      <c r="Q659">
        <v>3.84</v>
      </c>
      <c r="R659">
        <v>3.56</v>
      </c>
      <c r="S659" t="s">
        <v>256</v>
      </c>
      <c r="T659" t="s">
        <v>257</v>
      </c>
      <c r="U659">
        <v>10</v>
      </c>
      <c r="V659">
        <v>7083.1</v>
      </c>
      <c r="W659">
        <v>4999.3599999999997</v>
      </c>
      <c r="X659">
        <v>4998.4399999999996</v>
      </c>
      <c r="Y659">
        <v>0</v>
      </c>
      <c r="Z659">
        <v>0</v>
      </c>
      <c r="AA659">
        <v>35</v>
      </c>
      <c r="AB659">
        <v>50</v>
      </c>
      <c r="AC659">
        <v>5000</v>
      </c>
      <c r="AD659">
        <v>0</v>
      </c>
      <c r="AE659">
        <v>0</v>
      </c>
      <c r="AF659">
        <v>7086.14</v>
      </c>
      <c r="AG659">
        <v>7086.14</v>
      </c>
      <c r="AH659" s="14">
        <v>46265</v>
      </c>
      <c r="AI659" t="s">
        <v>269</v>
      </c>
      <c r="AJ659" s="13">
        <v>46265.054768518516</v>
      </c>
      <c r="AK659">
        <v>7052.98</v>
      </c>
      <c r="AL659" t="s">
        <v>259</v>
      </c>
      <c r="AM659" t="s">
        <v>260</v>
      </c>
      <c r="AN659">
        <v>1400</v>
      </c>
      <c r="AO659">
        <v>0</v>
      </c>
      <c r="AP659">
        <v>35</v>
      </c>
      <c r="AQ659">
        <v>85</v>
      </c>
      <c r="AR659">
        <v>35</v>
      </c>
      <c r="AS659">
        <v>2</v>
      </c>
      <c r="AT659">
        <v>23</v>
      </c>
      <c r="AU659">
        <v>1</v>
      </c>
      <c r="AV659">
        <v>0</v>
      </c>
      <c r="AW659">
        <v>10</v>
      </c>
      <c r="AX659">
        <v>1</v>
      </c>
      <c r="AY659">
        <v>7</v>
      </c>
      <c r="AZ659">
        <v>3</v>
      </c>
      <c r="BA659">
        <v>1</v>
      </c>
      <c r="BB659">
        <v>1440</v>
      </c>
      <c r="BC659">
        <v>0</v>
      </c>
      <c r="BD659">
        <v>0</v>
      </c>
      <c r="BE659">
        <v>14</v>
      </c>
      <c r="BF659">
        <v>25</v>
      </c>
      <c r="BG659">
        <v>3</v>
      </c>
      <c r="BH659">
        <v>8</v>
      </c>
      <c r="BI659">
        <v>3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0</v>
      </c>
      <c r="BQ659">
        <v>60</v>
      </c>
      <c r="BR659">
        <v>0</v>
      </c>
      <c r="BS659">
        <v>3</v>
      </c>
      <c r="BT659" t="s">
        <v>248</v>
      </c>
      <c r="BU659" t="s">
        <v>270</v>
      </c>
      <c r="BV659" t="b">
        <v>0</v>
      </c>
      <c r="BW659" t="s">
        <v>271</v>
      </c>
    </row>
    <row r="660" spans="1:75">
      <c r="A660" t="s">
        <v>248</v>
      </c>
      <c r="B660" t="s">
        <v>252</v>
      </c>
      <c r="C660">
        <v>542</v>
      </c>
      <c r="D660" t="s">
        <v>253</v>
      </c>
      <c r="E660" t="s">
        <v>254</v>
      </c>
      <c r="F660">
        <v>5</v>
      </c>
      <c r="G660" s="13">
        <v>46265.11818287037</v>
      </c>
      <c r="H660" s="13">
        <v>46265.118252314816</v>
      </c>
      <c r="I660">
        <v>6</v>
      </c>
      <c r="J660" t="s">
        <v>255</v>
      </c>
      <c r="K660">
        <v>1</v>
      </c>
      <c r="L660">
        <v>0.04</v>
      </c>
      <c r="M660">
        <v>0.04</v>
      </c>
      <c r="N660">
        <v>1</v>
      </c>
      <c r="O660">
        <v>0.04</v>
      </c>
      <c r="P660">
        <v>1.56</v>
      </c>
      <c r="Q660">
        <v>4.5599999999999996</v>
      </c>
      <c r="R660">
        <v>3.32</v>
      </c>
      <c r="S660" t="s">
        <v>256</v>
      </c>
      <c r="T660" t="s">
        <v>257</v>
      </c>
      <c r="U660">
        <v>15</v>
      </c>
      <c r="V660">
        <v>7085.34</v>
      </c>
      <c r="W660">
        <v>4999.2</v>
      </c>
      <c r="X660">
        <v>4998.4399999999996</v>
      </c>
      <c r="Y660">
        <v>0</v>
      </c>
      <c r="Z660">
        <v>0</v>
      </c>
      <c r="AA660">
        <v>35</v>
      </c>
      <c r="AB660">
        <v>50</v>
      </c>
      <c r="AC660">
        <v>5000</v>
      </c>
      <c r="AD660">
        <v>0</v>
      </c>
      <c r="AE660">
        <v>0</v>
      </c>
      <c r="AF660">
        <v>7089.46</v>
      </c>
      <c r="AG660">
        <v>7089.46</v>
      </c>
      <c r="AH660" s="14">
        <v>46265</v>
      </c>
      <c r="AI660" t="s">
        <v>269</v>
      </c>
      <c r="AJ660" s="13">
        <v>46265.054768518516</v>
      </c>
      <c r="AK660">
        <v>7052.98</v>
      </c>
      <c r="AL660" t="s">
        <v>259</v>
      </c>
      <c r="AM660" t="s">
        <v>260</v>
      </c>
      <c r="AN660">
        <v>1400</v>
      </c>
      <c r="AO660">
        <v>0</v>
      </c>
      <c r="AP660">
        <v>35</v>
      </c>
      <c r="AQ660">
        <v>85</v>
      </c>
      <c r="AR660">
        <v>35</v>
      </c>
      <c r="AS660">
        <v>2</v>
      </c>
      <c r="AT660">
        <v>23</v>
      </c>
      <c r="AU660">
        <v>1</v>
      </c>
      <c r="AV660">
        <v>0</v>
      </c>
      <c r="AW660">
        <v>10</v>
      </c>
      <c r="AX660">
        <v>1</v>
      </c>
      <c r="AY660">
        <v>7</v>
      </c>
      <c r="AZ660">
        <v>3</v>
      </c>
      <c r="BA660">
        <v>1</v>
      </c>
      <c r="BB660">
        <v>1440</v>
      </c>
      <c r="BC660">
        <v>0</v>
      </c>
      <c r="BD660">
        <v>0</v>
      </c>
      <c r="BE660">
        <v>14</v>
      </c>
      <c r="BF660">
        <v>25</v>
      </c>
      <c r="BG660">
        <v>3</v>
      </c>
      <c r="BH660">
        <v>8</v>
      </c>
      <c r="BI660">
        <v>3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60</v>
      </c>
      <c r="BR660">
        <v>0</v>
      </c>
      <c r="BS660">
        <v>3</v>
      </c>
      <c r="BT660" t="s">
        <v>248</v>
      </c>
      <c r="BU660" t="s">
        <v>270</v>
      </c>
      <c r="BV660" t="b">
        <v>0</v>
      </c>
      <c r="BW660" t="s">
        <v>271</v>
      </c>
    </row>
    <row r="661" spans="1:75">
      <c r="A661" t="s">
        <v>248</v>
      </c>
      <c r="B661" t="s">
        <v>252</v>
      </c>
      <c r="C661">
        <v>543</v>
      </c>
      <c r="D661" t="s">
        <v>253</v>
      </c>
      <c r="E661" t="s">
        <v>254</v>
      </c>
      <c r="F661">
        <v>5</v>
      </c>
      <c r="G661" s="13">
        <v>46265.121666666666</v>
      </c>
      <c r="H661" s="13">
        <v>46265.122395833336</v>
      </c>
      <c r="I661">
        <v>63</v>
      </c>
      <c r="J661" t="s">
        <v>255</v>
      </c>
      <c r="K661">
        <v>1</v>
      </c>
      <c r="L661">
        <v>0.04</v>
      </c>
      <c r="M661">
        <v>0.04</v>
      </c>
      <c r="N661">
        <v>1</v>
      </c>
      <c r="O661">
        <v>0.04</v>
      </c>
      <c r="P661">
        <v>6.64</v>
      </c>
      <c r="Q661">
        <v>3.48</v>
      </c>
      <c r="R661">
        <v>3.2</v>
      </c>
      <c r="S661" t="s">
        <v>256</v>
      </c>
      <c r="T661" t="s">
        <v>257</v>
      </c>
      <c r="U661">
        <v>10</v>
      </c>
      <c r="V661">
        <v>7088.82</v>
      </c>
      <c r="W661">
        <v>4999.3599999999997</v>
      </c>
      <c r="X661">
        <v>4993.3599999999997</v>
      </c>
      <c r="Y661">
        <v>0</v>
      </c>
      <c r="Z661">
        <v>0</v>
      </c>
      <c r="AA661">
        <v>35</v>
      </c>
      <c r="AB661">
        <v>50</v>
      </c>
      <c r="AC661">
        <v>5000</v>
      </c>
      <c r="AD661">
        <v>0</v>
      </c>
      <c r="AE661">
        <v>0</v>
      </c>
      <c r="AF661">
        <v>7091.54</v>
      </c>
      <c r="AG661">
        <v>7091.54</v>
      </c>
      <c r="AH661" s="14">
        <v>46265</v>
      </c>
      <c r="AI661" t="s">
        <v>269</v>
      </c>
      <c r="AJ661" s="13">
        <v>46265.054768518516</v>
      </c>
      <c r="AK661">
        <v>7052.98</v>
      </c>
      <c r="AL661" t="s">
        <v>259</v>
      </c>
      <c r="AM661" t="s">
        <v>260</v>
      </c>
      <c r="AN661">
        <v>1400</v>
      </c>
      <c r="AO661">
        <v>0</v>
      </c>
      <c r="AP661">
        <v>35</v>
      </c>
      <c r="AQ661">
        <v>85</v>
      </c>
      <c r="AR661">
        <v>35</v>
      </c>
      <c r="AS661">
        <v>2</v>
      </c>
      <c r="AT661">
        <v>23</v>
      </c>
      <c r="AU661">
        <v>1</v>
      </c>
      <c r="AV661">
        <v>0</v>
      </c>
      <c r="AW661">
        <v>10</v>
      </c>
      <c r="AX661">
        <v>1</v>
      </c>
      <c r="AY661">
        <v>7</v>
      </c>
      <c r="AZ661">
        <v>3</v>
      </c>
      <c r="BA661">
        <v>1</v>
      </c>
      <c r="BB661">
        <v>1440</v>
      </c>
      <c r="BC661">
        <v>0</v>
      </c>
      <c r="BD661">
        <v>0</v>
      </c>
      <c r="BE661">
        <v>14</v>
      </c>
      <c r="BF661">
        <v>25</v>
      </c>
      <c r="BG661">
        <v>3</v>
      </c>
      <c r="BH661">
        <v>8</v>
      </c>
      <c r="BI661">
        <v>3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0</v>
      </c>
      <c r="BQ661">
        <v>60</v>
      </c>
      <c r="BR661">
        <v>0</v>
      </c>
      <c r="BS661">
        <v>3</v>
      </c>
      <c r="BT661" t="s">
        <v>248</v>
      </c>
      <c r="BU661" t="s">
        <v>270</v>
      </c>
      <c r="BV661" t="b">
        <v>0</v>
      </c>
      <c r="BW661" t="s">
        <v>271</v>
      </c>
    </row>
    <row r="662" spans="1:75">
      <c r="A662" t="s">
        <v>248</v>
      </c>
      <c r="B662" t="s">
        <v>252</v>
      </c>
      <c r="C662">
        <v>544</v>
      </c>
      <c r="D662" t="s">
        <v>253</v>
      </c>
      <c r="E662" t="s">
        <v>254</v>
      </c>
      <c r="F662">
        <v>5</v>
      </c>
      <c r="G662" s="13">
        <v>46265.125474537039</v>
      </c>
      <c r="H662" s="13">
        <v>46265.125590277778</v>
      </c>
      <c r="I662">
        <v>10</v>
      </c>
      <c r="J662" t="s">
        <v>255</v>
      </c>
      <c r="K662">
        <v>1</v>
      </c>
      <c r="L662">
        <v>0.04</v>
      </c>
      <c r="M662">
        <v>0.04</v>
      </c>
      <c r="N662">
        <v>1</v>
      </c>
      <c r="O662">
        <v>0.04</v>
      </c>
      <c r="P662">
        <v>0.64</v>
      </c>
      <c r="Q662">
        <v>5.08</v>
      </c>
      <c r="R662">
        <v>5.08</v>
      </c>
      <c r="S662" t="s">
        <v>256</v>
      </c>
      <c r="T662" t="s">
        <v>257</v>
      </c>
      <c r="U662">
        <v>10</v>
      </c>
      <c r="V662">
        <v>7090.9</v>
      </c>
      <c r="W662">
        <v>4999.3599999999997</v>
      </c>
      <c r="X662">
        <v>4999.3599999999997</v>
      </c>
      <c r="Y662">
        <v>0</v>
      </c>
      <c r="Z662">
        <v>0</v>
      </c>
      <c r="AA662">
        <v>35</v>
      </c>
      <c r="AB662">
        <v>50</v>
      </c>
      <c r="AC662">
        <v>5000</v>
      </c>
      <c r="AD662">
        <v>0</v>
      </c>
      <c r="AE662">
        <v>0</v>
      </c>
      <c r="AF662">
        <v>7095.18</v>
      </c>
      <c r="AG662">
        <v>7095.18</v>
      </c>
      <c r="AH662" s="14">
        <v>46265</v>
      </c>
      <c r="AI662" t="s">
        <v>269</v>
      </c>
      <c r="AJ662" s="13">
        <v>46265.054768518516</v>
      </c>
      <c r="AK662">
        <v>7052.98</v>
      </c>
      <c r="AL662" t="s">
        <v>259</v>
      </c>
      <c r="AM662" t="s">
        <v>260</v>
      </c>
      <c r="AN662">
        <v>1400</v>
      </c>
      <c r="AO662">
        <v>0</v>
      </c>
      <c r="AP662">
        <v>35</v>
      </c>
      <c r="AQ662">
        <v>85</v>
      </c>
      <c r="AR662">
        <v>35</v>
      </c>
      <c r="AS662">
        <v>2</v>
      </c>
      <c r="AT662">
        <v>23</v>
      </c>
      <c r="AU662">
        <v>1</v>
      </c>
      <c r="AV662">
        <v>0</v>
      </c>
      <c r="AW662">
        <v>10</v>
      </c>
      <c r="AX662">
        <v>1</v>
      </c>
      <c r="AY662">
        <v>7</v>
      </c>
      <c r="AZ662">
        <v>3</v>
      </c>
      <c r="BA662">
        <v>1</v>
      </c>
      <c r="BB662">
        <v>1440</v>
      </c>
      <c r="BC662">
        <v>0</v>
      </c>
      <c r="BD662">
        <v>0</v>
      </c>
      <c r="BE662">
        <v>14</v>
      </c>
      <c r="BF662">
        <v>25</v>
      </c>
      <c r="BG662">
        <v>3</v>
      </c>
      <c r="BH662">
        <v>8</v>
      </c>
      <c r="BI662">
        <v>3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0</v>
      </c>
      <c r="BQ662">
        <v>60</v>
      </c>
      <c r="BR662">
        <v>0</v>
      </c>
      <c r="BS662">
        <v>3</v>
      </c>
      <c r="BT662" t="s">
        <v>248</v>
      </c>
      <c r="BU662" t="s">
        <v>270</v>
      </c>
      <c r="BV662" t="b">
        <v>0</v>
      </c>
      <c r="BW662" t="s">
        <v>271</v>
      </c>
    </row>
    <row r="663" spans="1:75">
      <c r="A663" t="s">
        <v>248</v>
      </c>
      <c r="B663" t="s">
        <v>252</v>
      </c>
      <c r="C663">
        <v>545</v>
      </c>
      <c r="D663" t="s">
        <v>253</v>
      </c>
      <c r="E663" t="s">
        <v>254</v>
      </c>
      <c r="F663">
        <v>5</v>
      </c>
      <c r="G663" s="13">
        <v>46265.12903935185</v>
      </c>
      <c r="H663" s="13">
        <v>46265.129652777781</v>
      </c>
      <c r="I663">
        <v>53</v>
      </c>
      <c r="J663" t="s">
        <v>255</v>
      </c>
      <c r="K663">
        <v>1</v>
      </c>
      <c r="L663">
        <v>0.04</v>
      </c>
      <c r="M663">
        <v>0.04</v>
      </c>
      <c r="N663">
        <v>1</v>
      </c>
      <c r="O663">
        <v>0.04</v>
      </c>
      <c r="P663">
        <v>8</v>
      </c>
      <c r="Q663">
        <v>3.48</v>
      </c>
      <c r="R663">
        <v>3.48</v>
      </c>
      <c r="S663" t="s">
        <v>256</v>
      </c>
      <c r="T663" t="s">
        <v>257</v>
      </c>
      <c r="U663">
        <v>14</v>
      </c>
      <c r="V663">
        <v>7094.5</v>
      </c>
      <c r="W663">
        <v>4999.32</v>
      </c>
      <c r="X663">
        <v>4992</v>
      </c>
      <c r="Y663">
        <v>0</v>
      </c>
      <c r="Z663">
        <v>0</v>
      </c>
      <c r="AA663">
        <v>35</v>
      </c>
      <c r="AB663">
        <v>50</v>
      </c>
      <c r="AC663">
        <v>5000</v>
      </c>
      <c r="AD663">
        <v>0</v>
      </c>
      <c r="AE663">
        <v>0</v>
      </c>
      <c r="AF663">
        <v>7097.26</v>
      </c>
      <c r="AG663">
        <v>7097.26</v>
      </c>
      <c r="AH663" s="14">
        <v>46265</v>
      </c>
      <c r="AI663" t="s">
        <v>269</v>
      </c>
      <c r="AJ663" s="13">
        <v>46265.054768518516</v>
      </c>
      <c r="AK663">
        <v>7052.98</v>
      </c>
      <c r="AL663" t="s">
        <v>259</v>
      </c>
      <c r="AM663" t="s">
        <v>260</v>
      </c>
      <c r="AN663">
        <v>1400</v>
      </c>
      <c r="AO663">
        <v>0</v>
      </c>
      <c r="AP663">
        <v>35</v>
      </c>
      <c r="AQ663">
        <v>85</v>
      </c>
      <c r="AR663">
        <v>35</v>
      </c>
      <c r="AS663">
        <v>2</v>
      </c>
      <c r="AT663">
        <v>23</v>
      </c>
      <c r="AU663">
        <v>1</v>
      </c>
      <c r="AV663">
        <v>0</v>
      </c>
      <c r="AW663">
        <v>10</v>
      </c>
      <c r="AX663">
        <v>1</v>
      </c>
      <c r="AY663">
        <v>7</v>
      </c>
      <c r="AZ663">
        <v>3</v>
      </c>
      <c r="BA663">
        <v>1</v>
      </c>
      <c r="BB663">
        <v>1440</v>
      </c>
      <c r="BC663">
        <v>0</v>
      </c>
      <c r="BD663">
        <v>0</v>
      </c>
      <c r="BE663">
        <v>14</v>
      </c>
      <c r="BF663">
        <v>25</v>
      </c>
      <c r="BG663">
        <v>3</v>
      </c>
      <c r="BH663">
        <v>8</v>
      </c>
      <c r="BI663">
        <v>3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0</v>
      </c>
      <c r="BQ663">
        <v>60</v>
      </c>
      <c r="BR663">
        <v>0</v>
      </c>
      <c r="BS663">
        <v>3</v>
      </c>
      <c r="BT663" t="s">
        <v>248</v>
      </c>
      <c r="BU663" t="s">
        <v>270</v>
      </c>
      <c r="BV663" t="b">
        <v>0</v>
      </c>
      <c r="BW663" t="s">
        <v>271</v>
      </c>
    </row>
    <row r="664" spans="1:75">
      <c r="A664" t="s">
        <v>248</v>
      </c>
      <c r="B664" t="s">
        <v>252</v>
      </c>
      <c r="C664">
        <v>546</v>
      </c>
      <c r="D664" t="s">
        <v>253</v>
      </c>
      <c r="E664" t="s">
        <v>254</v>
      </c>
      <c r="F664">
        <v>5</v>
      </c>
      <c r="G664" s="13">
        <v>46265.133668981478</v>
      </c>
      <c r="H664" s="13">
        <v>46265.134062500001</v>
      </c>
      <c r="I664">
        <v>34</v>
      </c>
      <c r="J664" t="s">
        <v>255</v>
      </c>
      <c r="K664">
        <v>1</v>
      </c>
      <c r="L664">
        <v>0.04</v>
      </c>
      <c r="M664">
        <v>0.04</v>
      </c>
      <c r="N664">
        <v>1</v>
      </c>
      <c r="O664">
        <v>0.04</v>
      </c>
      <c r="P664">
        <v>5.12</v>
      </c>
      <c r="Q664">
        <v>3.32</v>
      </c>
      <c r="R664">
        <v>3.28</v>
      </c>
      <c r="S664" t="s">
        <v>256</v>
      </c>
      <c r="T664" t="s">
        <v>257</v>
      </c>
      <c r="U664">
        <v>15</v>
      </c>
      <c r="V664">
        <v>7096.42</v>
      </c>
      <c r="W664">
        <v>4999.16</v>
      </c>
      <c r="X664">
        <v>4994.88</v>
      </c>
      <c r="Y664">
        <v>0</v>
      </c>
      <c r="Z664">
        <v>0</v>
      </c>
      <c r="AA664">
        <v>35</v>
      </c>
      <c r="AB664">
        <v>50</v>
      </c>
      <c r="AC664">
        <v>5000</v>
      </c>
      <c r="AD664">
        <v>0</v>
      </c>
      <c r="AE664">
        <v>0</v>
      </c>
      <c r="AF664">
        <v>7099.14</v>
      </c>
      <c r="AG664">
        <v>7099.14</v>
      </c>
      <c r="AH664" s="14">
        <v>46265</v>
      </c>
      <c r="AI664" t="s">
        <v>269</v>
      </c>
      <c r="AJ664" s="13">
        <v>46265.054768518516</v>
      </c>
      <c r="AK664">
        <v>7052.98</v>
      </c>
      <c r="AL664" t="s">
        <v>259</v>
      </c>
      <c r="AM664" t="s">
        <v>260</v>
      </c>
      <c r="AN664">
        <v>1400</v>
      </c>
      <c r="AO664">
        <v>0</v>
      </c>
      <c r="AP664">
        <v>35</v>
      </c>
      <c r="AQ664">
        <v>85</v>
      </c>
      <c r="AR664">
        <v>35</v>
      </c>
      <c r="AS664">
        <v>2</v>
      </c>
      <c r="AT664">
        <v>23</v>
      </c>
      <c r="AU664">
        <v>1</v>
      </c>
      <c r="AV664">
        <v>0</v>
      </c>
      <c r="AW664">
        <v>10</v>
      </c>
      <c r="AX664">
        <v>1</v>
      </c>
      <c r="AY664">
        <v>7</v>
      </c>
      <c r="AZ664">
        <v>3</v>
      </c>
      <c r="BA664">
        <v>1</v>
      </c>
      <c r="BB664">
        <v>1440</v>
      </c>
      <c r="BC664">
        <v>0</v>
      </c>
      <c r="BD664">
        <v>0</v>
      </c>
      <c r="BE664">
        <v>14</v>
      </c>
      <c r="BF664">
        <v>25</v>
      </c>
      <c r="BG664">
        <v>3</v>
      </c>
      <c r="BH664">
        <v>8</v>
      </c>
      <c r="BI664">
        <v>3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0</v>
      </c>
      <c r="BQ664">
        <v>60</v>
      </c>
      <c r="BR664">
        <v>0</v>
      </c>
      <c r="BS664">
        <v>3</v>
      </c>
      <c r="BT664" t="s">
        <v>248</v>
      </c>
      <c r="BU664" t="s">
        <v>270</v>
      </c>
      <c r="BV664" t="b">
        <v>0</v>
      </c>
      <c r="BW664" t="s">
        <v>271</v>
      </c>
    </row>
    <row r="665" spans="1:75">
      <c r="A665" t="s">
        <v>248</v>
      </c>
      <c r="B665" t="s">
        <v>252</v>
      </c>
      <c r="C665">
        <v>547</v>
      </c>
      <c r="D665" t="s">
        <v>253</v>
      </c>
      <c r="E665" t="s">
        <v>254</v>
      </c>
      <c r="F665">
        <v>5</v>
      </c>
      <c r="G665" s="13">
        <v>46265.136296296296</v>
      </c>
      <c r="H665" s="13">
        <v>46265.146238425928</v>
      </c>
      <c r="I665">
        <v>859</v>
      </c>
      <c r="J665" t="s">
        <v>255</v>
      </c>
      <c r="K665">
        <v>3</v>
      </c>
      <c r="L665">
        <v>0.12</v>
      </c>
      <c r="M665">
        <v>0.04</v>
      </c>
      <c r="N665">
        <v>3</v>
      </c>
      <c r="O665">
        <v>0.12</v>
      </c>
      <c r="P665">
        <v>71.8</v>
      </c>
      <c r="Q665">
        <v>12.16</v>
      </c>
      <c r="R665">
        <v>6.76</v>
      </c>
      <c r="S665" t="s">
        <v>263</v>
      </c>
      <c r="T665" t="s">
        <v>257</v>
      </c>
      <c r="U665">
        <v>11</v>
      </c>
      <c r="V665">
        <v>7098.46</v>
      </c>
      <c r="W665">
        <v>4999.32</v>
      </c>
      <c r="X665">
        <v>4928.2</v>
      </c>
      <c r="Y665">
        <v>0</v>
      </c>
      <c r="Z665">
        <v>0</v>
      </c>
      <c r="AA665">
        <v>35</v>
      </c>
      <c r="AB665">
        <v>50</v>
      </c>
      <c r="AC665">
        <v>5000</v>
      </c>
      <c r="AD665">
        <v>0</v>
      </c>
      <c r="AE665">
        <v>0</v>
      </c>
      <c r="AF665">
        <v>7105.46</v>
      </c>
      <c r="AG665">
        <v>7105.46</v>
      </c>
      <c r="AH665" s="14">
        <v>46265</v>
      </c>
      <c r="AI665" t="s">
        <v>269</v>
      </c>
      <c r="AJ665" s="13">
        <v>46265.054768518516</v>
      </c>
      <c r="AK665">
        <v>7052.98</v>
      </c>
      <c r="AL665" t="s">
        <v>259</v>
      </c>
      <c r="AM665" t="s">
        <v>260</v>
      </c>
      <c r="AN665">
        <v>1400</v>
      </c>
      <c r="AO665">
        <v>0</v>
      </c>
      <c r="AP665">
        <v>35</v>
      </c>
      <c r="AQ665">
        <v>85</v>
      </c>
      <c r="AR665">
        <v>35</v>
      </c>
      <c r="AS665">
        <v>2</v>
      </c>
      <c r="AT665">
        <v>23</v>
      </c>
      <c r="AU665">
        <v>1</v>
      </c>
      <c r="AV665">
        <v>0</v>
      </c>
      <c r="AW665">
        <v>10</v>
      </c>
      <c r="AX665">
        <v>1</v>
      </c>
      <c r="AY665">
        <v>7</v>
      </c>
      <c r="AZ665">
        <v>3</v>
      </c>
      <c r="BA665">
        <v>1</v>
      </c>
      <c r="BB665">
        <v>1440</v>
      </c>
      <c r="BC665">
        <v>0</v>
      </c>
      <c r="BD665">
        <v>0</v>
      </c>
      <c r="BE665">
        <v>14</v>
      </c>
      <c r="BF665">
        <v>25</v>
      </c>
      <c r="BG665">
        <v>3</v>
      </c>
      <c r="BH665">
        <v>8</v>
      </c>
      <c r="BI665">
        <v>3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0</v>
      </c>
      <c r="BQ665">
        <v>60</v>
      </c>
      <c r="BR665">
        <v>0</v>
      </c>
      <c r="BS665">
        <v>3</v>
      </c>
      <c r="BT665" t="s">
        <v>248</v>
      </c>
      <c r="BU665" t="s">
        <v>270</v>
      </c>
      <c r="BV665" t="b">
        <v>0</v>
      </c>
      <c r="BW665" t="s">
        <v>271</v>
      </c>
    </row>
    <row r="666" spans="1:75">
      <c r="A666" t="s">
        <v>248</v>
      </c>
      <c r="B666" t="s">
        <v>252</v>
      </c>
      <c r="C666">
        <v>548</v>
      </c>
      <c r="D666" t="s">
        <v>253</v>
      </c>
      <c r="E666" t="s">
        <v>254</v>
      </c>
      <c r="F666">
        <v>5</v>
      </c>
      <c r="G666" s="13">
        <v>46265.149583333332</v>
      </c>
      <c r="H666" s="13">
        <v>46265.149768518517</v>
      </c>
      <c r="I666">
        <v>16</v>
      </c>
      <c r="J666" t="s">
        <v>255</v>
      </c>
      <c r="K666">
        <v>1</v>
      </c>
      <c r="L666">
        <v>0.04</v>
      </c>
      <c r="M666">
        <v>0.04</v>
      </c>
      <c r="N666">
        <v>1</v>
      </c>
      <c r="O666">
        <v>0.04</v>
      </c>
      <c r="P666">
        <v>0.92</v>
      </c>
      <c r="Q666">
        <v>4.3600000000000003</v>
      </c>
      <c r="R666">
        <v>3.96</v>
      </c>
      <c r="S666" t="s">
        <v>256</v>
      </c>
      <c r="T666" t="s">
        <v>257</v>
      </c>
      <c r="U666">
        <v>10</v>
      </c>
      <c r="V666">
        <v>7104.78</v>
      </c>
      <c r="W666">
        <v>4999.32</v>
      </c>
      <c r="X666">
        <v>4999.08</v>
      </c>
      <c r="Y666">
        <v>0</v>
      </c>
      <c r="Z666">
        <v>0</v>
      </c>
      <c r="AA666">
        <v>35</v>
      </c>
      <c r="AB666">
        <v>50</v>
      </c>
      <c r="AC666">
        <v>5000</v>
      </c>
      <c r="AD666">
        <v>0</v>
      </c>
      <c r="AE666">
        <v>0</v>
      </c>
      <c r="AF666">
        <v>7108.42</v>
      </c>
      <c r="AG666">
        <v>7108.42</v>
      </c>
      <c r="AH666" s="14">
        <v>46265</v>
      </c>
      <c r="AI666" t="s">
        <v>269</v>
      </c>
      <c r="AJ666" s="13">
        <v>46265.054768518516</v>
      </c>
      <c r="AK666">
        <v>7052.98</v>
      </c>
      <c r="AL666" t="s">
        <v>259</v>
      </c>
      <c r="AM666" t="s">
        <v>260</v>
      </c>
      <c r="AN666">
        <v>1400</v>
      </c>
      <c r="AO666">
        <v>0</v>
      </c>
      <c r="AP666">
        <v>35</v>
      </c>
      <c r="AQ666">
        <v>85</v>
      </c>
      <c r="AR666">
        <v>35</v>
      </c>
      <c r="AS666">
        <v>2</v>
      </c>
      <c r="AT666">
        <v>23</v>
      </c>
      <c r="AU666">
        <v>1</v>
      </c>
      <c r="AV666">
        <v>0</v>
      </c>
      <c r="AW666">
        <v>10</v>
      </c>
      <c r="AX666">
        <v>1</v>
      </c>
      <c r="AY666">
        <v>7</v>
      </c>
      <c r="AZ666">
        <v>3</v>
      </c>
      <c r="BA666">
        <v>1</v>
      </c>
      <c r="BB666">
        <v>1440</v>
      </c>
      <c r="BC666">
        <v>0</v>
      </c>
      <c r="BD666">
        <v>0</v>
      </c>
      <c r="BE666">
        <v>14</v>
      </c>
      <c r="BF666">
        <v>25</v>
      </c>
      <c r="BG666">
        <v>3</v>
      </c>
      <c r="BH666">
        <v>8</v>
      </c>
      <c r="BI666">
        <v>3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0</v>
      </c>
      <c r="BQ666">
        <v>60</v>
      </c>
      <c r="BR666">
        <v>0</v>
      </c>
      <c r="BS666">
        <v>3</v>
      </c>
      <c r="BT666" t="s">
        <v>248</v>
      </c>
      <c r="BU666" t="s">
        <v>270</v>
      </c>
      <c r="BV666" t="b">
        <v>0</v>
      </c>
      <c r="BW666" t="s">
        <v>271</v>
      </c>
    </row>
    <row r="667" spans="1:75">
      <c r="A667" t="s">
        <v>248</v>
      </c>
      <c r="B667" t="s">
        <v>252</v>
      </c>
      <c r="C667">
        <v>549</v>
      </c>
      <c r="D667" t="s">
        <v>253</v>
      </c>
      <c r="E667" t="s">
        <v>254</v>
      </c>
      <c r="F667">
        <v>5</v>
      </c>
      <c r="G667" s="13">
        <v>46265.153645833336</v>
      </c>
      <c r="H667" s="13">
        <v>46265.15421296296</v>
      </c>
      <c r="I667">
        <v>49</v>
      </c>
      <c r="J667" t="s">
        <v>264</v>
      </c>
      <c r="K667">
        <v>1</v>
      </c>
      <c r="L667">
        <v>0.04</v>
      </c>
      <c r="M667">
        <v>0.04</v>
      </c>
      <c r="N667">
        <v>1</v>
      </c>
      <c r="O667">
        <v>0.04</v>
      </c>
      <c r="P667">
        <v>5.92</v>
      </c>
      <c r="Q667">
        <v>3.72</v>
      </c>
      <c r="R667">
        <v>3.12</v>
      </c>
      <c r="S667" t="s">
        <v>256</v>
      </c>
      <c r="T667" t="s">
        <v>257</v>
      </c>
      <c r="U667">
        <v>15</v>
      </c>
      <c r="V667">
        <v>7107.58</v>
      </c>
      <c r="W667">
        <v>4999.16</v>
      </c>
      <c r="X667">
        <v>4994.08</v>
      </c>
      <c r="Y667">
        <v>0</v>
      </c>
      <c r="Z667">
        <v>0</v>
      </c>
      <c r="AA667">
        <v>35</v>
      </c>
      <c r="AB667">
        <v>50</v>
      </c>
      <c r="AC667">
        <v>5000</v>
      </c>
      <c r="AD667">
        <v>0</v>
      </c>
      <c r="AE667">
        <v>0</v>
      </c>
      <c r="AF667">
        <v>7110.7</v>
      </c>
      <c r="AG667">
        <v>7110.7</v>
      </c>
      <c r="AH667" s="14">
        <v>46265</v>
      </c>
      <c r="AI667" t="s">
        <v>269</v>
      </c>
      <c r="AJ667" s="13">
        <v>46265.054768518516</v>
      </c>
      <c r="AK667">
        <v>7052.98</v>
      </c>
      <c r="AL667" t="s">
        <v>259</v>
      </c>
      <c r="AM667" t="s">
        <v>260</v>
      </c>
      <c r="AN667">
        <v>1400</v>
      </c>
      <c r="AO667">
        <v>0</v>
      </c>
      <c r="AP667">
        <v>35</v>
      </c>
      <c r="AQ667">
        <v>85</v>
      </c>
      <c r="AR667">
        <v>35</v>
      </c>
      <c r="AS667">
        <v>2</v>
      </c>
      <c r="AT667">
        <v>23</v>
      </c>
      <c r="AU667">
        <v>1</v>
      </c>
      <c r="AV667">
        <v>0</v>
      </c>
      <c r="AW667">
        <v>10</v>
      </c>
      <c r="AX667">
        <v>1</v>
      </c>
      <c r="AY667">
        <v>7</v>
      </c>
      <c r="AZ667">
        <v>3</v>
      </c>
      <c r="BA667">
        <v>1</v>
      </c>
      <c r="BB667">
        <v>1440</v>
      </c>
      <c r="BC667">
        <v>0</v>
      </c>
      <c r="BD667">
        <v>0</v>
      </c>
      <c r="BE667">
        <v>14</v>
      </c>
      <c r="BF667">
        <v>25</v>
      </c>
      <c r="BG667">
        <v>3</v>
      </c>
      <c r="BH667">
        <v>8</v>
      </c>
      <c r="BI667">
        <v>3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0</v>
      </c>
      <c r="BQ667">
        <v>60</v>
      </c>
      <c r="BR667">
        <v>0</v>
      </c>
      <c r="BS667">
        <v>3</v>
      </c>
      <c r="BT667" t="s">
        <v>248</v>
      </c>
      <c r="BU667" t="s">
        <v>270</v>
      </c>
      <c r="BV667" t="b">
        <v>0</v>
      </c>
      <c r="BW667" t="s">
        <v>271</v>
      </c>
    </row>
    <row r="668" spans="1:75">
      <c r="A668" t="s">
        <v>248</v>
      </c>
      <c r="B668" t="s">
        <v>252</v>
      </c>
      <c r="C668">
        <v>550</v>
      </c>
      <c r="D668" t="s">
        <v>253</v>
      </c>
      <c r="E668" t="s">
        <v>254</v>
      </c>
      <c r="F668">
        <v>5</v>
      </c>
      <c r="G668" s="13">
        <v>46265.157013888886</v>
      </c>
      <c r="H668" s="13">
        <v>46265.182488425926</v>
      </c>
      <c r="I668">
        <v>2201</v>
      </c>
      <c r="J668" t="s">
        <v>255</v>
      </c>
      <c r="K668">
        <v>7</v>
      </c>
      <c r="L668">
        <v>0.28000000000000003</v>
      </c>
      <c r="M668">
        <v>0.04</v>
      </c>
      <c r="N668">
        <v>7</v>
      </c>
      <c r="O668">
        <v>0.28000000000000003</v>
      </c>
      <c r="P668">
        <v>374.28</v>
      </c>
      <c r="Q668">
        <v>27.08</v>
      </c>
      <c r="R668">
        <v>-32.840000000000003</v>
      </c>
      <c r="S668" t="s">
        <v>263</v>
      </c>
      <c r="T668" t="s">
        <v>256</v>
      </c>
      <c r="U668">
        <v>10</v>
      </c>
      <c r="V668">
        <v>7110.06</v>
      </c>
      <c r="W668">
        <v>4999.3599999999997</v>
      </c>
      <c r="X668">
        <v>4625.72</v>
      </c>
      <c r="Y668">
        <v>0</v>
      </c>
      <c r="Z668">
        <v>0</v>
      </c>
      <c r="AA668">
        <v>35</v>
      </c>
      <c r="AB668">
        <v>50</v>
      </c>
      <c r="AC668">
        <v>5000</v>
      </c>
      <c r="AD668">
        <v>0</v>
      </c>
      <c r="AE668">
        <v>0</v>
      </c>
      <c r="AF668">
        <v>7080.78</v>
      </c>
      <c r="AG668">
        <v>7080.78</v>
      </c>
      <c r="AH668" s="14">
        <v>46265</v>
      </c>
      <c r="AI668" t="s">
        <v>269</v>
      </c>
      <c r="AJ668" s="13">
        <v>46265.054768518516</v>
      </c>
      <c r="AK668">
        <v>7052.98</v>
      </c>
      <c r="AL668" t="s">
        <v>259</v>
      </c>
      <c r="AM668" t="s">
        <v>260</v>
      </c>
      <c r="AN668">
        <v>1400</v>
      </c>
      <c r="AO668">
        <v>0</v>
      </c>
      <c r="AP668">
        <v>35</v>
      </c>
      <c r="AQ668">
        <v>85</v>
      </c>
      <c r="AR668">
        <v>35</v>
      </c>
      <c r="AS668">
        <v>2</v>
      </c>
      <c r="AT668">
        <v>23</v>
      </c>
      <c r="AU668">
        <v>1</v>
      </c>
      <c r="AV668">
        <v>0</v>
      </c>
      <c r="AW668">
        <v>10</v>
      </c>
      <c r="AX668">
        <v>1</v>
      </c>
      <c r="AY668">
        <v>7</v>
      </c>
      <c r="AZ668">
        <v>3</v>
      </c>
      <c r="BA668">
        <v>1</v>
      </c>
      <c r="BB668">
        <v>1440</v>
      </c>
      <c r="BC668">
        <v>0</v>
      </c>
      <c r="BD668">
        <v>0</v>
      </c>
      <c r="BE668">
        <v>14</v>
      </c>
      <c r="BF668">
        <v>25</v>
      </c>
      <c r="BG668">
        <v>3</v>
      </c>
      <c r="BH668">
        <v>8</v>
      </c>
      <c r="BI668">
        <v>3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0</v>
      </c>
      <c r="BQ668">
        <v>60</v>
      </c>
      <c r="BR668">
        <v>0</v>
      </c>
      <c r="BS668">
        <v>3</v>
      </c>
      <c r="BT668" t="s">
        <v>248</v>
      </c>
      <c r="BU668" t="s">
        <v>270</v>
      </c>
      <c r="BV668" t="b">
        <v>0</v>
      </c>
      <c r="BW668" t="s">
        <v>271</v>
      </c>
    </row>
    <row r="669" spans="1:75">
      <c r="A669" t="s">
        <v>248</v>
      </c>
      <c r="B669" t="s">
        <v>252</v>
      </c>
      <c r="C669">
        <v>551</v>
      </c>
      <c r="D669" t="s">
        <v>253</v>
      </c>
      <c r="E669" t="s">
        <v>254</v>
      </c>
      <c r="F669">
        <v>5</v>
      </c>
      <c r="G669" s="13">
        <v>46265.184178240743</v>
      </c>
      <c r="H669" s="13">
        <v>46265.185324074075</v>
      </c>
      <c r="I669">
        <v>99</v>
      </c>
      <c r="J669" t="s">
        <v>264</v>
      </c>
      <c r="K669">
        <v>1</v>
      </c>
      <c r="L669">
        <v>0.04</v>
      </c>
      <c r="M669">
        <v>0.04</v>
      </c>
      <c r="N669">
        <v>1</v>
      </c>
      <c r="O669">
        <v>0.04</v>
      </c>
      <c r="P669">
        <v>16.84</v>
      </c>
      <c r="Q669">
        <v>5.68</v>
      </c>
      <c r="R669">
        <v>5.44</v>
      </c>
      <c r="S669" t="s">
        <v>256</v>
      </c>
      <c r="T669" t="s">
        <v>257</v>
      </c>
      <c r="U669">
        <v>10</v>
      </c>
      <c r="V669">
        <v>7080.22</v>
      </c>
      <c r="W669">
        <v>4999.4399999999996</v>
      </c>
      <c r="X669">
        <v>4983.16</v>
      </c>
      <c r="Y669">
        <v>0</v>
      </c>
      <c r="Z669">
        <v>0</v>
      </c>
      <c r="AA669">
        <v>35</v>
      </c>
      <c r="AB669">
        <v>50</v>
      </c>
      <c r="AC669">
        <v>5000</v>
      </c>
      <c r="AD669">
        <v>0</v>
      </c>
      <c r="AE669">
        <v>0</v>
      </c>
      <c r="AF669">
        <v>7085.02</v>
      </c>
      <c r="AG669">
        <v>7085.02</v>
      </c>
      <c r="AH669" s="14">
        <v>46265</v>
      </c>
      <c r="AI669" t="s">
        <v>269</v>
      </c>
      <c r="AJ669" s="13">
        <v>46265.054768518516</v>
      </c>
      <c r="AK669">
        <v>7052.98</v>
      </c>
      <c r="AL669" t="s">
        <v>259</v>
      </c>
      <c r="AM669" t="s">
        <v>260</v>
      </c>
      <c r="AN669">
        <v>1400</v>
      </c>
      <c r="AO669">
        <v>0</v>
      </c>
      <c r="AP669">
        <v>35</v>
      </c>
      <c r="AQ669">
        <v>85</v>
      </c>
      <c r="AR669">
        <v>35</v>
      </c>
      <c r="AS669">
        <v>2</v>
      </c>
      <c r="AT669">
        <v>23</v>
      </c>
      <c r="AU669">
        <v>1</v>
      </c>
      <c r="AV669">
        <v>0</v>
      </c>
      <c r="AW669">
        <v>10</v>
      </c>
      <c r="AX669">
        <v>1</v>
      </c>
      <c r="AY669">
        <v>7</v>
      </c>
      <c r="AZ669">
        <v>3</v>
      </c>
      <c r="BA669">
        <v>1</v>
      </c>
      <c r="BB669">
        <v>1440</v>
      </c>
      <c r="BC669">
        <v>0</v>
      </c>
      <c r="BD669">
        <v>0</v>
      </c>
      <c r="BE669">
        <v>14</v>
      </c>
      <c r="BF669">
        <v>25</v>
      </c>
      <c r="BG669">
        <v>3</v>
      </c>
      <c r="BH669">
        <v>8</v>
      </c>
      <c r="BI669">
        <v>3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0</v>
      </c>
      <c r="BQ669">
        <v>60</v>
      </c>
      <c r="BR669">
        <v>0</v>
      </c>
      <c r="BS669">
        <v>3</v>
      </c>
      <c r="BT669" t="s">
        <v>248</v>
      </c>
      <c r="BU669" t="s">
        <v>270</v>
      </c>
      <c r="BV669" t="b">
        <v>0</v>
      </c>
      <c r="BW669" t="s">
        <v>271</v>
      </c>
    </row>
    <row r="670" spans="1:75">
      <c r="A670" t="s">
        <v>248</v>
      </c>
      <c r="B670" t="s">
        <v>252</v>
      </c>
      <c r="C670">
        <v>552</v>
      </c>
      <c r="D670" t="s">
        <v>253</v>
      </c>
      <c r="E670" t="s">
        <v>254</v>
      </c>
      <c r="F670">
        <v>5</v>
      </c>
      <c r="G670" s="13">
        <v>46265.188020833331</v>
      </c>
      <c r="H670" s="13">
        <v>46265.188368055555</v>
      </c>
      <c r="I670">
        <v>30</v>
      </c>
      <c r="J670" t="s">
        <v>255</v>
      </c>
      <c r="K670">
        <v>1</v>
      </c>
      <c r="L670">
        <v>0.04</v>
      </c>
      <c r="M670">
        <v>0.04</v>
      </c>
      <c r="N670">
        <v>1</v>
      </c>
      <c r="O670">
        <v>0.04</v>
      </c>
      <c r="P670">
        <v>6.16</v>
      </c>
      <c r="Q670">
        <v>3.68</v>
      </c>
      <c r="R670">
        <v>1.92</v>
      </c>
      <c r="S670" t="s">
        <v>256</v>
      </c>
      <c r="T670" t="s">
        <v>257</v>
      </c>
      <c r="U670">
        <v>10</v>
      </c>
      <c r="V670">
        <v>7084.38</v>
      </c>
      <c r="W670">
        <v>4999.3599999999997</v>
      </c>
      <c r="X670">
        <v>4993.84</v>
      </c>
      <c r="Y670">
        <v>0</v>
      </c>
      <c r="Z670">
        <v>0</v>
      </c>
      <c r="AA670">
        <v>35</v>
      </c>
      <c r="AB670">
        <v>50</v>
      </c>
      <c r="AC670">
        <v>5000</v>
      </c>
      <c r="AD670">
        <v>0</v>
      </c>
      <c r="AE670">
        <v>0</v>
      </c>
      <c r="AF670">
        <v>7086.82</v>
      </c>
      <c r="AG670">
        <v>7086.82</v>
      </c>
      <c r="AH670" s="14">
        <v>46265</v>
      </c>
      <c r="AI670" t="s">
        <v>269</v>
      </c>
      <c r="AJ670" s="13">
        <v>46265.054768518516</v>
      </c>
      <c r="AK670">
        <v>7052.98</v>
      </c>
      <c r="AL670" t="s">
        <v>259</v>
      </c>
      <c r="AM670" t="s">
        <v>260</v>
      </c>
      <c r="AN670">
        <v>1400</v>
      </c>
      <c r="AO670">
        <v>0</v>
      </c>
      <c r="AP670">
        <v>35</v>
      </c>
      <c r="AQ670">
        <v>85</v>
      </c>
      <c r="AR670">
        <v>35</v>
      </c>
      <c r="AS670">
        <v>2</v>
      </c>
      <c r="AT670">
        <v>23</v>
      </c>
      <c r="AU670">
        <v>1</v>
      </c>
      <c r="AV670">
        <v>0</v>
      </c>
      <c r="AW670">
        <v>10</v>
      </c>
      <c r="AX670">
        <v>1</v>
      </c>
      <c r="AY670">
        <v>7</v>
      </c>
      <c r="AZ670">
        <v>3</v>
      </c>
      <c r="BA670">
        <v>1</v>
      </c>
      <c r="BB670">
        <v>1440</v>
      </c>
      <c r="BC670">
        <v>0</v>
      </c>
      <c r="BD670">
        <v>0</v>
      </c>
      <c r="BE670">
        <v>14</v>
      </c>
      <c r="BF670">
        <v>25</v>
      </c>
      <c r="BG670">
        <v>3</v>
      </c>
      <c r="BH670">
        <v>8</v>
      </c>
      <c r="BI670">
        <v>3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0</v>
      </c>
      <c r="BQ670">
        <v>60</v>
      </c>
      <c r="BR670">
        <v>0</v>
      </c>
      <c r="BS670">
        <v>3</v>
      </c>
      <c r="BT670" t="s">
        <v>248</v>
      </c>
      <c r="BU670" t="s">
        <v>270</v>
      </c>
      <c r="BV670" t="b">
        <v>0</v>
      </c>
      <c r="BW670" t="s">
        <v>271</v>
      </c>
    </row>
    <row r="671" spans="1:75">
      <c r="A671" t="s">
        <v>248</v>
      </c>
      <c r="B671" t="s">
        <v>252</v>
      </c>
      <c r="C671">
        <v>553</v>
      </c>
      <c r="D671" t="s">
        <v>253</v>
      </c>
      <c r="E671" t="s">
        <v>254</v>
      </c>
      <c r="F671">
        <v>5</v>
      </c>
      <c r="G671" s="13">
        <v>46265.191145833334</v>
      </c>
      <c r="H671" s="13">
        <v>46265.192754629628</v>
      </c>
      <c r="I671">
        <v>139</v>
      </c>
      <c r="J671" t="s">
        <v>255</v>
      </c>
      <c r="K671">
        <v>1</v>
      </c>
      <c r="L671">
        <v>0.04</v>
      </c>
      <c r="M671">
        <v>0.04</v>
      </c>
      <c r="N671">
        <v>1</v>
      </c>
      <c r="O671">
        <v>0.04</v>
      </c>
      <c r="P671">
        <v>17.28</v>
      </c>
      <c r="Q671">
        <v>4.5599999999999996</v>
      </c>
      <c r="R671">
        <v>3.08</v>
      </c>
      <c r="S671" t="s">
        <v>256</v>
      </c>
      <c r="T671" t="s">
        <v>257</v>
      </c>
      <c r="U671">
        <v>10</v>
      </c>
      <c r="V671">
        <v>7086.18</v>
      </c>
      <c r="W671">
        <v>4999.3599999999997</v>
      </c>
      <c r="X671">
        <v>4982.72</v>
      </c>
      <c r="Y671">
        <v>0</v>
      </c>
      <c r="Z671">
        <v>0</v>
      </c>
      <c r="AA671">
        <v>35</v>
      </c>
      <c r="AB671">
        <v>50</v>
      </c>
      <c r="AC671">
        <v>5000</v>
      </c>
      <c r="AD671">
        <v>0</v>
      </c>
      <c r="AE671">
        <v>0</v>
      </c>
      <c r="AF671">
        <v>7088.78</v>
      </c>
      <c r="AG671">
        <v>7088.78</v>
      </c>
      <c r="AH671" s="14">
        <v>46265</v>
      </c>
      <c r="AI671" t="s">
        <v>269</v>
      </c>
      <c r="AJ671" s="13">
        <v>46265.054768518516</v>
      </c>
      <c r="AK671">
        <v>7052.98</v>
      </c>
      <c r="AL671" t="s">
        <v>259</v>
      </c>
      <c r="AM671" t="s">
        <v>260</v>
      </c>
      <c r="AN671">
        <v>1400</v>
      </c>
      <c r="AO671">
        <v>0</v>
      </c>
      <c r="AP671">
        <v>35</v>
      </c>
      <c r="AQ671">
        <v>85</v>
      </c>
      <c r="AR671">
        <v>35</v>
      </c>
      <c r="AS671">
        <v>2</v>
      </c>
      <c r="AT671">
        <v>23</v>
      </c>
      <c r="AU671">
        <v>1</v>
      </c>
      <c r="AV671">
        <v>0</v>
      </c>
      <c r="AW671">
        <v>10</v>
      </c>
      <c r="AX671">
        <v>1</v>
      </c>
      <c r="AY671">
        <v>7</v>
      </c>
      <c r="AZ671">
        <v>3</v>
      </c>
      <c r="BA671">
        <v>1</v>
      </c>
      <c r="BB671">
        <v>1440</v>
      </c>
      <c r="BC671">
        <v>0</v>
      </c>
      <c r="BD671">
        <v>0</v>
      </c>
      <c r="BE671">
        <v>14</v>
      </c>
      <c r="BF671">
        <v>25</v>
      </c>
      <c r="BG671">
        <v>3</v>
      </c>
      <c r="BH671">
        <v>8</v>
      </c>
      <c r="BI671">
        <v>3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0</v>
      </c>
      <c r="BQ671">
        <v>60</v>
      </c>
      <c r="BR671">
        <v>0</v>
      </c>
      <c r="BS671">
        <v>3</v>
      </c>
      <c r="BT671" t="s">
        <v>248</v>
      </c>
      <c r="BU671" t="s">
        <v>270</v>
      </c>
      <c r="BV671" t="b">
        <v>0</v>
      </c>
      <c r="BW671" t="s">
        <v>271</v>
      </c>
    </row>
    <row r="672" spans="1:75">
      <c r="A672" t="s">
        <v>248</v>
      </c>
      <c r="B672" t="s">
        <v>252</v>
      </c>
      <c r="C672">
        <v>554</v>
      </c>
      <c r="D672" t="s">
        <v>253</v>
      </c>
      <c r="E672" t="s">
        <v>254</v>
      </c>
      <c r="F672">
        <v>5</v>
      </c>
      <c r="G672" s="13">
        <v>46265.194837962961</v>
      </c>
      <c r="H672" s="13">
        <v>46265.195011574076</v>
      </c>
      <c r="I672">
        <v>15</v>
      </c>
      <c r="J672" t="s">
        <v>264</v>
      </c>
      <c r="K672">
        <v>1</v>
      </c>
      <c r="L672">
        <v>0.04</v>
      </c>
      <c r="M672">
        <v>0.04</v>
      </c>
      <c r="N672">
        <v>1</v>
      </c>
      <c r="O672">
        <v>0.04</v>
      </c>
      <c r="P672">
        <v>0.72</v>
      </c>
      <c r="Q672">
        <v>8.6</v>
      </c>
      <c r="R672">
        <v>8.0399999999999991</v>
      </c>
      <c r="S672" t="s">
        <v>256</v>
      </c>
      <c r="T672" t="s">
        <v>257</v>
      </c>
      <c r="U672">
        <v>11</v>
      </c>
      <c r="V672">
        <v>7088.14</v>
      </c>
      <c r="W672">
        <v>4999.3599999999997</v>
      </c>
      <c r="X672">
        <v>4999.28</v>
      </c>
      <c r="Y672">
        <v>0</v>
      </c>
      <c r="Z672">
        <v>0</v>
      </c>
      <c r="AA672">
        <v>35</v>
      </c>
      <c r="AB672">
        <v>50</v>
      </c>
      <c r="AC672">
        <v>5000</v>
      </c>
      <c r="AD672">
        <v>0</v>
      </c>
      <c r="AE672">
        <v>0</v>
      </c>
      <c r="AF672">
        <v>7095.98</v>
      </c>
      <c r="AG672">
        <v>7095.98</v>
      </c>
      <c r="AH672" s="14">
        <v>46265</v>
      </c>
      <c r="AI672" t="s">
        <v>269</v>
      </c>
      <c r="AJ672" s="13">
        <v>46265.054768518516</v>
      </c>
      <c r="AK672">
        <v>7052.98</v>
      </c>
      <c r="AL672" t="s">
        <v>259</v>
      </c>
      <c r="AM672" t="s">
        <v>260</v>
      </c>
      <c r="AN672">
        <v>1400</v>
      </c>
      <c r="AO672">
        <v>0</v>
      </c>
      <c r="AP672">
        <v>35</v>
      </c>
      <c r="AQ672">
        <v>85</v>
      </c>
      <c r="AR672">
        <v>35</v>
      </c>
      <c r="AS672">
        <v>2</v>
      </c>
      <c r="AT672">
        <v>23</v>
      </c>
      <c r="AU672">
        <v>1</v>
      </c>
      <c r="AV672">
        <v>0</v>
      </c>
      <c r="AW672">
        <v>10</v>
      </c>
      <c r="AX672">
        <v>1</v>
      </c>
      <c r="AY672">
        <v>7</v>
      </c>
      <c r="AZ672">
        <v>3</v>
      </c>
      <c r="BA672">
        <v>1</v>
      </c>
      <c r="BB672">
        <v>1440</v>
      </c>
      <c r="BC672">
        <v>0</v>
      </c>
      <c r="BD672">
        <v>0</v>
      </c>
      <c r="BE672">
        <v>14</v>
      </c>
      <c r="BF672">
        <v>25</v>
      </c>
      <c r="BG672">
        <v>3</v>
      </c>
      <c r="BH672">
        <v>8</v>
      </c>
      <c r="BI672">
        <v>3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0</v>
      </c>
      <c r="BQ672">
        <v>60</v>
      </c>
      <c r="BR672">
        <v>0</v>
      </c>
      <c r="BS672">
        <v>3</v>
      </c>
      <c r="BT672" t="s">
        <v>248</v>
      </c>
      <c r="BU672" t="s">
        <v>270</v>
      </c>
      <c r="BV672" t="b">
        <v>0</v>
      </c>
      <c r="BW672" t="s">
        <v>271</v>
      </c>
    </row>
    <row r="673" spans="1:75">
      <c r="A673" t="s">
        <v>248</v>
      </c>
      <c r="B673" t="s">
        <v>252</v>
      </c>
      <c r="C673">
        <v>555</v>
      </c>
      <c r="D673" t="s">
        <v>253</v>
      </c>
      <c r="E673" t="s">
        <v>254</v>
      </c>
      <c r="F673">
        <v>5</v>
      </c>
      <c r="G673" s="13">
        <v>46265.199421296296</v>
      </c>
      <c r="H673" s="13">
        <v>46265.199687499997</v>
      </c>
      <c r="I673">
        <v>23</v>
      </c>
      <c r="J673" t="s">
        <v>264</v>
      </c>
      <c r="K673">
        <v>1</v>
      </c>
      <c r="L673">
        <v>0.04</v>
      </c>
      <c r="M673">
        <v>0.04</v>
      </c>
      <c r="N673">
        <v>1</v>
      </c>
      <c r="O673">
        <v>0.04</v>
      </c>
      <c r="P673">
        <v>1.1599999999999999</v>
      </c>
      <c r="Q673">
        <v>7</v>
      </c>
      <c r="R673">
        <v>6.28</v>
      </c>
      <c r="S673" t="s">
        <v>256</v>
      </c>
      <c r="T673" t="s">
        <v>257</v>
      </c>
      <c r="U673">
        <v>10</v>
      </c>
      <c r="V673">
        <v>7095.34</v>
      </c>
      <c r="W673">
        <v>4999.3599999999997</v>
      </c>
      <c r="X673">
        <v>4998.84</v>
      </c>
      <c r="Y673">
        <v>0</v>
      </c>
      <c r="Z673">
        <v>0</v>
      </c>
      <c r="AA673">
        <v>35</v>
      </c>
      <c r="AB673">
        <v>50</v>
      </c>
      <c r="AC673">
        <v>5000</v>
      </c>
      <c r="AD673">
        <v>0</v>
      </c>
      <c r="AE673">
        <v>0</v>
      </c>
      <c r="AF673">
        <v>7101.58</v>
      </c>
      <c r="AG673">
        <v>7101.58</v>
      </c>
      <c r="AH673" s="14">
        <v>46265</v>
      </c>
      <c r="AI673" t="s">
        <v>269</v>
      </c>
      <c r="AJ673" s="13">
        <v>46265.054768518516</v>
      </c>
      <c r="AK673">
        <v>7052.98</v>
      </c>
      <c r="AL673" t="s">
        <v>259</v>
      </c>
      <c r="AM673" t="s">
        <v>260</v>
      </c>
      <c r="AN673">
        <v>1400</v>
      </c>
      <c r="AO673">
        <v>0</v>
      </c>
      <c r="AP673">
        <v>35</v>
      </c>
      <c r="AQ673">
        <v>85</v>
      </c>
      <c r="AR673">
        <v>35</v>
      </c>
      <c r="AS673">
        <v>2</v>
      </c>
      <c r="AT673">
        <v>23</v>
      </c>
      <c r="AU673">
        <v>1</v>
      </c>
      <c r="AV673">
        <v>0</v>
      </c>
      <c r="AW673">
        <v>10</v>
      </c>
      <c r="AX673">
        <v>1</v>
      </c>
      <c r="AY673">
        <v>7</v>
      </c>
      <c r="AZ673">
        <v>3</v>
      </c>
      <c r="BA673">
        <v>1</v>
      </c>
      <c r="BB673">
        <v>1440</v>
      </c>
      <c r="BC673">
        <v>0</v>
      </c>
      <c r="BD673">
        <v>0</v>
      </c>
      <c r="BE673">
        <v>14</v>
      </c>
      <c r="BF673">
        <v>25</v>
      </c>
      <c r="BG673">
        <v>3</v>
      </c>
      <c r="BH673">
        <v>8</v>
      </c>
      <c r="BI673">
        <v>3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0</v>
      </c>
      <c r="BQ673">
        <v>60</v>
      </c>
      <c r="BR673">
        <v>0</v>
      </c>
      <c r="BS673">
        <v>3</v>
      </c>
      <c r="BT673" t="s">
        <v>248</v>
      </c>
      <c r="BU673" t="s">
        <v>270</v>
      </c>
      <c r="BV673" t="b">
        <v>0</v>
      </c>
      <c r="BW673" t="s">
        <v>271</v>
      </c>
    </row>
    <row r="674" spans="1:75">
      <c r="A674" t="s">
        <v>248</v>
      </c>
      <c r="B674" t="s">
        <v>252</v>
      </c>
      <c r="C674">
        <v>556</v>
      </c>
      <c r="D674" t="s">
        <v>253</v>
      </c>
      <c r="E674" t="s">
        <v>254</v>
      </c>
      <c r="F674">
        <v>5</v>
      </c>
      <c r="G674" s="13">
        <v>46265.20207175926</v>
      </c>
      <c r="H674" s="13">
        <v>46265.203287037039</v>
      </c>
      <c r="I674">
        <v>105</v>
      </c>
      <c r="J674" t="s">
        <v>255</v>
      </c>
      <c r="K674">
        <v>1</v>
      </c>
      <c r="L674">
        <v>0.04</v>
      </c>
      <c r="M674">
        <v>0.04</v>
      </c>
      <c r="N674">
        <v>1</v>
      </c>
      <c r="O674">
        <v>0.04</v>
      </c>
      <c r="P674">
        <v>6.84</v>
      </c>
      <c r="Q674">
        <v>6.76</v>
      </c>
      <c r="R674">
        <v>5.72</v>
      </c>
      <c r="S674" t="s">
        <v>256</v>
      </c>
      <c r="T674" t="s">
        <v>257</v>
      </c>
      <c r="U674">
        <v>10</v>
      </c>
      <c r="V674">
        <v>7100.94</v>
      </c>
      <c r="W674">
        <v>4999.3599999999997</v>
      </c>
      <c r="X674">
        <v>4993.16</v>
      </c>
      <c r="Y674">
        <v>0</v>
      </c>
      <c r="Z674">
        <v>0</v>
      </c>
      <c r="AA674">
        <v>35</v>
      </c>
      <c r="AB674">
        <v>50</v>
      </c>
      <c r="AC674">
        <v>5000</v>
      </c>
      <c r="AD674">
        <v>0</v>
      </c>
      <c r="AE674">
        <v>0</v>
      </c>
      <c r="AF674">
        <v>7106.94</v>
      </c>
      <c r="AG674">
        <v>7106.94</v>
      </c>
      <c r="AH674" s="14">
        <v>46265</v>
      </c>
      <c r="AI674" t="s">
        <v>269</v>
      </c>
      <c r="AJ674" s="13">
        <v>46265.054768518516</v>
      </c>
      <c r="AK674">
        <v>7052.98</v>
      </c>
      <c r="AL674" t="s">
        <v>259</v>
      </c>
      <c r="AM674" t="s">
        <v>260</v>
      </c>
      <c r="AN674">
        <v>1400</v>
      </c>
      <c r="AO674">
        <v>0</v>
      </c>
      <c r="AP674">
        <v>35</v>
      </c>
      <c r="AQ674">
        <v>85</v>
      </c>
      <c r="AR674">
        <v>35</v>
      </c>
      <c r="AS674">
        <v>2</v>
      </c>
      <c r="AT674">
        <v>23</v>
      </c>
      <c r="AU674">
        <v>1</v>
      </c>
      <c r="AV674">
        <v>0</v>
      </c>
      <c r="AW674">
        <v>10</v>
      </c>
      <c r="AX674">
        <v>1</v>
      </c>
      <c r="AY674">
        <v>7</v>
      </c>
      <c r="AZ674">
        <v>3</v>
      </c>
      <c r="BA674">
        <v>1</v>
      </c>
      <c r="BB674">
        <v>1440</v>
      </c>
      <c r="BC674">
        <v>0</v>
      </c>
      <c r="BD674">
        <v>0</v>
      </c>
      <c r="BE674">
        <v>14</v>
      </c>
      <c r="BF674">
        <v>25</v>
      </c>
      <c r="BG674">
        <v>3</v>
      </c>
      <c r="BH674">
        <v>8</v>
      </c>
      <c r="BI674">
        <v>3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0</v>
      </c>
      <c r="BQ674">
        <v>60</v>
      </c>
      <c r="BR674">
        <v>0</v>
      </c>
      <c r="BS674">
        <v>3</v>
      </c>
      <c r="BT674" t="s">
        <v>248</v>
      </c>
      <c r="BU674" t="s">
        <v>270</v>
      </c>
      <c r="BV674" t="b">
        <v>0</v>
      </c>
      <c r="BW674" t="s">
        <v>271</v>
      </c>
    </row>
    <row r="675" spans="1:75">
      <c r="A675" t="s">
        <v>248</v>
      </c>
      <c r="B675" t="s">
        <v>252</v>
      </c>
      <c r="C675">
        <v>557</v>
      </c>
      <c r="D675" t="s">
        <v>253</v>
      </c>
      <c r="E675" t="s">
        <v>254</v>
      </c>
      <c r="F675">
        <v>5</v>
      </c>
      <c r="G675" s="13">
        <v>46265.205312500002</v>
      </c>
      <c r="H675" s="13">
        <v>46265.214421296296</v>
      </c>
      <c r="I675">
        <v>787</v>
      </c>
      <c r="J675" t="s">
        <v>255</v>
      </c>
      <c r="K675">
        <v>3</v>
      </c>
      <c r="L675">
        <v>0.12</v>
      </c>
      <c r="M675">
        <v>0.04</v>
      </c>
      <c r="N675">
        <v>3</v>
      </c>
      <c r="O675">
        <v>0.12</v>
      </c>
      <c r="P675">
        <v>105.84</v>
      </c>
      <c r="Q675">
        <v>11</v>
      </c>
      <c r="R675">
        <v>2</v>
      </c>
      <c r="S675" t="s">
        <v>263</v>
      </c>
      <c r="T675" t="s">
        <v>257</v>
      </c>
      <c r="U675">
        <v>10</v>
      </c>
      <c r="V675">
        <v>7106.26</v>
      </c>
      <c r="W675">
        <v>4999.32</v>
      </c>
      <c r="X675">
        <v>4894.16</v>
      </c>
      <c r="Y675">
        <v>0</v>
      </c>
      <c r="Z675">
        <v>0</v>
      </c>
      <c r="AA675">
        <v>35</v>
      </c>
      <c r="AB675">
        <v>50</v>
      </c>
      <c r="AC675">
        <v>5000</v>
      </c>
      <c r="AD675">
        <v>0</v>
      </c>
      <c r="AE675">
        <v>0</v>
      </c>
      <c r="AF675">
        <v>7107.74</v>
      </c>
      <c r="AG675">
        <v>7107.74</v>
      </c>
      <c r="AH675" s="14">
        <v>46265</v>
      </c>
      <c r="AI675" t="s">
        <v>269</v>
      </c>
      <c r="AJ675" s="13">
        <v>46265.054768518516</v>
      </c>
      <c r="AK675">
        <v>7052.98</v>
      </c>
      <c r="AL675" t="s">
        <v>259</v>
      </c>
      <c r="AM675" t="s">
        <v>260</v>
      </c>
      <c r="AN675">
        <v>1400</v>
      </c>
      <c r="AO675">
        <v>0</v>
      </c>
      <c r="AP675">
        <v>35</v>
      </c>
      <c r="AQ675">
        <v>85</v>
      </c>
      <c r="AR675">
        <v>35</v>
      </c>
      <c r="AS675">
        <v>2</v>
      </c>
      <c r="AT675">
        <v>23</v>
      </c>
      <c r="AU675">
        <v>1</v>
      </c>
      <c r="AV675">
        <v>0</v>
      </c>
      <c r="AW675">
        <v>10</v>
      </c>
      <c r="AX675">
        <v>1</v>
      </c>
      <c r="AY675">
        <v>7</v>
      </c>
      <c r="AZ675">
        <v>3</v>
      </c>
      <c r="BA675">
        <v>1</v>
      </c>
      <c r="BB675">
        <v>1440</v>
      </c>
      <c r="BC675">
        <v>0</v>
      </c>
      <c r="BD675">
        <v>0</v>
      </c>
      <c r="BE675">
        <v>14</v>
      </c>
      <c r="BF675">
        <v>25</v>
      </c>
      <c r="BG675">
        <v>3</v>
      </c>
      <c r="BH675">
        <v>8</v>
      </c>
      <c r="BI675">
        <v>3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0</v>
      </c>
      <c r="BQ675">
        <v>60</v>
      </c>
      <c r="BR675">
        <v>0</v>
      </c>
      <c r="BS675">
        <v>3</v>
      </c>
      <c r="BT675" t="s">
        <v>248</v>
      </c>
      <c r="BU675" t="s">
        <v>270</v>
      </c>
      <c r="BV675" t="b">
        <v>0</v>
      </c>
      <c r="BW675" t="s">
        <v>271</v>
      </c>
    </row>
    <row r="676" spans="1:75">
      <c r="A676" t="s">
        <v>248</v>
      </c>
      <c r="B676" t="s">
        <v>252</v>
      </c>
      <c r="C676">
        <v>558</v>
      </c>
      <c r="D676" t="s">
        <v>253</v>
      </c>
      <c r="E676" t="s">
        <v>254</v>
      </c>
      <c r="F676">
        <v>5</v>
      </c>
      <c r="G676" s="13">
        <v>46265.215555555558</v>
      </c>
      <c r="H676" s="13">
        <v>46265.226099537038</v>
      </c>
      <c r="I676">
        <v>911</v>
      </c>
      <c r="J676" t="s">
        <v>255</v>
      </c>
      <c r="K676">
        <v>3</v>
      </c>
      <c r="L676">
        <v>0.12</v>
      </c>
      <c r="M676">
        <v>0.04</v>
      </c>
      <c r="N676">
        <v>3</v>
      </c>
      <c r="O676">
        <v>0.12</v>
      </c>
      <c r="P676">
        <v>62.88</v>
      </c>
      <c r="Q676">
        <v>10.8</v>
      </c>
      <c r="R676">
        <v>2.2799999999999998</v>
      </c>
      <c r="S676" t="s">
        <v>263</v>
      </c>
      <c r="T676" t="s">
        <v>257</v>
      </c>
      <c r="U676">
        <v>14</v>
      </c>
      <c r="V676">
        <v>7106.9</v>
      </c>
      <c r="W676">
        <v>4999.16</v>
      </c>
      <c r="X676">
        <v>4937.12</v>
      </c>
      <c r="Y676">
        <v>0</v>
      </c>
      <c r="Z676">
        <v>0</v>
      </c>
      <c r="AA676">
        <v>35</v>
      </c>
      <c r="AB676">
        <v>50</v>
      </c>
      <c r="AC676">
        <v>5000</v>
      </c>
      <c r="AD676">
        <v>0</v>
      </c>
      <c r="AE676">
        <v>0</v>
      </c>
      <c r="AF676">
        <v>7109.02</v>
      </c>
      <c r="AG676">
        <v>7109.02</v>
      </c>
      <c r="AH676" s="14">
        <v>46265</v>
      </c>
      <c r="AI676" t="s">
        <v>269</v>
      </c>
      <c r="AJ676" s="13">
        <v>46265.054768518516</v>
      </c>
      <c r="AK676">
        <v>7052.98</v>
      </c>
      <c r="AL676" t="s">
        <v>259</v>
      </c>
      <c r="AM676" t="s">
        <v>260</v>
      </c>
      <c r="AN676">
        <v>1400</v>
      </c>
      <c r="AO676">
        <v>0</v>
      </c>
      <c r="AP676">
        <v>35</v>
      </c>
      <c r="AQ676">
        <v>85</v>
      </c>
      <c r="AR676">
        <v>35</v>
      </c>
      <c r="AS676">
        <v>2</v>
      </c>
      <c r="AT676">
        <v>23</v>
      </c>
      <c r="AU676">
        <v>1</v>
      </c>
      <c r="AV676">
        <v>0</v>
      </c>
      <c r="AW676">
        <v>10</v>
      </c>
      <c r="AX676">
        <v>1</v>
      </c>
      <c r="AY676">
        <v>7</v>
      </c>
      <c r="AZ676">
        <v>3</v>
      </c>
      <c r="BA676">
        <v>1</v>
      </c>
      <c r="BB676">
        <v>1440</v>
      </c>
      <c r="BC676">
        <v>0</v>
      </c>
      <c r="BD676">
        <v>0</v>
      </c>
      <c r="BE676">
        <v>14</v>
      </c>
      <c r="BF676">
        <v>25</v>
      </c>
      <c r="BG676">
        <v>3</v>
      </c>
      <c r="BH676">
        <v>8</v>
      </c>
      <c r="BI676">
        <v>3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0</v>
      </c>
      <c r="BQ676">
        <v>60</v>
      </c>
      <c r="BR676">
        <v>0</v>
      </c>
      <c r="BS676">
        <v>3</v>
      </c>
      <c r="BT676" t="s">
        <v>248</v>
      </c>
      <c r="BU676" t="s">
        <v>270</v>
      </c>
      <c r="BV676" t="b">
        <v>0</v>
      </c>
      <c r="BW676" t="s">
        <v>271</v>
      </c>
    </row>
    <row r="677" spans="1:75">
      <c r="A677" t="s">
        <v>248</v>
      </c>
      <c r="B677" t="s">
        <v>252</v>
      </c>
      <c r="C677">
        <v>559</v>
      </c>
      <c r="D677" t="s">
        <v>253</v>
      </c>
      <c r="E677" t="s">
        <v>254</v>
      </c>
      <c r="F677">
        <v>5</v>
      </c>
      <c r="G677" s="13">
        <v>46265.226435185185</v>
      </c>
      <c r="H677" s="13">
        <v>46265.229872685188</v>
      </c>
      <c r="I677">
        <v>297</v>
      </c>
      <c r="J677" t="s">
        <v>264</v>
      </c>
      <c r="K677">
        <v>1</v>
      </c>
      <c r="L677">
        <v>0.04</v>
      </c>
      <c r="M677">
        <v>0.04</v>
      </c>
      <c r="N677">
        <v>2</v>
      </c>
      <c r="O677">
        <v>0.08</v>
      </c>
      <c r="P677">
        <v>16.559999999999999</v>
      </c>
      <c r="Q677">
        <v>7.32</v>
      </c>
      <c r="R677">
        <v>-2.2799999999999998</v>
      </c>
      <c r="S677" t="s">
        <v>263</v>
      </c>
      <c r="T677" t="s">
        <v>256</v>
      </c>
      <c r="U677">
        <v>11</v>
      </c>
      <c r="V677">
        <v>7107.82</v>
      </c>
      <c r="W677">
        <v>4998.8</v>
      </c>
      <c r="X677">
        <v>4983.4399999999996</v>
      </c>
      <c r="Y677">
        <v>0</v>
      </c>
      <c r="Z677">
        <v>0</v>
      </c>
      <c r="AA677">
        <v>35</v>
      </c>
      <c r="AB677">
        <v>50</v>
      </c>
      <c r="AC677">
        <v>5000</v>
      </c>
      <c r="AD677">
        <v>0</v>
      </c>
      <c r="AE677">
        <v>0</v>
      </c>
      <c r="AF677">
        <v>7113.82</v>
      </c>
      <c r="AG677">
        <v>7113.82</v>
      </c>
      <c r="AH677" s="14">
        <v>46265</v>
      </c>
      <c r="AI677" t="s">
        <v>269</v>
      </c>
      <c r="AJ677" s="13">
        <v>46265.054768518516</v>
      </c>
      <c r="AK677">
        <v>7052.98</v>
      </c>
      <c r="AL677" t="s">
        <v>259</v>
      </c>
      <c r="AM677" t="s">
        <v>260</v>
      </c>
      <c r="AN677">
        <v>1400</v>
      </c>
      <c r="AO677">
        <v>0</v>
      </c>
      <c r="AP677">
        <v>35</v>
      </c>
      <c r="AQ677">
        <v>85</v>
      </c>
      <c r="AR677">
        <v>35</v>
      </c>
      <c r="AS677">
        <v>2</v>
      </c>
      <c r="AT677">
        <v>23</v>
      </c>
      <c r="AU677">
        <v>1</v>
      </c>
      <c r="AV677">
        <v>0</v>
      </c>
      <c r="AW677">
        <v>10</v>
      </c>
      <c r="AX677">
        <v>1</v>
      </c>
      <c r="AY677">
        <v>7</v>
      </c>
      <c r="AZ677">
        <v>3</v>
      </c>
      <c r="BA677">
        <v>1</v>
      </c>
      <c r="BB677">
        <v>1440</v>
      </c>
      <c r="BC677">
        <v>0</v>
      </c>
      <c r="BD677">
        <v>0</v>
      </c>
      <c r="BE677">
        <v>14</v>
      </c>
      <c r="BF677">
        <v>25</v>
      </c>
      <c r="BG677">
        <v>3</v>
      </c>
      <c r="BH677">
        <v>8</v>
      </c>
      <c r="BI677">
        <v>3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0</v>
      </c>
      <c r="BQ677">
        <v>60</v>
      </c>
      <c r="BR677">
        <v>0</v>
      </c>
      <c r="BS677">
        <v>3</v>
      </c>
      <c r="BT677" t="s">
        <v>248</v>
      </c>
      <c r="BU677" t="s">
        <v>270</v>
      </c>
      <c r="BV677" t="b">
        <v>0</v>
      </c>
      <c r="BW677" t="s">
        <v>271</v>
      </c>
    </row>
    <row r="678" spans="1:75">
      <c r="A678" t="s">
        <v>248</v>
      </c>
      <c r="B678" t="s">
        <v>252</v>
      </c>
      <c r="C678">
        <v>560</v>
      </c>
      <c r="D678" t="s">
        <v>253</v>
      </c>
      <c r="E678" t="s">
        <v>254</v>
      </c>
      <c r="F678">
        <v>5</v>
      </c>
      <c r="G678" s="13">
        <v>46265.233368055553</v>
      </c>
      <c r="H678" s="13">
        <v>46265.236319444448</v>
      </c>
      <c r="I678">
        <v>255</v>
      </c>
      <c r="J678" t="s">
        <v>264</v>
      </c>
      <c r="K678">
        <v>1</v>
      </c>
      <c r="L678">
        <v>0.04</v>
      </c>
      <c r="M678">
        <v>0.04</v>
      </c>
      <c r="N678">
        <v>1</v>
      </c>
      <c r="O678">
        <v>0.04</v>
      </c>
      <c r="P678">
        <v>22.48</v>
      </c>
      <c r="Q678">
        <v>3.88</v>
      </c>
      <c r="R678">
        <v>3.88</v>
      </c>
      <c r="S678" t="s">
        <v>256</v>
      </c>
      <c r="T678" t="s">
        <v>257</v>
      </c>
      <c r="U678">
        <v>10</v>
      </c>
      <c r="V678">
        <v>7113.14</v>
      </c>
      <c r="W678">
        <v>4999.32</v>
      </c>
      <c r="X678">
        <v>4977.5200000000004</v>
      </c>
      <c r="Y678">
        <v>0</v>
      </c>
      <c r="Z678">
        <v>0</v>
      </c>
      <c r="AA678">
        <v>35</v>
      </c>
      <c r="AB678">
        <v>50</v>
      </c>
      <c r="AC678">
        <v>5000</v>
      </c>
      <c r="AD678">
        <v>0</v>
      </c>
      <c r="AE678">
        <v>0</v>
      </c>
      <c r="AF678">
        <v>7116.3</v>
      </c>
      <c r="AG678">
        <v>7116.3</v>
      </c>
      <c r="AH678" s="14">
        <v>46265</v>
      </c>
      <c r="AI678" t="s">
        <v>269</v>
      </c>
      <c r="AJ678" s="13">
        <v>46265.054768518516</v>
      </c>
      <c r="AK678">
        <v>7052.98</v>
      </c>
      <c r="AL678" t="s">
        <v>259</v>
      </c>
      <c r="AM678" t="s">
        <v>260</v>
      </c>
      <c r="AN678">
        <v>1400</v>
      </c>
      <c r="AO678">
        <v>0</v>
      </c>
      <c r="AP678">
        <v>35</v>
      </c>
      <c r="AQ678">
        <v>85</v>
      </c>
      <c r="AR678">
        <v>35</v>
      </c>
      <c r="AS678">
        <v>2</v>
      </c>
      <c r="AT678">
        <v>23</v>
      </c>
      <c r="AU678">
        <v>1</v>
      </c>
      <c r="AV678">
        <v>0</v>
      </c>
      <c r="AW678">
        <v>10</v>
      </c>
      <c r="AX678">
        <v>1</v>
      </c>
      <c r="AY678">
        <v>7</v>
      </c>
      <c r="AZ678">
        <v>3</v>
      </c>
      <c r="BA678">
        <v>1</v>
      </c>
      <c r="BB678">
        <v>1440</v>
      </c>
      <c r="BC678">
        <v>0</v>
      </c>
      <c r="BD678">
        <v>0</v>
      </c>
      <c r="BE678">
        <v>14</v>
      </c>
      <c r="BF678">
        <v>25</v>
      </c>
      <c r="BG678">
        <v>3</v>
      </c>
      <c r="BH678">
        <v>8</v>
      </c>
      <c r="BI678">
        <v>3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0</v>
      </c>
      <c r="BQ678">
        <v>60</v>
      </c>
      <c r="BR678">
        <v>0</v>
      </c>
      <c r="BS678">
        <v>3</v>
      </c>
      <c r="BT678" t="s">
        <v>248</v>
      </c>
      <c r="BU678" t="s">
        <v>270</v>
      </c>
      <c r="BV678" t="b">
        <v>0</v>
      </c>
      <c r="BW678" t="s">
        <v>271</v>
      </c>
    </row>
    <row r="679" spans="1:75">
      <c r="A679" t="s">
        <v>248</v>
      </c>
      <c r="B679" t="s">
        <v>252</v>
      </c>
      <c r="C679">
        <v>561</v>
      </c>
      <c r="D679" t="s">
        <v>253</v>
      </c>
      <c r="E679" t="s">
        <v>254</v>
      </c>
      <c r="F679">
        <v>5</v>
      </c>
      <c r="G679" s="13">
        <v>46265.236643518518</v>
      </c>
      <c r="H679" s="13">
        <v>46265.237129629626</v>
      </c>
      <c r="I679">
        <v>42</v>
      </c>
      <c r="J679" t="s">
        <v>264</v>
      </c>
      <c r="K679">
        <v>1</v>
      </c>
      <c r="L679">
        <v>0.04</v>
      </c>
      <c r="M679">
        <v>0.04</v>
      </c>
      <c r="N679">
        <v>1</v>
      </c>
      <c r="O679">
        <v>0.04</v>
      </c>
      <c r="P679">
        <v>4.3600000000000003</v>
      </c>
      <c r="Q679">
        <v>6.12</v>
      </c>
      <c r="R679">
        <v>5.6</v>
      </c>
      <c r="S679" t="s">
        <v>256</v>
      </c>
      <c r="T679" t="s">
        <v>257</v>
      </c>
      <c r="U679">
        <v>11</v>
      </c>
      <c r="V679">
        <v>7115.66</v>
      </c>
      <c r="W679">
        <v>4999.3599999999997</v>
      </c>
      <c r="X679">
        <v>4995.6400000000003</v>
      </c>
      <c r="Y679">
        <v>0</v>
      </c>
      <c r="Z679">
        <v>0</v>
      </c>
      <c r="AA679">
        <v>35</v>
      </c>
      <c r="AB679">
        <v>50</v>
      </c>
      <c r="AC679">
        <v>5000</v>
      </c>
      <c r="AD679">
        <v>0</v>
      </c>
      <c r="AE679">
        <v>0</v>
      </c>
      <c r="AF679">
        <v>7121.02</v>
      </c>
      <c r="AG679">
        <v>7121.02</v>
      </c>
      <c r="AH679" s="14">
        <v>46265</v>
      </c>
      <c r="AI679" t="s">
        <v>269</v>
      </c>
      <c r="AJ679" s="13">
        <v>46265.054768518516</v>
      </c>
      <c r="AK679">
        <v>7052.98</v>
      </c>
      <c r="AL679" t="s">
        <v>259</v>
      </c>
      <c r="AM679" t="s">
        <v>260</v>
      </c>
      <c r="AN679">
        <v>1400</v>
      </c>
      <c r="AO679">
        <v>0</v>
      </c>
      <c r="AP679">
        <v>35</v>
      </c>
      <c r="AQ679">
        <v>85</v>
      </c>
      <c r="AR679">
        <v>35</v>
      </c>
      <c r="AS679">
        <v>2</v>
      </c>
      <c r="AT679">
        <v>23</v>
      </c>
      <c r="AU679">
        <v>1</v>
      </c>
      <c r="AV679">
        <v>0</v>
      </c>
      <c r="AW679">
        <v>10</v>
      </c>
      <c r="AX679">
        <v>1</v>
      </c>
      <c r="AY679">
        <v>7</v>
      </c>
      <c r="AZ679">
        <v>3</v>
      </c>
      <c r="BA679">
        <v>1</v>
      </c>
      <c r="BB679">
        <v>1440</v>
      </c>
      <c r="BC679">
        <v>0</v>
      </c>
      <c r="BD679">
        <v>0</v>
      </c>
      <c r="BE679">
        <v>14</v>
      </c>
      <c r="BF679">
        <v>25</v>
      </c>
      <c r="BG679">
        <v>3</v>
      </c>
      <c r="BH679">
        <v>8</v>
      </c>
      <c r="BI679">
        <v>3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0</v>
      </c>
      <c r="BQ679">
        <v>60</v>
      </c>
      <c r="BR679">
        <v>0</v>
      </c>
      <c r="BS679">
        <v>3</v>
      </c>
      <c r="BT679" t="s">
        <v>248</v>
      </c>
      <c r="BU679" t="s">
        <v>270</v>
      </c>
      <c r="BV679" t="b">
        <v>0</v>
      </c>
      <c r="BW679" t="s">
        <v>271</v>
      </c>
    </row>
    <row r="680" spans="1:75">
      <c r="A680" t="s">
        <v>248</v>
      </c>
      <c r="B680" t="s">
        <v>252</v>
      </c>
      <c r="C680">
        <v>562</v>
      </c>
      <c r="D680" t="s">
        <v>253</v>
      </c>
      <c r="E680" t="s">
        <v>254</v>
      </c>
      <c r="F680">
        <v>5</v>
      </c>
      <c r="G680" s="13">
        <v>46265.239953703705</v>
      </c>
      <c r="H680" s="13">
        <v>46265.243981481479</v>
      </c>
      <c r="I680">
        <v>348</v>
      </c>
      <c r="J680" t="s">
        <v>255</v>
      </c>
      <c r="K680">
        <v>2</v>
      </c>
      <c r="L680">
        <v>0.08</v>
      </c>
      <c r="M680">
        <v>0.04</v>
      </c>
      <c r="N680">
        <v>2</v>
      </c>
      <c r="O680">
        <v>0.08</v>
      </c>
      <c r="P680">
        <v>39.799999999999997</v>
      </c>
      <c r="Q680">
        <v>39.4</v>
      </c>
      <c r="R680">
        <v>35.799999999999997</v>
      </c>
      <c r="S680" t="s">
        <v>263</v>
      </c>
      <c r="T680" t="s">
        <v>257</v>
      </c>
      <c r="U680">
        <v>11</v>
      </c>
      <c r="V680">
        <v>7120.34</v>
      </c>
      <c r="W680">
        <v>4999.32</v>
      </c>
      <c r="X680">
        <v>4960.2</v>
      </c>
      <c r="Y680">
        <v>0</v>
      </c>
      <c r="Z680">
        <v>0</v>
      </c>
      <c r="AA680">
        <v>35</v>
      </c>
      <c r="AB680">
        <v>50</v>
      </c>
      <c r="AC680">
        <v>5000</v>
      </c>
      <c r="AD680">
        <v>0</v>
      </c>
      <c r="AE680">
        <v>0</v>
      </c>
      <c r="AF680">
        <v>7156.86</v>
      </c>
      <c r="AG680">
        <v>7156.86</v>
      </c>
      <c r="AH680" s="14">
        <v>46265</v>
      </c>
      <c r="AI680" t="s">
        <v>269</v>
      </c>
      <c r="AJ680" s="13">
        <v>46265.054768518516</v>
      </c>
      <c r="AK680">
        <v>7052.98</v>
      </c>
      <c r="AL680" t="s">
        <v>259</v>
      </c>
      <c r="AM680" t="s">
        <v>260</v>
      </c>
      <c r="AN680">
        <v>1400</v>
      </c>
      <c r="AO680">
        <v>0</v>
      </c>
      <c r="AP680">
        <v>35</v>
      </c>
      <c r="AQ680">
        <v>85</v>
      </c>
      <c r="AR680">
        <v>35</v>
      </c>
      <c r="AS680">
        <v>2</v>
      </c>
      <c r="AT680">
        <v>23</v>
      </c>
      <c r="AU680">
        <v>1</v>
      </c>
      <c r="AV680">
        <v>0</v>
      </c>
      <c r="AW680">
        <v>10</v>
      </c>
      <c r="AX680">
        <v>1</v>
      </c>
      <c r="AY680">
        <v>7</v>
      </c>
      <c r="AZ680">
        <v>3</v>
      </c>
      <c r="BA680">
        <v>1</v>
      </c>
      <c r="BB680">
        <v>1440</v>
      </c>
      <c r="BC680">
        <v>0</v>
      </c>
      <c r="BD680">
        <v>0</v>
      </c>
      <c r="BE680">
        <v>14</v>
      </c>
      <c r="BF680">
        <v>25</v>
      </c>
      <c r="BG680">
        <v>3</v>
      </c>
      <c r="BH680">
        <v>8</v>
      </c>
      <c r="BI680">
        <v>3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0</v>
      </c>
      <c r="BQ680">
        <v>60</v>
      </c>
      <c r="BR680">
        <v>0</v>
      </c>
      <c r="BS680">
        <v>3</v>
      </c>
      <c r="BT680" t="s">
        <v>248</v>
      </c>
      <c r="BU680" t="s">
        <v>270</v>
      </c>
      <c r="BV680" t="b">
        <v>0</v>
      </c>
      <c r="BW680" t="s">
        <v>271</v>
      </c>
    </row>
    <row r="681" spans="1:75">
      <c r="A681" t="s">
        <v>248</v>
      </c>
      <c r="B681" t="s">
        <v>252</v>
      </c>
      <c r="C681">
        <v>563</v>
      </c>
      <c r="D681" t="s">
        <v>253</v>
      </c>
      <c r="E681" t="s">
        <v>254</v>
      </c>
      <c r="F681">
        <v>5</v>
      </c>
      <c r="G681" s="13">
        <v>46265.248333333337</v>
      </c>
      <c r="H681" s="13">
        <v>46265.248657407406</v>
      </c>
      <c r="I681">
        <v>28</v>
      </c>
      <c r="J681" t="s">
        <v>255</v>
      </c>
      <c r="K681">
        <v>1</v>
      </c>
      <c r="L681">
        <v>0.04</v>
      </c>
      <c r="M681">
        <v>0.04</v>
      </c>
      <c r="N681">
        <v>1</v>
      </c>
      <c r="O681">
        <v>0.04</v>
      </c>
      <c r="P681">
        <v>0.8</v>
      </c>
      <c r="Q681">
        <v>4.12</v>
      </c>
      <c r="R681">
        <v>3.12</v>
      </c>
      <c r="S681" t="s">
        <v>256</v>
      </c>
      <c r="T681" t="s">
        <v>257</v>
      </c>
      <c r="U681">
        <v>11</v>
      </c>
      <c r="V681">
        <v>7156.22</v>
      </c>
      <c r="W681">
        <v>4999.3599999999997</v>
      </c>
      <c r="X681">
        <v>4999.2</v>
      </c>
      <c r="Y681">
        <v>0</v>
      </c>
      <c r="Z681">
        <v>0</v>
      </c>
      <c r="AA681">
        <v>35</v>
      </c>
      <c r="AB681">
        <v>50</v>
      </c>
      <c r="AC681">
        <v>5000</v>
      </c>
      <c r="AD681">
        <v>0</v>
      </c>
      <c r="AE681">
        <v>0</v>
      </c>
      <c r="AF681">
        <v>7159.58</v>
      </c>
      <c r="AG681">
        <v>7159.58</v>
      </c>
      <c r="AH681" s="14">
        <v>46265</v>
      </c>
      <c r="AI681" t="s">
        <v>269</v>
      </c>
      <c r="AJ681" s="13">
        <v>46265.054768518516</v>
      </c>
      <c r="AK681">
        <v>7052.98</v>
      </c>
      <c r="AL681" t="s">
        <v>259</v>
      </c>
      <c r="AM681" t="s">
        <v>260</v>
      </c>
      <c r="AN681">
        <v>1400</v>
      </c>
      <c r="AO681">
        <v>0</v>
      </c>
      <c r="AP681">
        <v>35</v>
      </c>
      <c r="AQ681">
        <v>85</v>
      </c>
      <c r="AR681">
        <v>35</v>
      </c>
      <c r="AS681">
        <v>2</v>
      </c>
      <c r="AT681">
        <v>23</v>
      </c>
      <c r="AU681">
        <v>1</v>
      </c>
      <c r="AV681">
        <v>0</v>
      </c>
      <c r="AW681">
        <v>10</v>
      </c>
      <c r="AX681">
        <v>1</v>
      </c>
      <c r="AY681">
        <v>7</v>
      </c>
      <c r="AZ681">
        <v>3</v>
      </c>
      <c r="BA681">
        <v>1</v>
      </c>
      <c r="BB681">
        <v>1440</v>
      </c>
      <c r="BC681">
        <v>0</v>
      </c>
      <c r="BD681">
        <v>0</v>
      </c>
      <c r="BE681">
        <v>14</v>
      </c>
      <c r="BF681">
        <v>25</v>
      </c>
      <c r="BG681">
        <v>3</v>
      </c>
      <c r="BH681">
        <v>8</v>
      </c>
      <c r="BI681">
        <v>3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0</v>
      </c>
      <c r="BQ681">
        <v>60</v>
      </c>
      <c r="BR681">
        <v>0</v>
      </c>
      <c r="BS681">
        <v>3</v>
      </c>
      <c r="BT681" t="s">
        <v>248</v>
      </c>
      <c r="BU681" t="s">
        <v>270</v>
      </c>
      <c r="BV681" t="b">
        <v>0</v>
      </c>
      <c r="BW681" t="s">
        <v>271</v>
      </c>
    </row>
    <row r="682" spans="1:75">
      <c r="A682" t="s">
        <v>248</v>
      </c>
      <c r="B682" t="s">
        <v>252</v>
      </c>
      <c r="C682">
        <v>564</v>
      </c>
      <c r="D682" t="s">
        <v>253</v>
      </c>
      <c r="E682" t="s">
        <v>254</v>
      </c>
      <c r="F682">
        <v>5</v>
      </c>
      <c r="G682" s="13">
        <v>46265.251539351855</v>
      </c>
      <c r="H682" s="13">
        <v>46265.252280092594</v>
      </c>
      <c r="I682">
        <v>64</v>
      </c>
      <c r="J682" t="s">
        <v>255</v>
      </c>
      <c r="K682">
        <v>1</v>
      </c>
      <c r="L682">
        <v>0.04</v>
      </c>
      <c r="M682">
        <v>0.04</v>
      </c>
      <c r="N682">
        <v>1</v>
      </c>
      <c r="O682">
        <v>0.04</v>
      </c>
      <c r="P682">
        <v>7.08</v>
      </c>
      <c r="Q682">
        <v>4.4000000000000004</v>
      </c>
      <c r="R682">
        <v>4.4000000000000004</v>
      </c>
      <c r="S682" t="s">
        <v>256</v>
      </c>
      <c r="T682" t="s">
        <v>257</v>
      </c>
      <c r="U682">
        <v>11</v>
      </c>
      <c r="V682">
        <v>7158.94</v>
      </c>
      <c r="W682">
        <v>4999.3599999999997</v>
      </c>
      <c r="X682">
        <v>4992.92</v>
      </c>
      <c r="Y682">
        <v>0</v>
      </c>
      <c r="Z682">
        <v>0</v>
      </c>
      <c r="AA682">
        <v>35</v>
      </c>
      <c r="AB682">
        <v>50</v>
      </c>
      <c r="AC682">
        <v>5000</v>
      </c>
      <c r="AD682">
        <v>0</v>
      </c>
      <c r="AE682">
        <v>0</v>
      </c>
      <c r="AF682">
        <v>7162.58</v>
      </c>
      <c r="AG682">
        <v>7162.58</v>
      </c>
      <c r="AH682" s="14">
        <v>46265</v>
      </c>
      <c r="AI682" t="s">
        <v>269</v>
      </c>
      <c r="AJ682" s="13">
        <v>46265.054768518516</v>
      </c>
      <c r="AK682">
        <v>7052.98</v>
      </c>
      <c r="AL682" t="s">
        <v>259</v>
      </c>
      <c r="AM682" t="s">
        <v>260</v>
      </c>
      <c r="AN682">
        <v>1400</v>
      </c>
      <c r="AO682">
        <v>0</v>
      </c>
      <c r="AP682">
        <v>35</v>
      </c>
      <c r="AQ682">
        <v>85</v>
      </c>
      <c r="AR682">
        <v>35</v>
      </c>
      <c r="AS682">
        <v>2</v>
      </c>
      <c r="AT682">
        <v>23</v>
      </c>
      <c r="AU682">
        <v>1</v>
      </c>
      <c r="AV682">
        <v>0</v>
      </c>
      <c r="AW682">
        <v>10</v>
      </c>
      <c r="AX682">
        <v>1</v>
      </c>
      <c r="AY682">
        <v>7</v>
      </c>
      <c r="AZ682">
        <v>3</v>
      </c>
      <c r="BA682">
        <v>1</v>
      </c>
      <c r="BB682">
        <v>1440</v>
      </c>
      <c r="BC682">
        <v>0</v>
      </c>
      <c r="BD682">
        <v>0</v>
      </c>
      <c r="BE682">
        <v>14</v>
      </c>
      <c r="BF682">
        <v>25</v>
      </c>
      <c r="BG682">
        <v>3</v>
      </c>
      <c r="BH682">
        <v>8</v>
      </c>
      <c r="BI682">
        <v>3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0</v>
      </c>
      <c r="BQ682">
        <v>60</v>
      </c>
      <c r="BR682">
        <v>0</v>
      </c>
      <c r="BS682">
        <v>3</v>
      </c>
      <c r="BT682" t="s">
        <v>248</v>
      </c>
      <c r="BU682" t="s">
        <v>270</v>
      </c>
      <c r="BV682" t="b">
        <v>0</v>
      </c>
      <c r="BW682" t="s">
        <v>271</v>
      </c>
    </row>
    <row r="683" spans="1:75">
      <c r="A683" t="s">
        <v>248</v>
      </c>
      <c r="B683" t="s">
        <v>252</v>
      </c>
      <c r="C683">
        <v>565</v>
      </c>
      <c r="D683" t="s">
        <v>253</v>
      </c>
      <c r="E683" t="s">
        <v>254</v>
      </c>
      <c r="F683">
        <v>5</v>
      </c>
      <c r="G683" s="13">
        <v>46265.254641203705</v>
      </c>
      <c r="H683" s="13">
        <v>46265.256874999999</v>
      </c>
      <c r="I683">
        <v>193</v>
      </c>
      <c r="J683" t="s">
        <v>255</v>
      </c>
      <c r="K683">
        <v>1</v>
      </c>
      <c r="L683">
        <v>0.04</v>
      </c>
      <c r="M683">
        <v>0.04</v>
      </c>
      <c r="N683">
        <v>1</v>
      </c>
      <c r="O683">
        <v>0.04</v>
      </c>
      <c r="P683">
        <v>10.08</v>
      </c>
      <c r="Q683">
        <v>3.48</v>
      </c>
      <c r="R683">
        <v>3</v>
      </c>
      <c r="S683" t="s">
        <v>256</v>
      </c>
      <c r="T683" t="s">
        <v>257</v>
      </c>
      <c r="U683">
        <v>10</v>
      </c>
      <c r="V683">
        <v>7161.9</v>
      </c>
      <c r="W683">
        <v>4999.32</v>
      </c>
      <c r="X683">
        <v>4989.92</v>
      </c>
      <c r="Y683">
        <v>0</v>
      </c>
      <c r="Z683">
        <v>0</v>
      </c>
      <c r="AA683">
        <v>35</v>
      </c>
      <c r="AB683">
        <v>50</v>
      </c>
      <c r="AC683">
        <v>5000</v>
      </c>
      <c r="AD683">
        <v>0</v>
      </c>
      <c r="AE683">
        <v>0</v>
      </c>
      <c r="AF683">
        <v>7164.66</v>
      </c>
      <c r="AG683">
        <v>7164.66</v>
      </c>
      <c r="AH683" s="14">
        <v>46265</v>
      </c>
      <c r="AI683" t="s">
        <v>269</v>
      </c>
      <c r="AJ683" s="13">
        <v>46265.054768518516</v>
      </c>
      <c r="AK683">
        <v>7052.98</v>
      </c>
      <c r="AL683" t="s">
        <v>259</v>
      </c>
      <c r="AM683" t="s">
        <v>260</v>
      </c>
      <c r="AN683">
        <v>1400</v>
      </c>
      <c r="AO683">
        <v>0</v>
      </c>
      <c r="AP683">
        <v>35</v>
      </c>
      <c r="AQ683">
        <v>85</v>
      </c>
      <c r="AR683">
        <v>35</v>
      </c>
      <c r="AS683">
        <v>2</v>
      </c>
      <c r="AT683">
        <v>23</v>
      </c>
      <c r="AU683">
        <v>1</v>
      </c>
      <c r="AV683">
        <v>0</v>
      </c>
      <c r="AW683">
        <v>10</v>
      </c>
      <c r="AX683">
        <v>1</v>
      </c>
      <c r="AY683">
        <v>7</v>
      </c>
      <c r="AZ683">
        <v>3</v>
      </c>
      <c r="BA683">
        <v>1</v>
      </c>
      <c r="BB683">
        <v>1440</v>
      </c>
      <c r="BC683">
        <v>0</v>
      </c>
      <c r="BD683">
        <v>0</v>
      </c>
      <c r="BE683">
        <v>14</v>
      </c>
      <c r="BF683">
        <v>25</v>
      </c>
      <c r="BG683">
        <v>3</v>
      </c>
      <c r="BH683">
        <v>8</v>
      </c>
      <c r="BI683">
        <v>3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0</v>
      </c>
      <c r="BQ683">
        <v>60</v>
      </c>
      <c r="BR683">
        <v>0</v>
      </c>
      <c r="BS683">
        <v>3</v>
      </c>
      <c r="BT683" t="s">
        <v>248</v>
      </c>
      <c r="BU683" t="s">
        <v>270</v>
      </c>
      <c r="BV683" t="b">
        <v>0</v>
      </c>
      <c r="BW683" t="s">
        <v>271</v>
      </c>
    </row>
    <row r="684" spans="1:75">
      <c r="A684" t="s">
        <v>248</v>
      </c>
      <c r="B684" t="s">
        <v>252</v>
      </c>
      <c r="C684">
        <v>566</v>
      </c>
      <c r="D684" t="s">
        <v>253</v>
      </c>
      <c r="E684" t="s">
        <v>254</v>
      </c>
      <c r="F684">
        <v>5</v>
      </c>
      <c r="G684" s="13">
        <v>46265.25984953704</v>
      </c>
      <c r="H684" s="13">
        <v>46265.260659722226</v>
      </c>
      <c r="I684">
        <v>70</v>
      </c>
      <c r="J684" t="s">
        <v>255</v>
      </c>
      <c r="K684">
        <v>1</v>
      </c>
      <c r="L684">
        <v>0.04</v>
      </c>
      <c r="M684">
        <v>0.04</v>
      </c>
      <c r="N684">
        <v>1</v>
      </c>
      <c r="O684">
        <v>0.04</v>
      </c>
      <c r="P684">
        <v>3.44</v>
      </c>
      <c r="Q684">
        <v>6.2</v>
      </c>
      <c r="R684">
        <v>5.6</v>
      </c>
      <c r="S684" t="s">
        <v>256</v>
      </c>
      <c r="T684" t="s">
        <v>257</v>
      </c>
      <c r="U684">
        <v>10</v>
      </c>
      <c r="V684">
        <v>7164.02</v>
      </c>
      <c r="W684">
        <v>4999.3599999999997</v>
      </c>
      <c r="X684">
        <v>4996.5600000000004</v>
      </c>
      <c r="Y684">
        <v>0</v>
      </c>
      <c r="Z684">
        <v>0</v>
      </c>
      <c r="AA684">
        <v>35</v>
      </c>
      <c r="AB684">
        <v>50</v>
      </c>
      <c r="AC684">
        <v>5000</v>
      </c>
      <c r="AD684">
        <v>0</v>
      </c>
      <c r="AE684">
        <v>0</v>
      </c>
      <c r="AF684">
        <v>7169.46</v>
      </c>
      <c r="AG684">
        <v>7169.46</v>
      </c>
      <c r="AH684" s="14">
        <v>46265</v>
      </c>
      <c r="AI684" t="s">
        <v>269</v>
      </c>
      <c r="AJ684" s="13">
        <v>46265.054768518516</v>
      </c>
      <c r="AK684">
        <v>7052.98</v>
      </c>
      <c r="AL684" t="s">
        <v>259</v>
      </c>
      <c r="AM684" t="s">
        <v>260</v>
      </c>
      <c r="AN684">
        <v>1400</v>
      </c>
      <c r="AO684">
        <v>0</v>
      </c>
      <c r="AP684">
        <v>35</v>
      </c>
      <c r="AQ684">
        <v>85</v>
      </c>
      <c r="AR684">
        <v>35</v>
      </c>
      <c r="AS684">
        <v>2</v>
      </c>
      <c r="AT684">
        <v>23</v>
      </c>
      <c r="AU684">
        <v>1</v>
      </c>
      <c r="AV684">
        <v>0</v>
      </c>
      <c r="AW684">
        <v>10</v>
      </c>
      <c r="AX684">
        <v>1</v>
      </c>
      <c r="AY684">
        <v>7</v>
      </c>
      <c r="AZ684">
        <v>3</v>
      </c>
      <c r="BA684">
        <v>1</v>
      </c>
      <c r="BB684">
        <v>1440</v>
      </c>
      <c r="BC684">
        <v>0</v>
      </c>
      <c r="BD684">
        <v>0</v>
      </c>
      <c r="BE684">
        <v>14</v>
      </c>
      <c r="BF684">
        <v>25</v>
      </c>
      <c r="BG684">
        <v>3</v>
      </c>
      <c r="BH684">
        <v>8</v>
      </c>
      <c r="BI684">
        <v>3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0</v>
      </c>
      <c r="BQ684">
        <v>60</v>
      </c>
      <c r="BR684">
        <v>0</v>
      </c>
      <c r="BS684">
        <v>3</v>
      </c>
      <c r="BT684" t="s">
        <v>248</v>
      </c>
      <c r="BU684" t="s">
        <v>270</v>
      </c>
      <c r="BV684" t="b">
        <v>0</v>
      </c>
      <c r="BW684" t="s">
        <v>271</v>
      </c>
    </row>
    <row r="685" spans="1:75">
      <c r="A685" t="s">
        <v>248</v>
      </c>
      <c r="B685" t="s">
        <v>252</v>
      </c>
      <c r="C685">
        <v>567</v>
      </c>
      <c r="D685" t="s">
        <v>253</v>
      </c>
      <c r="E685" t="s">
        <v>254</v>
      </c>
      <c r="F685">
        <v>5</v>
      </c>
      <c r="G685" s="13">
        <v>46265.262499999997</v>
      </c>
      <c r="H685" s="13">
        <v>46265.262870370374</v>
      </c>
      <c r="I685">
        <v>32</v>
      </c>
      <c r="J685" t="s">
        <v>255</v>
      </c>
      <c r="K685">
        <v>1</v>
      </c>
      <c r="L685">
        <v>0.04</v>
      </c>
      <c r="M685">
        <v>0.04</v>
      </c>
      <c r="N685">
        <v>1</v>
      </c>
      <c r="O685">
        <v>0.04</v>
      </c>
      <c r="P685">
        <v>1.1599999999999999</v>
      </c>
      <c r="Q685">
        <v>4.2</v>
      </c>
      <c r="R685">
        <v>3.4</v>
      </c>
      <c r="S685" t="s">
        <v>256</v>
      </c>
      <c r="T685" t="s">
        <v>257</v>
      </c>
      <c r="U685">
        <v>11</v>
      </c>
      <c r="V685">
        <v>7168.78</v>
      </c>
      <c r="W685">
        <v>4999.32</v>
      </c>
      <c r="X685">
        <v>4998.84</v>
      </c>
      <c r="Y685">
        <v>0</v>
      </c>
      <c r="Z685">
        <v>0</v>
      </c>
      <c r="AA685">
        <v>35</v>
      </c>
      <c r="AB685">
        <v>50</v>
      </c>
      <c r="AC685">
        <v>5000</v>
      </c>
      <c r="AD685">
        <v>0</v>
      </c>
      <c r="AE685">
        <v>0</v>
      </c>
      <c r="AF685">
        <v>7172.34</v>
      </c>
      <c r="AG685">
        <v>7172.34</v>
      </c>
      <c r="AH685" s="14">
        <v>46265</v>
      </c>
      <c r="AI685" t="s">
        <v>269</v>
      </c>
      <c r="AJ685" s="13">
        <v>46265.054768518516</v>
      </c>
      <c r="AK685">
        <v>7052.98</v>
      </c>
      <c r="AL685" t="s">
        <v>259</v>
      </c>
      <c r="AM685" t="s">
        <v>260</v>
      </c>
      <c r="AN685">
        <v>1400</v>
      </c>
      <c r="AO685">
        <v>0</v>
      </c>
      <c r="AP685">
        <v>35</v>
      </c>
      <c r="AQ685">
        <v>85</v>
      </c>
      <c r="AR685">
        <v>35</v>
      </c>
      <c r="AS685">
        <v>2</v>
      </c>
      <c r="AT685">
        <v>23</v>
      </c>
      <c r="AU685">
        <v>1</v>
      </c>
      <c r="AV685">
        <v>0</v>
      </c>
      <c r="AW685">
        <v>10</v>
      </c>
      <c r="AX685">
        <v>1</v>
      </c>
      <c r="AY685">
        <v>7</v>
      </c>
      <c r="AZ685">
        <v>3</v>
      </c>
      <c r="BA685">
        <v>1</v>
      </c>
      <c r="BB685">
        <v>1440</v>
      </c>
      <c r="BC685">
        <v>0</v>
      </c>
      <c r="BD685">
        <v>0</v>
      </c>
      <c r="BE685">
        <v>14</v>
      </c>
      <c r="BF685">
        <v>25</v>
      </c>
      <c r="BG685">
        <v>3</v>
      </c>
      <c r="BH685">
        <v>8</v>
      </c>
      <c r="BI685">
        <v>3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0</v>
      </c>
      <c r="BQ685">
        <v>60</v>
      </c>
      <c r="BR685">
        <v>0</v>
      </c>
      <c r="BS685">
        <v>3</v>
      </c>
      <c r="BT685" t="s">
        <v>248</v>
      </c>
      <c r="BU685" t="s">
        <v>270</v>
      </c>
      <c r="BV685" t="b">
        <v>0</v>
      </c>
      <c r="BW685" t="s">
        <v>271</v>
      </c>
    </row>
    <row r="686" spans="1:75">
      <c r="A686" t="s">
        <v>248</v>
      </c>
      <c r="B686" t="s">
        <v>252</v>
      </c>
      <c r="C686">
        <v>568</v>
      </c>
      <c r="D686" t="s">
        <v>253</v>
      </c>
      <c r="E686" t="s">
        <v>254</v>
      </c>
      <c r="F686">
        <v>5</v>
      </c>
      <c r="G686" s="13">
        <v>46265.265787037039</v>
      </c>
      <c r="H686" s="13">
        <v>46265.2658912037</v>
      </c>
      <c r="I686">
        <v>9</v>
      </c>
      <c r="J686" t="s">
        <v>255</v>
      </c>
      <c r="K686">
        <v>1</v>
      </c>
      <c r="L686">
        <v>0.04</v>
      </c>
      <c r="M686">
        <v>0.04</v>
      </c>
      <c r="N686">
        <v>1</v>
      </c>
      <c r="O686">
        <v>0.04</v>
      </c>
      <c r="P686">
        <v>0.68</v>
      </c>
      <c r="Q686">
        <v>5.44</v>
      </c>
      <c r="R686">
        <v>5</v>
      </c>
      <c r="S686" t="s">
        <v>256</v>
      </c>
      <c r="T686" t="s">
        <v>257</v>
      </c>
      <c r="U686">
        <v>11</v>
      </c>
      <c r="V686">
        <v>7171.66</v>
      </c>
      <c r="W686">
        <v>4999.32</v>
      </c>
      <c r="X686">
        <v>4999.32</v>
      </c>
      <c r="Y686">
        <v>0</v>
      </c>
      <c r="Z686">
        <v>0</v>
      </c>
      <c r="AA686">
        <v>35</v>
      </c>
      <c r="AB686">
        <v>50</v>
      </c>
      <c r="AC686">
        <v>5000</v>
      </c>
      <c r="AD686">
        <v>0</v>
      </c>
      <c r="AE686">
        <v>0</v>
      </c>
      <c r="AF686">
        <v>7176.34</v>
      </c>
      <c r="AG686">
        <v>7176.34</v>
      </c>
      <c r="AH686" s="14">
        <v>46265</v>
      </c>
      <c r="AI686" t="s">
        <v>269</v>
      </c>
      <c r="AJ686" s="13">
        <v>46265.054768518516</v>
      </c>
      <c r="AK686">
        <v>7052.98</v>
      </c>
      <c r="AL686" t="s">
        <v>259</v>
      </c>
      <c r="AM686" t="s">
        <v>260</v>
      </c>
      <c r="AN686">
        <v>1400</v>
      </c>
      <c r="AO686">
        <v>0</v>
      </c>
      <c r="AP686">
        <v>35</v>
      </c>
      <c r="AQ686">
        <v>85</v>
      </c>
      <c r="AR686">
        <v>35</v>
      </c>
      <c r="AS686">
        <v>2</v>
      </c>
      <c r="AT686">
        <v>23</v>
      </c>
      <c r="AU686">
        <v>1</v>
      </c>
      <c r="AV686">
        <v>0</v>
      </c>
      <c r="AW686">
        <v>10</v>
      </c>
      <c r="AX686">
        <v>1</v>
      </c>
      <c r="AY686">
        <v>7</v>
      </c>
      <c r="AZ686">
        <v>3</v>
      </c>
      <c r="BA686">
        <v>1</v>
      </c>
      <c r="BB686">
        <v>1440</v>
      </c>
      <c r="BC686">
        <v>0</v>
      </c>
      <c r="BD686">
        <v>0</v>
      </c>
      <c r="BE686">
        <v>14</v>
      </c>
      <c r="BF686">
        <v>25</v>
      </c>
      <c r="BG686">
        <v>3</v>
      </c>
      <c r="BH686">
        <v>8</v>
      </c>
      <c r="BI686">
        <v>3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0</v>
      </c>
      <c r="BQ686">
        <v>60</v>
      </c>
      <c r="BR686">
        <v>0</v>
      </c>
      <c r="BS686">
        <v>3</v>
      </c>
      <c r="BT686" t="s">
        <v>248</v>
      </c>
      <c r="BU686" t="s">
        <v>270</v>
      </c>
      <c r="BV686" t="b">
        <v>0</v>
      </c>
      <c r="BW686" t="s">
        <v>271</v>
      </c>
    </row>
    <row r="687" spans="1:75">
      <c r="A687" t="s">
        <v>248</v>
      </c>
      <c r="B687" t="s">
        <v>252</v>
      </c>
      <c r="C687">
        <v>569</v>
      </c>
      <c r="D687" t="s">
        <v>253</v>
      </c>
      <c r="E687" t="s">
        <v>254</v>
      </c>
      <c r="F687">
        <v>5</v>
      </c>
      <c r="G687" s="13">
        <v>46265.268796296295</v>
      </c>
      <c r="H687" s="13">
        <v>46265.269421296296</v>
      </c>
      <c r="I687">
        <v>54</v>
      </c>
      <c r="J687" t="s">
        <v>264</v>
      </c>
      <c r="K687">
        <v>1</v>
      </c>
      <c r="L687">
        <v>0.04</v>
      </c>
      <c r="M687">
        <v>0.04</v>
      </c>
      <c r="N687">
        <v>1</v>
      </c>
      <c r="O687">
        <v>0.04</v>
      </c>
      <c r="P687">
        <v>3.12</v>
      </c>
      <c r="Q687">
        <v>6.92</v>
      </c>
      <c r="R687">
        <v>6.4</v>
      </c>
      <c r="S687" t="s">
        <v>256</v>
      </c>
      <c r="T687" t="s">
        <v>257</v>
      </c>
      <c r="U687">
        <v>11</v>
      </c>
      <c r="V687">
        <v>7175.66</v>
      </c>
      <c r="W687">
        <v>4999.32</v>
      </c>
      <c r="X687">
        <v>4996.88</v>
      </c>
      <c r="Y687">
        <v>0</v>
      </c>
      <c r="Z687">
        <v>0</v>
      </c>
      <c r="AA687">
        <v>35</v>
      </c>
      <c r="AB687">
        <v>50</v>
      </c>
      <c r="AC687">
        <v>5000</v>
      </c>
      <c r="AD687">
        <v>0</v>
      </c>
      <c r="AE687">
        <v>0</v>
      </c>
      <c r="AF687">
        <v>7181.86</v>
      </c>
      <c r="AG687">
        <v>7181.86</v>
      </c>
      <c r="AH687" s="14">
        <v>46265</v>
      </c>
      <c r="AI687" t="s">
        <v>269</v>
      </c>
      <c r="AJ687" s="13">
        <v>46265.054768518516</v>
      </c>
      <c r="AK687">
        <v>7052.98</v>
      </c>
      <c r="AL687" t="s">
        <v>259</v>
      </c>
      <c r="AM687" t="s">
        <v>260</v>
      </c>
      <c r="AN687">
        <v>1400</v>
      </c>
      <c r="AO687">
        <v>0</v>
      </c>
      <c r="AP687">
        <v>35</v>
      </c>
      <c r="AQ687">
        <v>85</v>
      </c>
      <c r="AR687">
        <v>35</v>
      </c>
      <c r="AS687">
        <v>2</v>
      </c>
      <c r="AT687">
        <v>23</v>
      </c>
      <c r="AU687">
        <v>1</v>
      </c>
      <c r="AV687">
        <v>0</v>
      </c>
      <c r="AW687">
        <v>10</v>
      </c>
      <c r="AX687">
        <v>1</v>
      </c>
      <c r="AY687">
        <v>7</v>
      </c>
      <c r="AZ687">
        <v>3</v>
      </c>
      <c r="BA687">
        <v>1</v>
      </c>
      <c r="BB687">
        <v>1440</v>
      </c>
      <c r="BC687">
        <v>0</v>
      </c>
      <c r="BD687">
        <v>0</v>
      </c>
      <c r="BE687">
        <v>14</v>
      </c>
      <c r="BF687">
        <v>25</v>
      </c>
      <c r="BG687">
        <v>3</v>
      </c>
      <c r="BH687">
        <v>8</v>
      </c>
      <c r="BI687">
        <v>3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0</v>
      </c>
      <c r="BQ687">
        <v>60</v>
      </c>
      <c r="BR687">
        <v>0</v>
      </c>
      <c r="BS687">
        <v>3</v>
      </c>
      <c r="BT687" t="s">
        <v>248</v>
      </c>
      <c r="BU687" t="s">
        <v>270</v>
      </c>
      <c r="BV687" t="b">
        <v>0</v>
      </c>
      <c r="BW687" t="s">
        <v>271</v>
      </c>
    </row>
    <row r="688" spans="1:75">
      <c r="A688" t="s">
        <v>248</v>
      </c>
      <c r="B688" t="s">
        <v>252</v>
      </c>
      <c r="C688">
        <v>570</v>
      </c>
      <c r="D688" t="s">
        <v>253</v>
      </c>
      <c r="E688" t="s">
        <v>254</v>
      </c>
      <c r="F688">
        <v>5</v>
      </c>
      <c r="G688" s="13">
        <v>46265.272835648146</v>
      </c>
      <c r="H688" s="13">
        <v>46265.275277777779</v>
      </c>
      <c r="I688">
        <v>211</v>
      </c>
      <c r="J688" t="s">
        <v>264</v>
      </c>
      <c r="K688">
        <v>1</v>
      </c>
      <c r="L688">
        <v>0.04</v>
      </c>
      <c r="M688">
        <v>0.04</v>
      </c>
      <c r="N688">
        <v>1</v>
      </c>
      <c r="O688">
        <v>0.04</v>
      </c>
      <c r="P688">
        <v>4.32</v>
      </c>
      <c r="Q688">
        <v>7.4</v>
      </c>
      <c r="R688">
        <v>6.96</v>
      </c>
      <c r="S688" t="s">
        <v>256</v>
      </c>
      <c r="T688" t="s">
        <v>257</v>
      </c>
      <c r="U688">
        <v>11</v>
      </c>
      <c r="V688">
        <v>7181.18</v>
      </c>
      <c r="W688">
        <v>4999.32</v>
      </c>
      <c r="X688">
        <v>4995.68</v>
      </c>
      <c r="Y688">
        <v>0</v>
      </c>
      <c r="Z688">
        <v>0</v>
      </c>
      <c r="AA688">
        <v>35</v>
      </c>
      <c r="AB688">
        <v>50</v>
      </c>
      <c r="AC688">
        <v>5000</v>
      </c>
      <c r="AD688">
        <v>0</v>
      </c>
      <c r="AE688">
        <v>0</v>
      </c>
      <c r="AF688">
        <v>7187.86</v>
      </c>
      <c r="AG688">
        <v>7187.86</v>
      </c>
      <c r="AH688" s="14">
        <v>46265</v>
      </c>
      <c r="AI688" t="s">
        <v>269</v>
      </c>
      <c r="AJ688" s="13">
        <v>46265.054768518516</v>
      </c>
      <c r="AK688">
        <v>7052.98</v>
      </c>
      <c r="AL688" t="s">
        <v>259</v>
      </c>
      <c r="AM688" t="s">
        <v>260</v>
      </c>
      <c r="AN688">
        <v>1400</v>
      </c>
      <c r="AO688">
        <v>0</v>
      </c>
      <c r="AP688">
        <v>35</v>
      </c>
      <c r="AQ688">
        <v>85</v>
      </c>
      <c r="AR688">
        <v>35</v>
      </c>
      <c r="AS688">
        <v>2</v>
      </c>
      <c r="AT688">
        <v>23</v>
      </c>
      <c r="AU688">
        <v>1</v>
      </c>
      <c r="AV688">
        <v>0</v>
      </c>
      <c r="AW688">
        <v>10</v>
      </c>
      <c r="AX688">
        <v>1</v>
      </c>
      <c r="AY688">
        <v>7</v>
      </c>
      <c r="AZ688">
        <v>3</v>
      </c>
      <c r="BA688">
        <v>1</v>
      </c>
      <c r="BB688">
        <v>1440</v>
      </c>
      <c r="BC688">
        <v>0</v>
      </c>
      <c r="BD688">
        <v>0</v>
      </c>
      <c r="BE688">
        <v>14</v>
      </c>
      <c r="BF688">
        <v>25</v>
      </c>
      <c r="BG688">
        <v>3</v>
      </c>
      <c r="BH688">
        <v>8</v>
      </c>
      <c r="BI688">
        <v>3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0</v>
      </c>
      <c r="BQ688">
        <v>60</v>
      </c>
      <c r="BR688">
        <v>0</v>
      </c>
      <c r="BS688">
        <v>3</v>
      </c>
      <c r="BT688" t="s">
        <v>248</v>
      </c>
      <c r="BU688" t="s">
        <v>270</v>
      </c>
      <c r="BV688" t="b">
        <v>0</v>
      </c>
      <c r="BW688" t="s">
        <v>271</v>
      </c>
    </row>
    <row r="689" spans="1:75">
      <c r="A689" t="s">
        <v>248</v>
      </c>
      <c r="B689" t="s">
        <v>252</v>
      </c>
      <c r="C689">
        <v>571</v>
      </c>
      <c r="D689" t="s">
        <v>253</v>
      </c>
      <c r="E689" t="s">
        <v>254</v>
      </c>
      <c r="F689">
        <v>5</v>
      </c>
      <c r="G689" s="13">
        <v>46265.276666666665</v>
      </c>
      <c r="H689" s="13">
        <v>46265.277233796296</v>
      </c>
      <c r="I689">
        <v>49</v>
      </c>
      <c r="J689" t="s">
        <v>264</v>
      </c>
      <c r="K689">
        <v>1</v>
      </c>
      <c r="L689">
        <v>0.04</v>
      </c>
      <c r="M689">
        <v>0.04</v>
      </c>
      <c r="N689">
        <v>1</v>
      </c>
      <c r="O689">
        <v>0.04</v>
      </c>
      <c r="P689">
        <v>3.08</v>
      </c>
      <c r="Q689">
        <v>4.92</v>
      </c>
      <c r="R689">
        <v>3.76</v>
      </c>
      <c r="S689" t="s">
        <v>256</v>
      </c>
      <c r="T689" t="s">
        <v>257</v>
      </c>
      <c r="U689">
        <v>10</v>
      </c>
      <c r="V689">
        <v>7187.22</v>
      </c>
      <c r="W689">
        <v>4999.3599999999997</v>
      </c>
      <c r="X689">
        <v>4996.92</v>
      </c>
      <c r="Y689">
        <v>0</v>
      </c>
      <c r="Z689">
        <v>0</v>
      </c>
      <c r="AA689">
        <v>35</v>
      </c>
      <c r="AB689">
        <v>50</v>
      </c>
      <c r="AC689">
        <v>5000</v>
      </c>
      <c r="AD689">
        <v>0</v>
      </c>
      <c r="AE689">
        <v>0</v>
      </c>
      <c r="AF689">
        <v>7191.38</v>
      </c>
      <c r="AG689">
        <v>7191.38</v>
      </c>
      <c r="AH689" s="14">
        <v>46265</v>
      </c>
      <c r="AI689" t="s">
        <v>269</v>
      </c>
      <c r="AJ689" s="13">
        <v>46265.054768518516</v>
      </c>
      <c r="AK689">
        <v>7052.98</v>
      </c>
      <c r="AL689" t="s">
        <v>259</v>
      </c>
      <c r="AM689" t="s">
        <v>260</v>
      </c>
      <c r="AN689">
        <v>1400</v>
      </c>
      <c r="AO689">
        <v>0</v>
      </c>
      <c r="AP689">
        <v>35</v>
      </c>
      <c r="AQ689">
        <v>85</v>
      </c>
      <c r="AR689">
        <v>35</v>
      </c>
      <c r="AS689">
        <v>2</v>
      </c>
      <c r="AT689">
        <v>23</v>
      </c>
      <c r="AU689">
        <v>1</v>
      </c>
      <c r="AV689">
        <v>0</v>
      </c>
      <c r="AW689">
        <v>10</v>
      </c>
      <c r="AX689">
        <v>1</v>
      </c>
      <c r="AY689">
        <v>7</v>
      </c>
      <c r="AZ689">
        <v>3</v>
      </c>
      <c r="BA689">
        <v>1</v>
      </c>
      <c r="BB689">
        <v>1440</v>
      </c>
      <c r="BC689">
        <v>0</v>
      </c>
      <c r="BD689">
        <v>0</v>
      </c>
      <c r="BE689">
        <v>14</v>
      </c>
      <c r="BF689">
        <v>25</v>
      </c>
      <c r="BG689">
        <v>3</v>
      </c>
      <c r="BH689">
        <v>8</v>
      </c>
      <c r="BI689">
        <v>3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0</v>
      </c>
      <c r="BQ689">
        <v>60</v>
      </c>
      <c r="BR689">
        <v>0</v>
      </c>
      <c r="BS689">
        <v>3</v>
      </c>
      <c r="BT689" t="s">
        <v>248</v>
      </c>
      <c r="BU689" t="s">
        <v>270</v>
      </c>
      <c r="BV689" t="b">
        <v>0</v>
      </c>
      <c r="BW689" t="s">
        <v>271</v>
      </c>
    </row>
    <row r="690" spans="1:75">
      <c r="A690" t="s">
        <v>248</v>
      </c>
      <c r="B690" t="s">
        <v>252</v>
      </c>
      <c r="C690">
        <v>572</v>
      </c>
      <c r="D690" t="s">
        <v>253</v>
      </c>
      <c r="E690" t="s">
        <v>254</v>
      </c>
      <c r="F690">
        <v>5</v>
      </c>
      <c r="G690" s="13">
        <v>46265.280844907407</v>
      </c>
      <c r="H690" s="13">
        <v>46265.283553240741</v>
      </c>
      <c r="I690">
        <v>234</v>
      </c>
      <c r="J690" t="s">
        <v>255</v>
      </c>
      <c r="K690">
        <v>1</v>
      </c>
      <c r="L690">
        <v>0.04</v>
      </c>
      <c r="M690">
        <v>0.04</v>
      </c>
      <c r="N690">
        <v>1</v>
      </c>
      <c r="O690">
        <v>0.04</v>
      </c>
      <c r="P690">
        <v>4.72</v>
      </c>
      <c r="Q690">
        <v>5.04</v>
      </c>
      <c r="R690">
        <v>5.04</v>
      </c>
      <c r="S690" t="s">
        <v>256</v>
      </c>
      <c r="T690" t="s">
        <v>257</v>
      </c>
      <c r="U690">
        <v>15</v>
      </c>
      <c r="V690">
        <v>7190.54</v>
      </c>
      <c r="W690">
        <v>4999.16</v>
      </c>
      <c r="X690">
        <v>4995.28</v>
      </c>
      <c r="Y690">
        <v>0</v>
      </c>
      <c r="Z690">
        <v>0</v>
      </c>
      <c r="AA690">
        <v>35</v>
      </c>
      <c r="AB690">
        <v>50</v>
      </c>
      <c r="AC690">
        <v>5000</v>
      </c>
      <c r="AD690">
        <v>0</v>
      </c>
      <c r="AE690">
        <v>0</v>
      </c>
      <c r="AF690">
        <v>7194.94</v>
      </c>
      <c r="AG690">
        <v>7194.94</v>
      </c>
      <c r="AH690" s="14">
        <v>46265</v>
      </c>
      <c r="AI690" t="s">
        <v>269</v>
      </c>
      <c r="AJ690" s="13">
        <v>46265.054768518516</v>
      </c>
      <c r="AK690">
        <v>7052.98</v>
      </c>
      <c r="AL690" t="s">
        <v>259</v>
      </c>
      <c r="AM690" t="s">
        <v>260</v>
      </c>
      <c r="AN690">
        <v>1400</v>
      </c>
      <c r="AO690">
        <v>0</v>
      </c>
      <c r="AP690">
        <v>35</v>
      </c>
      <c r="AQ690">
        <v>85</v>
      </c>
      <c r="AR690">
        <v>35</v>
      </c>
      <c r="AS690">
        <v>2</v>
      </c>
      <c r="AT690">
        <v>23</v>
      </c>
      <c r="AU690">
        <v>1</v>
      </c>
      <c r="AV690">
        <v>0</v>
      </c>
      <c r="AW690">
        <v>10</v>
      </c>
      <c r="AX690">
        <v>1</v>
      </c>
      <c r="AY690">
        <v>7</v>
      </c>
      <c r="AZ690">
        <v>3</v>
      </c>
      <c r="BA690">
        <v>1</v>
      </c>
      <c r="BB690">
        <v>1440</v>
      </c>
      <c r="BC690">
        <v>0</v>
      </c>
      <c r="BD690">
        <v>0</v>
      </c>
      <c r="BE690">
        <v>14</v>
      </c>
      <c r="BF690">
        <v>25</v>
      </c>
      <c r="BG690">
        <v>3</v>
      </c>
      <c r="BH690">
        <v>8</v>
      </c>
      <c r="BI690">
        <v>3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0</v>
      </c>
      <c r="BQ690">
        <v>60</v>
      </c>
      <c r="BR690">
        <v>0</v>
      </c>
      <c r="BS690">
        <v>3</v>
      </c>
      <c r="BT690" t="s">
        <v>248</v>
      </c>
      <c r="BU690" t="s">
        <v>270</v>
      </c>
      <c r="BV690" t="b">
        <v>0</v>
      </c>
      <c r="BW690" t="s">
        <v>271</v>
      </c>
    </row>
    <row r="691" spans="1:75">
      <c r="A691" t="s">
        <v>248</v>
      </c>
      <c r="B691" t="s">
        <v>252</v>
      </c>
      <c r="C691">
        <v>573</v>
      </c>
      <c r="D691" t="s">
        <v>253</v>
      </c>
      <c r="E691" t="s">
        <v>254</v>
      </c>
      <c r="F691">
        <v>5</v>
      </c>
      <c r="G691" s="13">
        <v>46265.294768518521</v>
      </c>
      <c r="H691" s="13">
        <v>46265.295405092591</v>
      </c>
      <c r="I691">
        <v>55</v>
      </c>
      <c r="J691" t="s">
        <v>264</v>
      </c>
      <c r="K691">
        <v>1</v>
      </c>
      <c r="L691">
        <v>0.04</v>
      </c>
      <c r="M691">
        <v>0.04</v>
      </c>
      <c r="N691">
        <v>1</v>
      </c>
      <c r="O691">
        <v>0.04</v>
      </c>
      <c r="P691">
        <v>0.72</v>
      </c>
      <c r="Q691">
        <v>4.72</v>
      </c>
      <c r="R691">
        <v>3.4</v>
      </c>
      <c r="S691" t="s">
        <v>256</v>
      </c>
      <c r="T691" t="s">
        <v>257</v>
      </c>
      <c r="U691">
        <v>10</v>
      </c>
      <c r="V691">
        <v>7194.38</v>
      </c>
      <c r="W691">
        <v>4999.4399999999996</v>
      </c>
      <c r="X691">
        <v>4999.28</v>
      </c>
      <c r="Y691">
        <v>0</v>
      </c>
      <c r="Z691">
        <v>0</v>
      </c>
      <c r="AA691">
        <v>35</v>
      </c>
      <c r="AB691">
        <v>50</v>
      </c>
      <c r="AC691">
        <v>5000</v>
      </c>
      <c r="AD691">
        <v>0</v>
      </c>
      <c r="AE691">
        <v>0</v>
      </c>
      <c r="AF691">
        <v>7198.22</v>
      </c>
      <c r="AG691">
        <v>7198.22</v>
      </c>
      <c r="AH691" s="14">
        <v>46265</v>
      </c>
      <c r="AI691" t="s">
        <v>269</v>
      </c>
      <c r="AJ691" s="13">
        <v>46265.054768518516</v>
      </c>
      <c r="AK691">
        <v>7052.98</v>
      </c>
      <c r="AL691" t="s">
        <v>259</v>
      </c>
      <c r="AM691" t="s">
        <v>260</v>
      </c>
      <c r="AN691">
        <v>1400</v>
      </c>
      <c r="AO691">
        <v>0</v>
      </c>
      <c r="AP691">
        <v>35</v>
      </c>
      <c r="AQ691">
        <v>85</v>
      </c>
      <c r="AR691">
        <v>35</v>
      </c>
      <c r="AS691">
        <v>2</v>
      </c>
      <c r="AT691">
        <v>23</v>
      </c>
      <c r="AU691">
        <v>1</v>
      </c>
      <c r="AV691">
        <v>0</v>
      </c>
      <c r="AW691">
        <v>10</v>
      </c>
      <c r="AX691">
        <v>1</v>
      </c>
      <c r="AY691">
        <v>7</v>
      </c>
      <c r="AZ691">
        <v>3</v>
      </c>
      <c r="BA691">
        <v>1</v>
      </c>
      <c r="BB691">
        <v>1440</v>
      </c>
      <c r="BC691">
        <v>0</v>
      </c>
      <c r="BD691">
        <v>0</v>
      </c>
      <c r="BE691">
        <v>14</v>
      </c>
      <c r="BF691">
        <v>25</v>
      </c>
      <c r="BG691">
        <v>3</v>
      </c>
      <c r="BH691">
        <v>8</v>
      </c>
      <c r="BI691">
        <v>3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0</v>
      </c>
      <c r="BQ691">
        <v>60</v>
      </c>
      <c r="BR691">
        <v>0</v>
      </c>
      <c r="BS691">
        <v>3</v>
      </c>
      <c r="BT691" t="s">
        <v>248</v>
      </c>
      <c r="BU691" t="s">
        <v>270</v>
      </c>
      <c r="BV691" t="b">
        <v>0</v>
      </c>
      <c r="BW691" t="s">
        <v>271</v>
      </c>
    </row>
    <row r="692" spans="1:75">
      <c r="A692" t="s">
        <v>248</v>
      </c>
      <c r="B692" t="s">
        <v>252</v>
      </c>
      <c r="C692">
        <v>574</v>
      </c>
      <c r="D692" t="s">
        <v>253</v>
      </c>
      <c r="E692" t="s">
        <v>254</v>
      </c>
      <c r="F692">
        <v>5</v>
      </c>
      <c r="G692" s="13">
        <v>46265.300520833334</v>
      </c>
      <c r="H692" s="13">
        <v>46265.317685185182</v>
      </c>
      <c r="I692">
        <v>1483</v>
      </c>
      <c r="J692" t="s">
        <v>255</v>
      </c>
      <c r="K692">
        <v>3</v>
      </c>
      <c r="L692">
        <v>0.12</v>
      </c>
      <c r="M692">
        <v>0.04</v>
      </c>
      <c r="N692">
        <v>3</v>
      </c>
      <c r="O692">
        <v>0.12</v>
      </c>
      <c r="P692">
        <v>35.200000000000003</v>
      </c>
      <c r="Q692">
        <v>20.16</v>
      </c>
      <c r="R692">
        <v>17.04</v>
      </c>
      <c r="S692" t="s">
        <v>263</v>
      </c>
      <c r="T692" t="s">
        <v>257</v>
      </c>
      <c r="U692">
        <v>10</v>
      </c>
      <c r="V692">
        <v>7197.54</v>
      </c>
      <c r="W692">
        <v>4999.32</v>
      </c>
      <c r="X692">
        <v>4964.8</v>
      </c>
      <c r="Y692">
        <v>0</v>
      </c>
      <c r="Z692">
        <v>0</v>
      </c>
      <c r="AA692">
        <v>35</v>
      </c>
      <c r="AB692">
        <v>50</v>
      </c>
      <c r="AC692">
        <v>5000</v>
      </c>
      <c r="AD692">
        <v>0</v>
      </c>
      <c r="AE692">
        <v>0</v>
      </c>
      <c r="AF692">
        <v>7215.14</v>
      </c>
      <c r="AG692">
        <v>7215.14</v>
      </c>
      <c r="AH692" s="14">
        <v>46265</v>
      </c>
      <c r="AI692" t="s">
        <v>269</v>
      </c>
      <c r="AJ692" s="13">
        <v>46265.054768518516</v>
      </c>
      <c r="AK692">
        <v>7052.98</v>
      </c>
      <c r="AL692" t="s">
        <v>259</v>
      </c>
      <c r="AM692" t="s">
        <v>260</v>
      </c>
      <c r="AN692">
        <v>1400</v>
      </c>
      <c r="AO692">
        <v>0</v>
      </c>
      <c r="AP692">
        <v>35</v>
      </c>
      <c r="AQ692">
        <v>85</v>
      </c>
      <c r="AR692">
        <v>35</v>
      </c>
      <c r="AS692">
        <v>2</v>
      </c>
      <c r="AT692">
        <v>23</v>
      </c>
      <c r="AU692">
        <v>1</v>
      </c>
      <c r="AV692">
        <v>0</v>
      </c>
      <c r="AW692">
        <v>10</v>
      </c>
      <c r="AX692">
        <v>1</v>
      </c>
      <c r="AY692">
        <v>7</v>
      </c>
      <c r="AZ692">
        <v>3</v>
      </c>
      <c r="BA692">
        <v>1</v>
      </c>
      <c r="BB692">
        <v>1440</v>
      </c>
      <c r="BC692">
        <v>0</v>
      </c>
      <c r="BD692">
        <v>0</v>
      </c>
      <c r="BE692">
        <v>14</v>
      </c>
      <c r="BF692">
        <v>25</v>
      </c>
      <c r="BG692">
        <v>3</v>
      </c>
      <c r="BH692">
        <v>8</v>
      </c>
      <c r="BI692">
        <v>3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0</v>
      </c>
      <c r="BQ692">
        <v>60</v>
      </c>
      <c r="BR692">
        <v>0</v>
      </c>
      <c r="BS692">
        <v>3</v>
      </c>
      <c r="BT692" t="s">
        <v>248</v>
      </c>
      <c r="BU692" t="s">
        <v>270</v>
      </c>
      <c r="BV692" t="b">
        <v>0</v>
      </c>
      <c r="BW692" t="s">
        <v>271</v>
      </c>
    </row>
    <row r="693" spans="1:75">
      <c r="A693" t="s">
        <v>248</v>
      </c>
      <c r="B693" t="s">
        <v>252</v>
      </c>
      <c r="C693">
        <v>575</v>
      </c>
      <c r="D693" t="s">
        <v>253</v>
      </c>
      <c r="E693" t="s">
        <v>254</v>
      </c>
      <c r="F693">
        <v>5</v>
      </c>
      <c r="G693" s="13">
        <v>46265.331238425926</v>
      </c>
      <c r="H693" s="13">
        <v>46265.331550925926</v>
      </c>
      <c r="I693">
        <v>27</v>
      </c>
      <c r="J693" t="s">
        <v>255</v>
      </c>
      <c r="K693">
        <v>1</v>
      </c>
      <c r="L693">
        <v>0.04</v>
      </c>
      <c r="M693">
        <v>0.04</v>
      </c>
      <c r="N693">
        <v>1</v>
      </c>
      <c r="O693">
        <v>0.04</v>
      </c>
      <c r="P693">
        <v>1.4</v>
      </c>
      <c r="Q693">
        <v>6.04</v>
      </c>
      <c r="R693">
        <v>5.92</v>
      </c>
      <c r="S693" t="s">
        <v>256</v>
      </c>
      <c r="T693" t="s">
        <v>257</v>
      </c>
      <c r="U693">
        <v>10</v>
      </c>
      <c r="V693">
        <v>7214.5</v>
      </c>
      <c r="W693">
        <v>4999.3599999999997</v>
      </c>
      <c r="X693">
        <v>4998.6000000000004</v>
      </c>
      <c r="Y693">
        <v>0</v>
      </c>
      <c r="Z693">
        <v>0</v>
      </c>
      <c r="AA693">
        <v>35</v>
      </c>
      <c r="AB693">
        <v>50</v>
      </c>
      <c r="AC693">
        <v>5000</v>
      </c>
      <c r="AD693">
        <v>0</v>
      </c>
      <c r="AE693">
        <v>0</v>
      </c>
      <c r="AF693">
        <v>7219.78</v>
      </c>
      <c r="AG693">
        <v>7219.78</v>
      </c>
      <c r="AH693" s="14">
        <v>46265</v>
      </c>
      <c r="AI693" t="s">
        <v>269</v>
      </c>
      <c r="AJ693" s="13">
        <v>46265.054768518516</v>
      </c>
      <c r="AK693">
        <v>7052.98</v>
      </c>
      <c r="AL693" t="s">
        <v>259</v>
      </c>
      <c r="AM693" t="s">
        <v>260</v>
      </c>
      <c r="AN693">
        <v>1400</v>
      </c>
      <c r="AO693">
        <v>0</v>
      </c>
      <c r="AP693">
        <v>35</v>
      </c>
      <c r="AQ693">
        <v>85</v>
      </c>
      <c r="AR693">
        <v>35</v>
      </c>
      <c r="AS693">
        <v>2</v>
      </c>
      <c r="AT693">
        <v>23</v>
      </c>
      <c r="AU693">
        <v>1</v>
      </c>
      <c r="AV693">
        <v>0</v>
      </c>
      <c r="AW693">
        <v>10</v>
      </c>
      <c r="AX693">
        <v>1</v>
      </c>
      <c r="AY693">
        <v>7</v>
      </c>
      <c r="AZ693">
        <v>3</v>
      </c>
      <c r="BA693">
        <v>1</v>
      </c>
      <c r="BB693">
        <v>1440</v>
      </c>
      <c r="BC693">
        <v>0</v>
      </c>
      <c r="BD693">
        <v>0</v>
      </c>
      <c r="BE693">
        <v>14</v>
      </c>
      <c r="BF693">
        <v>25</v>
      </c>
      <c r="BG693">
        <v>3</v>
      </c>
      <c r="BH693">
        <v>8</v>
      </c>
      <c r="BI693">
        <v>3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0</v>
      </c>
      <c r="BQ693">
        <v>60</v>
      </c>
      <c r="BR693">
        <v>0</v>
      </c>
      <c r="BS693">
        <v>3</v>
      </c>
      <c r="BT693" t="s">
        <v>248</v>
      </c>
      <c r="BU693" t="s">
        <v>270</v>
      </c>
      <c r="BV693" t="b">
        <v>0</v>
      </c>
      <c r="BW693" t="s">
        <v>271</v>
      </c>
    </row>
    <row r="694" spans="1:75">
      <c r="A694" t="s">
        <v>248</v>
      </c>
      <c r="B694" t="s">
        <v>252</v>
      </c>
      <c r="C694">
        <v>576</v>
      </c>
      <c r="D694" t="s">
        <v>253</v>
      </c>
      <c r="E694" t="s">
        <v>254</v>
      </c>
      <c r="F694">
        <v>5</v>
      </c>
      <c r="G694" s="13">
        <v>46265.335231481484</v>
      </c>
      <c r="H694" s="13">
        <v>46265.3356712963</v>
      </c>
      <c r="I694">
        <v>38</v>
      </c>
      <c r="J694" t="s">
        <v>255</v>
      </c>
      <c r="K694">
        <v>1</v>
      </c>
      <c r="L694">
        <v>0.04</v>
      </c>
      <c r="M694">
        <v>0.04</v>
      </c>
      <c r="N694">
        <v>1</v>
      </c>
      <c r="O694">
        <v>0.04</v>
      </c>
      <c r="P694">
        <v>2.76</v>
      </c>
      <c r="Q694">
        <v>4.6399999999999997</v>
      </c>
      <c r="R694">
        <v>4.4400000000000004</v>
      </c>
      <c r="S694" t="s">
        <v>256</v>
      </c>
      <c r="T694" t="s">
        <v>257</v>
      </c>
      <c r="U694">
        <v>10</v>
      </c>
      <c r="V694">
        <v>7219.14</v>
      </c>
      <c r="W694">
        <v>4999.3599999999997</v>
      </c>
      <c r="X694">
        <v>4997.24</v>
      </c>
      <c r="Y694">
        <v>0</v>
      </c>
      <c r="Z694">
        <v>0</v>
      </c>
      <c r="AA694">
        <v>35</v>
      </c>
      <c r="AB694">
        <v>50</v>
      </c>
      <c r="AC694">
        <v>5000</v>
      </c>
      <c r="AD694">
        <v>0</v>
      </c>
      <c r="AE694">
        <v>0</v>
      </c>
      <c r="AF694">
        <v>7223.02</v>
      </c>
      <c r="AG694">
        <v>7223.02</v>
      </c>
      <c r="AH694" s="14">
        <v>46265</v>
      </c>
      <c r="AI694" t="s">
        <v>269</v>
      </c>
      <c r="AJ694" s="13">
        <v>46265.054768518516</v>
      </c>
      <c r="AK694">
        <v>7052.98</v>
      </c>
      <c r="AL694" t="s">
        <v>259</v>
      </c>
      <c r="AM694" t="s">
        <v>260</v>
      </c>
      <c r="AN694">
        <v>1400</v>
      </c>
      <c r="AO694">
        <v>0</v>
      </c>
      <c r="AP694">
        <v>35</v>
      </c>
      <c r="AQ694">
        <v>85</v>
      </c>
      <c r="AR694">
        <v>35</v>
      </c>
      <c r="AS694">
        <v>2</v>
      </c>
      <c r="AT694">
        <v>23</v>
      </c>
      <c r="AU694">
        <v>1</v>
      </c>
      <c r="AV694">
        <v>0</v>
      </c>
      <c r="AW694">
        <v>10</v>
      </c>
      <c r="AX694">
        <v>1</v>
      </c>
      <c r="AY694">
        <v>7</v>
      </c>
      <c r="AZ694">
        <v>3</v>
      </c>
      <c r="BA694">
        <v>1</v>
      </c>
      <c r="BB694">
        <v>1440</v>
      </c>
      <c r="BC694">
        <v>0</v>
      </c>
      <c r="BD694">
        <v>0</v>
      </c>
      <c r="BE694">
        <v>14</v>
      </c>
      <c r="BF694">
        <v>25</v>
      </c>
      <c r="BG694">
        <v>3</v>
      </c>
      <c r="BH694">
        <v>8</v>
      </c>
      <c r="BI694">
        <v>3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0</v>
      </c>
      <c r="BQ694">
        <v>60</v>
      </c>
      <c r="BR694">
        <v>0</v>
      </c>
      <c r="BS694">
        <v>3</v>
      </c>
      <c r="BT694" t="s">
        <v>248</v>
      </c>
      <c r="BU694" t="s">
        <v>270</v>
      </c>
      <c r="BV694" t="b">
        <v>0</v>
      </c>
      <c r="BW694" t="s">
        <v>271</v>
      </c>
    </row>
    <row r="695" spans="1:75">
      <c r="A695" t="s">
        <v>248</v>
      </c>
      <c r="B695" t="s">
        <v>252</v>
      </c>
      <c r="C695">
        <v>577</v>
      </c>
      <c r="D695" t="s">
        <v>253</v>
      </c>
      <c r="E695" t="s">
        <v>254</v>
      </c>
      <c r="F695">
        <v>5</v>
      </c>
      <c r="G695" s="13">
        <v>46265.339849537035</v>
      </c>
      <c r="H695" s="13">
        <v>46265.340092592596</v>
      </c>
      <c r="I695">
        <v>21</v>
      </c>
      <c r="J695" t="s">
        <v>264</v>
      </c>
      <c r="K695">
        <v>1</v>
      </c>
      <c r="L695">
        <v>0.04</v>
      </c>
      <c r="M695">
        <v>0.04</v>
      </c>
      <c r="N695">
        <v>1</v>
      </c>
      <c r="O695">
        <v>0.04</v>
      </c>
      <c r="P695">
        <v>1.48</v>
      </c>
      <c r="Q695">
        <v>3.96</v>
      </c>
      <c r="R695">
        <v>2.96</v>
      </c>
      <c r="S695" t="s">
        <v>256</v>
      </c>
      <c r="T695" t="s">
        <v>257</v>
      </c>
      <c r="U695">
        <v>14</v>
      </c>
      <c r="V695">
        <v>7222.34</v>
      </c>
      <c r="W695">
        <v>4999.32</v>
      </c>
      <c r="X695">
        <v>4998.5200000000004</v>
      </c>
      <c r="Y695">
        <v>0</v>
      </c>
      <c r="Z695">
        <v>0</v>
      </c>
      <c r="AA695">
        <v>35</v>
      </c>
      <c r="AB695">
        <v>50</v>
      </c>
      <c r="AC695">
        <v>5000</v>
      </c>
      <c r="AD695">
        <v>0</v>
      </c>
      <c r="AE695">
        <v>0</v>
      </c>
      <c r="AF695">
        <v>7225.58</v>
      </c>
      <c r="AG695">
        <v>7225.58</v>
      </c>
      <c r="AH695" s="14">
        <v>46265</v>
      </c>
      <c r="AI695" t="s">
        <v>269</v>
      </c>
      <c r="AJ695" s="13">
        <v>46265.054768518516</v>
      </c>
      <c r="AK695">
        <v>7052.98</v>
      </c>
      <c r="AL695" t="s">
        <v>259</v>
      </c>
      <c r="AM695" t="s">
        <v>260</v>
      </c>
      <c r="AN695">
        <v>1400</v>
      </c>
      <c r="AO695">
        <v>0</v>
      </c>
      <c r="AP695">
        <v>35</v>
      </c>
      <c r="AQ695">
        <v>85</v>
      </c>
      <c r="AR695">
        <v>35</v>
      </c>
      <c r="AS695">
        <v>2</v>
      </c>
      <c r="AT695">
        <v>23</v>
      </c>
      <c r="AU695">
        <v>1</v>
      </c>
      <c r="AV695">
        <v>0</v>
      </c>
      <c r="AW695">
        <v>10</v>
      </c>
      <c r="AX695">
        <v>1</v>
      </c>
      <c r="AY695">
        <v>7</v>
      </c>
      <c r="AZ695">
        <v>3</v>
      </c>
      <c r="BA695">
        <v>1</v>
      </c>
      <c r="BB695">
        <v>1440</v>
      </c>
      <c r="BC695">
        <v>0</v>
      </c>
      <c r="BD695">
        <v>0</v>
      </c>
      <c r="BE695">
        <v>14</v>
      </c>
      <c r="BF695">
        <v>25</v>
      </c>
      <c r="BG695">
        <v>3</v>
      </c>
      <c r="BH695">
        <v>8</v>
      </c>
      <c r="BI695">
        <v>3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0</v>
      </c>
      <c r="BQ695">
        <v>60</v>
      </c>
      <c r="BR695">
        <v>0</v>
      </c>
      <c r="BS695">
        <v>3</v>
      </c>
      <c r="BT695" t="s">
        <v>248</v>
      </c>
      <c r="BU695" t="s">
        <v>270</v>
      </c>
      <c r="BV695" t="b">
        <v>0</v>
      </c>
      <c r="BW695" t="s">
        <v>271</v>
      </c>
    </row>
    <row r="696" spans="1:75">
      <c r="A696" t="s">
        <v>248</v>
      </c>
      <c r="B696" t="s">
        <v>252</v>
      </c>
      <c r="C696">
        <v>578</v>
      </c>
      <c r="D696" t="s">
        <v>253</v>
      </c>
      <c r="E696" t="s">
        <v>254</v>
      </c>
      <c r="F696">
        <v>5</v>
      </c>
      <c r="G696" s="13">
        <v>46265.341863425929</v>
      </c>
      <c r="H696" s="13">
        <v>46265.342974537038</v>
      </c>
      <c r="I696">
        <v>96</v>
      </c>
      <c r="J696" t="s">
        <v>255</v>
      </c>
      <c r="K696">
        <v>1</v>
      </c>
      <c r="L696">
        <v>0.04</v>
      </c>
      <c r="M696">
        <v>0.04</v>
      </c>
      <c r="N696">
        <v>1</v>
      </c>
      <c r="O696">
        <v>0.04</v>
      </c>
      <c r="P696">
        <v>3.48</v>
      </c>
      <c r="Q696">
        <v>6.52</v>
      </c>
      <c r="R696">
        <v>5.92</v>
      </c>
      <c r="S696" t="s">
        <v>256</v>
      </c>
      <c r="T696" t="s">
        <v>257</v>
      </c>
      <c r="U696">
        <v>11</v>
      </c>
      <c r="V696">
        <v>7224.9</v>
      </c>
      <c r="W696">
        <v>4999.32</v>
      </c>
      <c r="X696">
        <v>4996.5200000000004</v>
      </c>
      <c r="Y696">
        <v>0</v>
      </c>
      <c r="Z696">
        <v>0</v>
      </c>
      <c r="AA696">
        <v>35</v>
      </c>
      <c r="AB696">
        <v>50</v>
      </c>
      <c r="AC696">
        <v>5000</v>
      </c>
      <c r="AD696">
        <v>0</v>
      </c>
      <c r="AE696">
        <v>0</v>
      </c>
      <c r="AF696">
        <v>7230.7</v>
      </c>
      <c r="AG696">
        <v>7230.7</v>
      </c>
      <c r="AH696" s="14">
        <v>46265</v>
      </c>
      <c r="AI696" t="s">
        <v>269</v>
      </c>
      <c r="AJ696" s="13">
        <v>46265.054768518516</v>
      </c>
      <c r="AK696">
        <v>7052.98</v>
      </c>
      <c r="AL696" t="s">
        <v>259</v>
      </c>
      <c r="AM696" t="s">
        <v>260</v>
      </c>
      <c r="AN696">
        <v>1400</v>
      </c>
      <c r="AO696">
        <v>0</v>
      </c>
      <c r="AP696">
        <v>35</v>
      </c>
      <c r="AQ696">
        <v>85</v>
      </c>
      <c r="AR696">
        <v>35</v>
      </c>
      <c r="AS696">
        <v>2</v>
      </c>
      <c r="AT696">
        <v>23</v>
      </c>
      <c r="AU696">
        <v>1</v>
      </c>
      <c r="AV696">
        <v>0</v>
      </c>
      <c r="AW696">
        <v>10</v>
      </c>
      <c r="AX696">
        <v>1</v>
      </c>
      <c r="AY696">
        <v>7</v>
      </c>
      <c r="AZ696">
        <v>3</v>
      </c>
      <c r="BA696">
        <v>1</v>
      </c>
      <c r="BB696">
        <v>1440</v>
      </c>
      <c r="BC696">
        <v>0</v>
      </c>
      <c r="BD696">
        <v>0</v>
      </c>
      <c r="BE696">
        <v>14</v>
      </c>
      <c r="BF696">
        <v>25</v>
      </c>
      <c r="BG696">
        <v>3</v>
      </c>
      <c r="BH696">
        <v>8</v>
      </c>
      <c r="BI696">
        <v>3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0</v>
      </c>
      <c r="BQ696">
        <v>60</v>
      </c>
      <c r="BR696">
        <v>0</v>
      </c>
      <c r="BS696">
        <v>3</v>
      </c>
      <c r="BT696" t="s">
        <v>248</v>
      </c>
      <c r="BU696" t="s">
        <v>270</v>
      </c>
      <c r="BV696" t="b">
        <v>0</v>
      </c>
      <c r="BW696" t="s">
        <v>271</v>
      </c>
    </row>
    <row r="697" spans="1:75">
      <c r="A697" t="s">
        <v>248</v>
      </c>
      <c r="B697" t="s">
        <v>252</v>
      </c>
      <c r="C697">
        <v>579</v>
      </c>
      <c r="D697" t="s">
        <v>253</v>
      </c>
      <c r="E697" t="s">
        <v>254</v>
      </c>
      <c r="F697">
        <v>5</v>
      </c>
      <c r="G697" s="13">
        <v>46265.34611111111</v>
      </c>
      <c r="H697" s="13">
        <v>46265.346898148149</v>
      </c>
      <c r="I697">
        <v>68</v>
      </c>
      <c r="J697" t="s">
        <v>255</v>
      </c>
      <c r="K697">
        <v>1</v>
      </c>
      <c r="L697">
        <v>0.04</v>
      </c>
      <c r="M697">
        <v>0.04</v>
      </c>
      <c r="N697">
        <v>1</v>
      </c>
      <c r="O697">
        <v>0.04</v>
      </c>
      <c r="P697">
        <v>0.68</v>
      </c>
      <c r="Q697">
        <v>6.2</v>
      </c>
      <c r="R697">
        <v>5.08</v>
      </c>
      <c r="S697" t="s">
        <v>256</v>
      </c>
      <c r="T697" t="s">
        <v>257</v>
      </c>
      <c r="U697">
        <v>10</v>
      </c>
      <c r="V697">
        <v>7230.02</v>
      </c>
      <c r="W697">
        <v>4999.32</v>
      </c>
      <c r="X697">
        <v>4999.32</v>
      </c>
      <c r="Y697">
        <v>0</v>
      </c>
      <c r="Z697">
        <v>0</v>
      </c>
      <c r="AA697">
        <v>35</v>
      </c>
      <c r="AB697">
        <v>50</v>
      </c>
      <c r="AC697">
        <v>5000</v>
      </c>
      <c r="AD697">
        <v>0</v>
      </c>
      <c r="AE697">
        <v>0</v>
      </c>
      <c r="AF697">
        <v>7235.5</v>
      </c>
      <c r="AG697">
        <v>7235.5</v>
      </c>
      <c r="AH697" s="14">
        <v>46265</v>
      </c>
      <c r="AI697" t="s">
        <v>269</v>
      </c>
      <c r="AJ697" s="13">
        <v>46265.054768518516</v>
      </c>
      <c r="AK697">
        <v>7052.98</v>
      </c>
      <c r="AL697" t="s">
        <v>259</v>
      </c>
      <c r="AM697" t="s">
        <v>260</v>
      </c>
      <c r="AN697">
        <v>1400</v>
      </c>
      <c r="AO697">
        <v>0</v>
      </c>
      <c r="AP697">
        <v>35</v>
      </c>
      <c r="AQ697">
        <v>85</v>
      </c>
      <c r="AR697">
        <v>35</v>
      </c>
      <c r="AS697">
        <v>2</v>
      </c>
      <c r="AT697">
        <v>23</v>
      </c>
      <c r="AU697">
        <v>1</v>
      </c>
      <c r="AV697">
        <v>0</v>
      </c>
      <c r="AW697">
        <v>10</v>
      </c>
      <c r="AX697">
        <v>1</v>
      </c>
      <c r="AY697">
        <v>7</v>
      </c>
      <c r="AZ697">
        <v>3</v>
      </c>
      <c r="BA697">
        <v>1</v>
      </c>
      <c r="BB697">
        <v>1440</v>
      </c>
      <c r="BC697">
        <v>0</v>
      </c>
      <c r="BD697">
        <v>0</v>
      </c>
      <c r="BE697">
        <v>14</v>
      </c>
      <c r="BF697">
        <v>25</v>
      </c>
      <c r="BG697">
        <v>3</v>
      </c>
      <c r="BH697">
        <v>8</v>
      </c>
      <c r="BI697">
        <v>3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0</v>
      </c>
      <c r="BQ697">
        <v>60</v>
      </c>
      <c r="BR697">
        <v>0</v>
      </c>
      <c r="BS697">
        <v>3</v>
      </c>
      <c r="BT697" t="s">
        <v>248</v>
      </c>
      <c r="BU697" t="s">
        <v>270</v>
      </c>
      <c r="BV697" t="b">
        <v>0</v>
      </c>
      <c r="BW697" t="s">
        <v>271</v>
      </c>
    </row>
    <row r="698" spans="1:75">
      <c r="A698" t="s">
        <v>248</v>
      </c>
      <c r="B698" t="s">
        <v>252</v>
      </c>
      <c r="C698">
        <v>580</v>
      </c>
      <c r="D698" t="s">
        <v>253</v>
      </c>
      <c r="E698" t="s">
        <v>254</v>
      </c>
      <c r="F698">
        <v>5</v>
      </c>
      <c r="G698" s="13">
        <v>46265.347731481481</v>
      </c>
      <c r="H698" s="13">
        <v>46265.350069444445</v>
      </c>
      <c r="I698">
        <v>202</v>
      </c>
      <c r="J698" t="s">
        <v>255</v>
      </c>
      <c r="K698">
        <v>1</v>
      </c>
      <c r="L698">
        <v>0.04</v>
      </c>
      <c r="M698">
        <v>0.04</v>
      </c>
      <c r="N698">
        <v>1</v>
      </c>
      <c r="O698">
        <v>0.04</v>
      </c>
      <c r="P698">
        <v>8.32</v>
      </c>
      <c r="Q698">
        <v>6.56</v>
      </c>
      <c r="R698">
        <v>5.8</v>
      </c>
      <c r="S698" t="s">
        <v>256</v>
      </c>
      <c r="T698" t="s">
        <v>257</v>
      </c>
      <c r="U698">
        <v>10</v>
      </c>
      <c r="V698">
        <v>7234.86</v>
      </c>
      <c r="W698">
        <v>4999.3599999999997</v>
      </c>
      <c r="X698">
        <v>4991.68</v>
      </c>
      <c r="Y698">
        <v>0</v>
      </c>
      <c r="Z698">
        <v>0</v>
      </c>
      <c r="AA698">
        <v>35</v>
      </c>
      <c r="AB698">
        <v>50</v>
      </c>
      <c r="AC698">
        <v>5000</v>
      </c>
      <c r="AD698">
        <v>0</v>
      </c>
      <c r="AE698">
        <v>0</v>
      </c>
      <c r="AF698">
        <v>7240.66</v>
      </c>
      <c r="AG698">
        <v>7240.66</v>
      </c>
      <c r="AH698" s="14">
        <v>46265</v>
      </c>
      <c r="AI698" t="s">
        <v>269</v>
      </c>
      <c r="AJ698" s="13">
        <v>46265.054768518516</v>
      </c>
      <c r="AK698">
        <v>7052.98</v>
      </c>
      <c r="AL698" t="s">
        <v>259</v>
      </c>
      <c r="AM698" t="s">
        <v>260</v>
      </c>
      <c r="AN698">
        <v>1400</v>
      </c>
      <c r="AO698">
        <v>0</v>
      </c>
      <c r="AP698">
        <v>35</v>
      </c>
      <c r="AQ698">
        <v>85</v>
      </c>
      <c r="AR698">
        <v>35</v>
      </c>
      <c r="AS698">
        <v>2</v>
      </c>
      <c r="AT698">
        <v>23</v>
      </c>
      <c r="AU698">
        <v>1</v>
      </c>
      <c r="AV698">
        <v>0</v>
      </c>
      <c r="AW698">
        <v>10</v>
      </c>
      <c r="AX698">
        <v>1</v>
      </c>
      <c r="AY698">
        <v>7</v>
      </c>
      <c r="AZ698">
        <v>3</v>
      </c>
      <c r="BA698">
        <v>1</v>
      </c>
      <c r="BB698">
        <v>1440</v>
      </c>
      <c r="BC698">
        <v>0</v>
      </c>
      <c r="BD698">
        <v>0</v>
      </c>
      <c r="BE698">
        <v>14</v>
      </c>
      <c r="BF698">
        <v>25</v>
      </c>
      <c r="BG698">
        <v>3</v>
      </c>
      <c r="BH698">
        <v>8</v>
      </c>
      <c r="BI698">
        <v>3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0</v>
      </c>
      <c r="BQ698">
        <v>60</v>
      </c>
      <c r="BR698">
        <v>0</v>
      </c>
      <c r="BS698">
        <v>3</v>
      </c>
      <c r="BT698" t="s">
        <v>248</v>
      </c>
      <c r="BU698" t="s">
        <v>270</v>
      </c>
      <c r="BV698" t="b">
        <v>0</v>
      </c>
      <c r="BW698" t="s">
        <v>271</v>
      </c>
    </row>
    <row r="699" spans="1:75">
      <c r="A699" t="s">
        <v>248</v>
      </c>
      <c r="B699" t="s">
        <v>252</v>
      </c>
      <c r="C699">
        <v>581</v>
      </c>
      <c r="D699" t="s">
        <v>253</v>
      </c>
      <c r="E699" t="s">
        <v>254</v>
      </c>
      <c r="F699">
        <v>5</v>
      </c>
      <c r="G699" s="13">
        <v>46265.35193287037</v>
      </c>
      <c r="H699" s="13">
        <v>46265.35229166667</v>
      </c>
      <c r="I699">
        <v>31</v>
      </c>
      <c r="J699" t="s">
        <v>255</v>
      </c>
      <c r="K699">
        <v>1</v>
      </c>
      <c r="L699">
        <v>0.04</v>
      </c>
      <c r="M699">
        <v>0.04</v>
      </c>
      <c r="N699">
        <v>1</v>
      </c>
      <c r="O699">
        <v>0.04</v>
      </c>
      <c r="P699">
        <v>2.56</v>
      </c>
      <c r="Q699">
        <v>3.48</v>
      </c>
      <c r="R699">
        <v>2.52</v>
      </c>
      <c r="S699" t="s">
        <v>256</v>
      </c>
      <c r="T699" t="s">
        <v>257</v>
      </c>
      <c r="U699">
        <v>11</v>
      </c>
      <c r="V699">
        <v>7239.98</v>
      </c>
      <c r="W699">
        <v>4999.32</v>
      </c>
      <c r="X699">
        <v>4997.4399999999996</v>
      </c>
      <c r="Y699">
        <v>0</v>
      </c>
      <c r="Z699">
        <v>0</v>
      </c>
      <c r="AA699">
        <v>35</v>
      </c>
      <c r="AB699">
        <v>50</v>
      </c>
      <c r="AC699">
        <v>5000</v>
      </c>
      <c r="AD699">
        <v>0</v>
      </c>
      <c r="AE699">
        <v>0</v>
      </c>
      <c r="AF699">
        <v>7242.74</v>
      </c>
      <c r="AG699">
        <v>7242.74</v>
      </c>
      <c r="AH699" s="14">
        <v>46265</v>
      </c>
      <c r="AI699" t="s">
        <v>269</v>
      </c>
      <c r="AJ699" s="13">
        <v>46265.054768518516</v>
      </c>
      <c r="AK699">
        <v>7052.98</v>
      </c>
      <c r="AL699" t="s">
        <v>259</v>
      </c>
      <c r="AM699" t="s">
        <v>260</v>
      </c>
      <c r="AN699">
        <v>1400</v>
      </c>
      <c r="AO699">
        <v>0</v>
      </c>
      <c r="AP699">
        <v>35</v>
      </c>
      <c r="AQ699">
        <v>85</v>
      </c>
      <c r="AR699">
        <v>35</v>
      </c>
      <c r="AS699">
        <v>2</v>
      </c>
      <c r="AT699">
        <v>23</v>
      </c>
      <c r="AU699">
        <v>1</v>
      </c>
      <c r="AV699">
        <v>0</v>
      </c>
      <c r="AW699">
        <v>10</v>
      </c>
      <c r="AX699">
        <v>1</v>
      </c>
      <c r="AY699">
        <v>7</v>
      </c>
      <c r="AZ699">
        <v>3</v>
      </c>
      <c r="BA699">
        <v>1</v>
      </c>
      <c r="BB699">
        <v>1440</v>
      </c>
      <c r="BC699">
        <v>0</v>
      </c>
      <c r="BD699">
        <v>0</v>
      </c>
      <c r="BE699">
        <v>14</v>
      </c>
      <c r="BF699">
        <v>25</v>
      </c>
      <c r="BG699">
        <v>3</v>
      </c>
      <c r="BH699">
        <v>8</v>
      </c>
      <c r="BI699">
        <v>3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0</v>
      </c>
      <c r="BQ699">
        <v>60</v>
      </c>
      <c r="BR699">
        <v>0</v>
      </c>
      <c r="BS699">
        <v>3</v>
      </c>
      <c r="BT699" t="s">
        <v>248</v>
      </c>
      <c r="BU699" t="s">
        <v>270</v>
      </c>
      <c r="BV699" t="b">
        <v>0</v>
      </c>
      <c r="BW699" t="s">
        <v>271</v>
      </c>
    </row>
    <row r="700" spans="1:75">
      <c r="A700" t="s">
        <v>248</v>
      </c>
      <c r="B700" t="s">
        <v>252</v>
      </c>
      <c r="C700">
        <v>582</v>
      </c>
      <c r="D700" t="s">
        <v>253</v>
      </c>
      <c r="E700" t="s">
        <v>254</v>
      </c>
      <c r="F700">
        <v>5</v>
      </c>
      <c r="G700" s="13">
        <v>46265.354421296295</v>
      </c>
      <c r="H700" s="13">
        <v>46265.354699074072</v>
      </c>
      <c r="I700">
        <v>24</v>
      </c>
      <c r="J700" t="s">
        <v>264</v>
      </c>
      <c r="K700">
        <v>1</v>
      </c>
      <c r="L700">
        <v>0.04</v>
      </c>
      <c r="M700">
        <v>0.04</v>
      </c>
      <c r="N700">
        <v>1</v>
      </c>
      <c r="O700">
        <v>0.04</v>
      </c>
      <c r="P700">
        <v>3.36</v>
      </c>
      <c r="Q700">
        <v>6.64</v>
      </c>
      <c r="R700">
        <v>5.92</v>
      </c>
      <c r="S700" t="s">
        <v>256</v>
      </c>
      <c r="T700" t="s">
        <v>257</v>
      </c>
      <c r="U700">
        <v>11</v>
      </c>
      <c r="V700">
        <v>7242.06</v>
      </c>
      <c r="W700">
        <v>4999.32</v>
      </c>
      <c r="X700">
        <v>4996.6400000000003</v>
      </c>
      <c r="Y700">
        <v>0</v>
      </c>
      <c r="Z700">
        <v>0</v>
      </c>
      <c r="AA700">
        <v>35</v>
      </c>
      <c r="AB700">
        <v>50</v>
      </c>
      <c r="AC700">
        <v>5000</v>
      </c>
      <c r="AD700">
        <v>0</v>
      </c>
      <c r="AE700">
        <v>0</v>
      </c>
      <c r="AF700">
        <v>7247.94</v>
      </c>
      <c r="AG700">
        <v>7247.94</v>
      </c>
      <c r="AH700" s="14">
        <v>46265</v>
      </c>
      <c r="AI700" t="s">
        <v>269</v>
      </c>
      <c r="AJ700" s="13">
        <v>46265.054768518516</v>
      </c>
      <c r="AK700">
        <v>7052.98</v>
      </c>
      <c r="AL700" t="s">
        <v>259</v>
      </c>
      <c r="AM700" t="s">
        <v>260</v>
      </c>
      <c r="AN700">
        <v>1400</v>
      </c>
      <c r="AO700">
        <v>0</v>
      </c>
      <c r="AP700">
        <v>35</v>
      </c>
      <c r="AQ700">
        <v>85</v>
      </c>
      <c r="AR700">
        <v>35</v>
      </c>
      <c r="AS700">
        <v>2</v>
      </c>
      <c r="AT700">
        <v>23</v>
      </c>
      <c r="AU700">
        <v>1</v>
      </c>
      <c r="AV700">
        <v>0</v>
      </c>
      <c r="AW700">
        <v>10</v>
      </c>
      <c r="AX700">
        <v>1</v>
      </c>
      <c r="AY700">
        <v>7</v>
      </c>
      <c r="AZ700">
        <v>3</v>
      </c>
      <c r="BA700">
        <v>1</v>
      </c>
      <c r="BB700">
        <v>1440</v>
      </c>
      <c r="BC700">
        <v>0</v>
      </c>
      <c r="BD700">
        <v>0</v>
      </c>
      <c r="BE700">
        <v>14</v>
      </c>
      <c r="BF700">
        <v>25</v>
      </c>
      <c r="BG700">
        <v>3</v>
      </c>
      <c r="BH700">
        <v>8</v>
      </c>
      <c r="BI700">
        <v>3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0</v>
      </c>
      <c r="BQ700">
        <v>60</v>
      </c>
      <c r="BR700">
        <v>0</v>
      </c>
      <c r="BS700">
        <v>3</v>
      </c>
      <c r="BT700" t="s">
        <v>248</v>
      </c>
      <c r="BU700" t="s">
        <v>270</v>
      </c>
      <c r="BV700" t="b">
        <v>0</v>
      </c>
      <c r="BW700" t="s">
        <v>271</v>
      </c>
    </row>
    <row r="701" spans="1:75">
      <c r="A701" t="s">
        <v>248</v>
      </c>
      <c r="B701" t="s">
        <v>252</v>
      </c>
      <c r="C701">
        <v>583</v>
      </c>
      <c r="D701" t="s">
        <v>253</v>
      </c>
      <c r="E701" t="s">
        <v>254</v>
      </c>
      <c r="F701">
        <v>5</v>
      </c>
      <c r="G701" s="13">
        <v>46265.360081018516</v>
      </c>
      <c r="H701" s="13">
        <v>46265.360196759262</v>
      </c>
      <c r="I701">
        <v>10</v>
      </c>
      <c r="J701" t="s">
        <v>255</v>
      </c>
      <c r="K701">
        <v>1</v>
      </c>
      <c r="L701">
        <v>0.04</v>
      </c>
      <c r="M701">
        <v>0.04</v>
      </c>
      <c r="N701">
        <v>1</v>
      </c>
      <c r="O701">
        <v>0.04</v>
      </c>
      <c r="P701">
        <v>0.64</v>
      </c>
      <c r="Q701">
        <v>4.5999999999999996</v>
      </c>
      <c r="R701">
        <v>3.64</v>
      </c>
      <c r="S701" t="s">
        <v>256</v>
      </c>
      <c r="T701" t="s">
        <v>257</v>
      </c>
      <c r="U701">
        <v>10</v>
      </c>
      <c r="V701">
        <v>7247.3</v>
      </c>
      <c r="W701">
        <v>4999.3599999999997</v>
      </c>
      <c r="X701">
        <v>4999.3599999999997</v>
      </c>
      <c r="Y701">
        <v>0</v>
      </c>
      <c r="Z701">
        <v>0</v>
      </c>
      <c r="AA701">
        <v>35</v>
      </c>
      <c r="AB701">
        <v>50</v>
      </c>
      <c r="AC701">
        <v>5000</v>
      </c>
      <c r="AD701">
        <v>0</v>
      </c>
      <c r="AE701">
        <v>0</v>
      </c>
      <c r="AF701">
        <v>7251.14</v>
      </c>
      <c r="AG701">
        <v>7251.14</v>
      </c>
      <c r="AH701" s="14">
        <v>46265</v>
      </c>
      <c r="AI701" t="s">
        <v>269</v>
      </c>
      <c r="AJ701" s="13">
        <v>46265.054768518516</v>
      </c>
      <c r="AK701">
        <v>7052.98</v>
      </c>
      <c r="AL701" t="s">
        <v>259</v>
      </c>
      <c r="AM701" t="s">
        <v>260</v>
      </c>
      <c r="AN701">
        <v>1400</v>
      </c>
      <c r="AO701">
        <v>0</v>
      </c>
      <c r="AP701">
        <v>35</v>
      </c>
      <c r="AQ701">
        <v>85</v>
      </c>
      <c r="AR701">
        <v>35</v>
      </c>
      <c r="AS701">
        <v>2</v>
      </c>
      <c r="AT701">
        <v>23</v>
      </c>
      <c r="AU701">
        <v>1</v>
      </c>
      <c r="AV701">
        <v>0</v>
      </c>
      <c r="AW701">
        <v>10</v>
      </c>
      <c r="AX701">
        <v>1</v>
      </c>
      <c r="AY701">
        <v>7</v>
      </c>
      <c r="AZ701">
        <v>3</v>
      </c>
      <c r="BA701">
        <v>1</v>
      </c>
      <c r="BB701">
        <v>1440</v>
      </c>
      <c r="BC701">
        <v>0</v>
      </c>
      <c r="BD701">
        <v>0</v>
      </c>
      <c r="BE701">
        <v>14</v>
      </c>
      <c r="BF701">
        <v>25</v>
      </c>
      <c r="BG701">
        <v>3</v>
      </c>
      <c r="BH701">
        <v>8</v>
      </c>
      <c r="BI701">
        <v>3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0</v>
      </c>
      <c r="BQ701">
        <v>60</v>
      </c>
      <c r="BR701">
        <v>0</v>
      </c>
      <c r="BS701">
        <v>3</v>
      </c>
      <c r="BT701" t="s">
        <v>248</v>
      </c>
      <c r="BU701" t="s">
        <v>270</v>
      </c>
      <c r="BV701" t="b">
        <v>0</v>
      </c>
      <c r="BW701" t="s">
        <v>271</v>
      </c>
    </row>
    <row r="702" spans="1:75">
      <c r="A702" t="s">
        <v>248</v>
      </c>
      <c r="B702" t="s">
        <v>252</v>
      </c>
      <c r="C702">
        <v>584</v>
      </c>
      <c r="D702" t="s">
        <v>253</v>
      </c>
      <c r="E702" t="s">
        <v>254</v>
      </c>
      <c r="F702">
        <v>5</v>
      </c>
      <c r="G702" s="13">
        <v>46265.362395833334</v>
      </c>
      <c r="H702" s="13">
        <v>46265.362812500003</v>
      </c>
      <c r="I702">
        <v>36</v>
      </c>
      <c r="J702" t="s">
        <v>255</v>
      </c>
      <c r="K702">
        <v>1</v>
      </c>
      <c r="L702">
        <v>0.04</v>
      </c>
      <c r="M702">
        <v>0.04</v>
      </c>
      <c r="N702">
        <v>1</v>
      </c>
      <c r="O702">
        <v>0.04</v>
      </c>
      <c r="P702">
        <v>3.44</v>
      </c>
      <c r="Q702">
        <v>4.72</v>
      </c>
      <c r="R702">
        <v>4.6399999999999997</v>
      </c>
      <c r="S702" t="s">
        <v>256</v>
      </c>
      <c r="T702" t="s">
        <v>257</v>
      </c>
      <c r="U702">
        <v>11</v>
      </c>
      <c r="V702">
        <v>7250.5</v>
      </c>
      <c r="W702">
        <v>4999.3599999999997</v>
      </c>
      <c r="X702">
        <v>4996.5600000000004</v>
      </c>
      <c r="Y702">
        <v>0</v>
      </c>
      <c r="Z702">
        <v>0</v>
      </c>
      <c r="AA702">
        <v>35</v>
      </c>
      <c r="AB702">
        <v>50</v>
      </c>
      <c r="AC702">
        <v>5000</v>
      </c>
      <c r="AD702">
        <v>0</v>
      </c>
      <c r="AE702">
        <v>0</v>
      </c>
      <c r="AF702">
        <v>7254.46</v>
      </c>
      <c r="AG702">
        <v>7254.46</v>
      </c>
      <c r="AH702" s="14">
        <v>46265</v>
      </c>
      <c r="AI702" t="s">
        <v>269</v>
      </c>
      <c r="AJ702" s="13">
        <v>46265.054768518516</v>
      </c>
      <c r="AK702">
        <v>7052.98</v>
      </c>
      <c r="AL702" t="s">
        <v>259</v>
      </c>
      <c r="AM702" t="s">
        <v>260</v>
      </c>
      <c r="AN702">
        <v>1400</v>
      </c>
      <c r="AO702">
        <v>0</v>
      </c>
      <c r="AP702">
        <v>35</v>
      </c>
      <c r="AQ702">
        <v>85</v>
      </c>
      <c r="AR702">
        <v>35</v>
      </c>
      <c r="AS702">
        <v>2</v>
      </c>
      <c r="AT702">
        <v>23</v>
      </c>
      <c r="AU702">
        <v>1</v>
      </c>
      <c r="AV702">
        <v>0</v>
      </c>
      <c r="AW702">
        <v>10</v>
      </c>
      <c r="AX702">
        <v>1</v>
      </c>
      <c r="AY702">
        <v>7</v>
      </c>
      <c r="AZ702">
        <v>3</v>
      </c>
      <c r="BA702">
        <v>1</v>
      </c>
      <c r="BB702">
        <v>1440</v>
      </c>
      <c r="BC702">
        <v>0</v>
      </c>
      <c r="BD702">
        <v>0</v>
      </c>
      <c r="BE702">
        <v>14</v>
      </c>
      <c r="BF702">
        <v>25</v>
      </c>
      <c r="BG702">
        <v>3</v>
      </c>
      <c r="BH702">
        <v>8</v>
      </c>
      <c r="BI702">
        <v>3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0</v>
      </c>
      <c r="BQ702">
        <v>60</v>
      </c>
      <c r="BR702">
        <v>0</v>
      </c>
      <c r="BS702">
        <v>3</v>
      </c>
      <c r="BT702" t="s">
        <v>248</v>
      </c>
      <c r="BU702" t="s">
        <v>270</v>
      </c>
      <c r="BV702" t="b">
        <v>0</v>
      </c>
      <c r="BW702" t="s">
        <v>271</v>
      </c>
    </row>
    <row r="703" spans="1:75">
      <c r="A703" t="s">
        <v>248</v>
      </c>
      <c r="B703" t="s">
        <v>252</v>
      </c>
      <c r="C703">
        <v>585</v>
      </c>
      <c r="D703" t="s">
        <v>253</v>
      </c>
      <c r="E703" t="s">
        <v>254</v>
      </c>
      <c r="F703">
        <v>5</v>
      </c>
      <c r="G703" s="13">
        <v>46265.366342592592</v>
      </c>
      <c r="H703" s="13">
        <v>46265.366446759261</v>
      </c>
      <c r="I703">
        <v>9</v>
      </c>
      <c r="J703" t="s">
        <v>255</v>
      </c>
      <c r="K703">
        <v>1</v>
      </c>
      <c r="L703">
        <v>0.04</v>
      </c>
      <c r="M703">
        <v>0.04</v>
      </c>
      <c r="N703">
        <v>1</v>
      </c>
      <c r="O703">
        <v>0.04</v>
      </c>
      <c r="P703">
        <v>2.2400000000000002</v>
      </c>
      <c r="Q703">
        <v>4.16</v>
      </c>
      <c r="R703">
        <v>4.16</v>
      </c>
      <c r="S703" t="s">
        <v>256</v>
      </c>
      <c r="T703" t="s">
        <v>257</v>
      </c>
      <c r="U703">
        <v>11</v>
      </c>
      <c r="V703">
        <v>7253.78</v>
      </c>
      <c r="W703">
        <v>4999.32</v>
      </c>
      <c r="X703">
        <v>4997.76</v>
      </c>
      <c r="Y703">
        <v>0</v>
      </c>
      <c r="Z703">
        <v>0</v>
      </c>
      <c r="AA703">
        <v>35</v>
      </c>
      <c r="AB703">
        <v>50</v>
      </c>
      <c r="AC703">
        <v>5000</v>
      </c>
      <c r="AD703">
        <v>0</v>
      </c>
      <c r="AE703">
        <v>0</v>
      </c>
      <c r="AF703">
        <v>7257.18</v>
      </c>
      <c r="AG703">
        <v>7257.18</v>
      </c>
      <c r="AH703" s="14">
        <v>46265</v>
      </c>
      <c r="AI703" t="s">
        <v>269</v>
      </c>
      <c r="AJ703" s="13">
        <v>46265.054768518516</v>
      </c>
      <c r="AK703">
        <v>7052.98</v>
      </c>
      <c r="AL703" t="s">
        <v>259</v>
      </c>
      <c r="AM703" t="s">
        <v>260</v>
      </c>
      <c r="AN703">
        <v>1400</v>
      </c>
      <c r="AO703">
        <v>0</v>
      </c>
      <c r="AP703">
        <v>35</v>
      </c>
      <c r="AQ703">
        <v>85</v>
      </c>
      <c r="AR703">
        <v>35</v>
      </c>
      <c r="AS703">
        <v>2</v>
      </c>
      <c r="AT703">
        <v>23</v>
      </c>
      <c r="AU703">
        <v>1</v>
      </c>
      <c r="AV703">
        <v>0</v>
      </c>
      <c r="AW703">
        <v>10</v>
      </c>
      <c r="AX703">
        <v>1</v>
      </c>
      <c r="AY703">
        <v>7</v>
      </c>
      <c r="AZ703">
        <v>3</v>
      </c>
      <c r="BA703">
        <v>1</v>
      </c>
      <c r="BB703">
        <v>1440</v>
      </c>
      <c r="BC703">
        <v>0</v>
      </c>
      <c r="BD703">
        <v>0</v>
      </c>
      <c r="BE703">
        <v>14</v>
      </c>
      <c r="BF703">
        <v>25</v>
      </c>
      <c r="BG703">
        <v>3</v>
      </c>
      <c r="BH703">
        <v>8</v>
      </c>
      <c r="BI703">
        <v>3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0</v>
      </c>
      <c r="BQ703">
        <v>60</v>
      </c>
      <c r="BR703">
        <v>0</v>
      </c>
      <c r="BS703">
        <v>3</v>
      </c>
      <c r="BT703" t="s">
        <v>248</v>
      </c>
      <c r="BU703" t="s">
        <v>270</v>
      </c>
      <c r="BV703" t="b">
        <v>0</v>
      </c>
      <c r="BW703" t="s">
        <v>271</v>
      </c>
    </row>
    <row r="704" spans="1:75">
      <c r="A704" t="s">
        <v>248</v>
      </c>
      <c r="B704" t="s">
        <v>252</v>
      </c>
      <c r="C704">
        <v>586</v>
      </c>
      <c r="D704" t="s">
        <v>253</v>
      </c>
      <c r="E704" t="s">
        <v>254</v>
      </c>
      <c r="F704">
        <v>5</v>
      </c>
      <c r="G704" s="13">
        <v>46265.369942129626</v>
      </c>
      <c r="H704" s="13">
        <v>46265.370046296295</v>
      </c>
      <c r="I704">
        <v>9</v>
      </c>
      <c r="J704" t="s">
        <v>255</v>
      </c>
      <c r="K704">
        <v>1</v>
      </c>
      <c r="L704">
        <v>0.04</v>
      </c>
      <c r="M704">
        <v>0.04</v>
      </c>
      <c r="N704">
        <v>1</v>
      </c>
      <c r="O704">
        <v>0.04</v>
      </c>
      <c r="P704">
        <v>0.88</v>
      </c>
      <c r="Q704">
        <v>4.8</v>
      </c>
      <c r="R704">
        <v>4.8</v>
      </c>
      <c r="S704" t="s">
        <v>256</v>
      </c>
      <c r="T704" t="s">
        <v>257</v>
      </c>
      <c r="U704">
        <v>10</v>
      </c>
      <c r="V704">
        <v>7256.54</v>
      </c>
      <c r="W704">
        <v>4999.3599999999997</v>
      </c>
      <c r="X704">
        <v>4999.12</v>
      </c>
      <c r="Y704">
        <v>0</v>
      </c>
      <c r="Z704">
        <v>0</v>
      </c>
      <c r="AA704">
        <v>35</v>
      </c>
      <c r="AB704">
        <v>50</v>
      </c>
      <c r="AC704">
        <v>5000</v>
      </c>
      <c r="AD704">
        <v>0</v>
      </c>
      <c r="AE704">
        <v>0</v>
      </c>
      <c r="AF704">
        <v>7260.46</v>
      </c>
      <c r="AG704">
        <v>7260.46</v>
      </c>
      <c r="AH704" s="14">
        <v>46265</v>
      </c>
      <c r="AI704" t="s">
        <v>269</v>
      </c>
      <c r="AJ704" s="13">
        <v>46265.054768518516</v>
      </c>
      <c r="AK704">
        <v>7052.98</v>
      </c>
      <c r="AL704" t="s">
        <v>259</v>
      </c>
      <c r="AM704" t="s">
        <v>260</v>
      </c>
      <c r="AN704">
        <v>1400</v>
      </c>
      <c r="AO704">
        <v>0</v>
      </c>
      <c r="AP704">
        <v>35</v>
      </c>
      <c r="AQ704">
        <v>85</v>
      </c>
      <c r="AR704">
        <v>35</v>
      </c>
      <c r="AS704">
        <v>2</v>
      </c>
      <c r="AT704">
        <v>23</v>
      </c>
      <c r="AU704">
        <v>1</v>
      </c>
      <c r="AV704">
        <v>0</v>
      </c>
      <c r="AW704">
        <v>10</v>
      </c>
      <c r="AX704">
        <v>1</v>
      </c>
      <c r="AY704">
        <v>7</v>
      </c>
      <c r="AZ704">
        <v>3</v>
      </c>
      <c r="BA704">
        <v>1</v>
      </c>
      <c r="BB704">
        <v>1440</v>
      </c>
      <c r="BC704">
        <v>0</v>
      </c>
      <c r="BD704">
        <v>0</v>
      </c>
      <c r="BE704">
        <v>14</v>
      </c>
      <c r="BF704">
        <v>25</v>
      </c>
      <c r="BG704">
        <v>3</v>
      </c>
      <c r="BH704">
        <v>8</v>
      </c>
      <c r="BI704">
        <v>3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0</v>
      </c>
      <c r="BQ704">
        <v>60</v>
      </c>
      <c r="BR704">
        <v>0</v>
      </c>
      <c r="BS704">
        <v>3</v>
      </c>
      <c r="BT704" t="s">
        <v>248</v>
      </c>
      <c r="BU704" t="s">
        <v>270</v>
      </c>
      <c r="BV704" t="b">
        <v>0</v>
      </c>
      <c r="BW704" t="s">
        <v>271</v>
      </c>
    </row>
    <row r="705" spans="1:75">
      <c r="A705" t="s">
        <v>248</v>
      </c>
      <c r="B705" t="s">
        <v>252</v>
      </c>
      <c r="C705">
        <v>587</v>
      </c>
      <c r="D705" t="s">
        <v>253</v>
      </c>
      <c r="E705" t="s">
        <v>254</v>
      </c>
      <c r="F705">
        <v>5</v>
      </c>
      <c r="G705" s="13">
        <v>46265.372673611113</v>
      </c>
      <c r="H705" s="13">
        <v>46265.372986111113</v>
      </c>
      <c r="I705">
        <v>27</v>
      </c>
      <c r="J705" t="s">
        <v>255</v>
      </c>
      <c r="K705">
        <v>1</v>
      </c>
      <c r="L705">
        <v>0.04</v>
      </c>
      <c r="M705">
        <v>0.04</v>
      </c>
      <c r="N705">
        <v>1</v>
      </c>
      <c r="O705">
        <v>0.04</v>
      </c>
      <c r="P705">
        <v>2.2400000000000002</v>
      </c>
      <c r="Q705">
        <v>3.4</v>
      </c>
      <c r="R705">
        <v>2.84</v>
      </c>
      <c r="S705" t="s">
        <v>256</v>
      </c>
      <c r="T705" t="s">
        <v>257</v>
      </c>
      <c r="U705">
        <v>10</v>
      </c>
      <c r="V705">
        <v>7259.78</v>
      </c>
      <c r="W705">
        <v>4999.32</v>
      </c>
      <c r="X705">
        <v>4997.76</v>
      </c>
      <c r="Y705">
        <v>0</v>
      </c>
      <c r="Z705">
        <v>0</v>
      </c>
      <c r="AA705">
        <v>35</v>
      </c>
      <c r="AB705">
        <v>50</v>
      </c>
      <c r="AC705">
        <v>5000</v>
      </c>
      <c r="AD705">
        <v>0</v>
      </c>
      <c r="AE705">
        <v>0</v>
      </c>
      <c r="AF705">
        <v>7262.46</v>
      </c>
      <c r="AG705">
        <v>7262.46</v>
      </c>
      <c r="AH705" s="14">
        <v>46265</v>
      </c>
      <c r="AI705" t="s">
        <v>269</v>
      </c>
      <c r="AJ705" s="13">
        <v>46265.054768518516</v>
      </c>
      <c r="AK705">
        <v>7052.98</v>
      </c>
      <c r="AL705" t="s">
        <v>259</v>
      </c>
      <c r="AM705" t="s">
        <v>260</v>
      </c>
      <c r="AN705">
        <v>1400</v>
      </c>
      <c r="AO705">
        <v>0</v>
      </c>
      <c r="AP705">
        <v>35</v>
      </c>
      <c r="AQ705">
        <v>85</v>
      </c>
      <c r="AR705">
        <v>35</v>
      </c>
      <c r="AS705">
        <v>2</v>
      </c>
      <c r="AT705">
        <v>23</v>
      </c>
      <c r="AU705">
        <v>1</v>
      </c>
      <c r="AV705">
        <v>0</v>
      </c>
      <c r="AW705">
        <v>10</v>
      </c>
      <c r="AX705">
        <v>1</v>
      </c>
      <c r="AY705">
        <v>7</v>
      </c>
      <c r="AZ705">
        <v>3</v>
      </c>
      <c r="BA705">
        <v>1</v>
      </c>
      <c r="BB705">
        <v>1440</v>
      </c>
      <c r="BC705">
        <v>0</v>
      </c>
      <c r="BD705">
        <v>0</v>
      </c>
      <c r="BE705">
        <v>14</v>
      </c>
      <c r="BF705">
        <v>25</v>
      </c>
      <c r="BG705">
        <v>3</v>
      </c>
      <c r="BH705">
        <v>8</v>
      </c>
      <c r="BI705">
        <v>3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0</v>
      </c>
      <c r="BQ705">
        <v>60</v>
      </c>
      <c r="BR705">
        <v>0</v>
      </c>
      <c r="BS705">
        <v>3</v>
      </c>
      <c r="BT705" t="s">
        <v>248</v>
      </c>
      <c r="BU705" t="s">
        <v>270</v>
      </c>
      <c r="BV705" t="b">
        <v>0</v>
      </c>
      <c r="BW705" t="s">
        <v>271</v>
      </c>
    </row>
    <row r="706" spans="1:75">
      <c r="A706" t="s">
        <v>248</v>
      </c>
      <c r="B706" t="s">
        <v>252</v>
      </c>
      <c r="C706">
        <v>588</v>
      </c>
      <c r="D706" t="s">
        <v>253</v>
      </c>
      <c r="E706" t="s">
        <v>254</v>
      </c>
      <c r="F706">
        <v>5</v>
      </c>
      <c r="G706" s="13">
        <v>46265.375173611108</v>
      </c>
      <c r="H706" s="13">
        <v>46265.375613425924</v>
      </c>
      <c r="I706">
        <v>38</v>
      </c>
      <c r="J706" t="s">
        <v>264</v>
      </c>
      <c r="K706">
        <v>1</v>
      </c>
      <c r="L706">
        <v>0.04</v>
      </c>
      <c r="M706">
        <v>0.04</v>
      </c>
      <c r="N706">
        <v>1</v>
      </c>
      <c r="O706">
        <v>0.04</v>
      </c>
      <c r="P706">
        <v>1.44</v>
      </c>
      <c r="Q706">
        <v>3.68</v>
      </c>
      <c r="R706">
        <v>3.28</v>
      </c>
      <c r="S706" t="s">
        <v>256</v>
      </c>
      <c r="T706" t="s">
        <v>257</v>
      </c>
      <c r="U706">
        <v>10</v>
      </c>
      <c r="V706">
        <v>7261.82</v>
      </c>
      <c r="W706">
        <v>4999.3599999999997</v>
      </c>
      <c r="X706">
        <v>4998.5600000000004</v>
      </c>
      <c r="Y706">
        <v>0</v>
      </c>
      <c r="Z706">
        <v>0</v>
      </c>
      <c r="AA706">
        <v>35</v>
      </c>
      <c r="AB706">
        <v>50</v>
      </c>
      <c r="AC706">
        <v>5000</v>
      </c>
      <c r="AD706">
        <v>0</v>
      </c>
      <c r="AE706">
        <v>0</v>
      </c>
      <c r="AF706">
        <v>7264.74</v>
      </c>
      <c r="AG706">
        <v>7264.74</v>
      </c>
      <c r="AH706" s="14">
        <v>46265</v>
      </c>
      <c r="AI706" t="s">
        <v>269</v>
      </c>
      <c r="AJ706" s="13">
        <v>46265.054768518516</v>
      </c>
      <c r="AK706">
        <v>7052.98</v>
      </c>
      <c r="AL706" t="s">
        <v>259</v>
      </c>
      <c r="AM706" t="s">
        <v>260</v>
      </c>
      <c r="AN706">
        <v>1400</v>
      </c>
      <c r="AO706">
        <v>0</v>
      </c>
      <c r="AP706">
        <v>35</v>
      </c>
      <c r="AQ706">
        <v>85</v>
      </c>
      <c r="AR706">
        <v>35</v>
      </c>
      <c r="AS706">
        <v>2</v>
      </c>
      <c r="AT706">
        <v>23</v>
      </c>
      <c r="AU706">
        <v>1</v>
      </c>
      <c r="AV706">
        <v>0</v>
      </c>
      <c r="AW706">
        <v>10</v>
      </c>
      <c r="AX706">
        <v>1</v>
      </c>
      <c r="AY706">
        <v>7</v>
      </c>
      <c r="AZ706">
        <v>3</v>
      </c>
      <c r="BA706">
        <v>1</v>
      </c>
      <c r="BB706">
        <v>1440</v>
      </c>
      <c r="BC706">
        <v>0</v>
      </c>
      <c r="BD706">
        <v>0</v>
      </c>
      <c r="BE706">
        <v>14</v>
      </c>
      <c r="BF706">
        <v>25</v>
      </c>
      <c r="BG706">
        <v>3</v>
      </c>
      <c r="BH706">
        <v>8</v>
      </c>
      <c r="BI706">
        <v>3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0</v>
      </c>
      <c r="BQ706">
        <v>60</v>
      </c>
      <c r="BR706">
        <v>0</v>
      </c>
      <c r="BS706">
        <v>3</v>
      </c>
      <c r="BT706" t="s">
        <v>248</v>
      </c>
      <c r="BU706" t="s">
        <v>270</v>
      </c>
      <c r="BV706" t="b">
        <v>0</v>
      </c>
      <c r="BW706" t="s">
        <v>271</v>
      </c>
    </row>
    <row r="707" spans="1:75">
      <c r="A707" t="s">
        <v>248</v>
      </c>
      <c r="B707" t="s">
        <v>252</v>
      </c>
      <c r="C707">
        <v>589</v>
      </c>
      <c r="D707" t="s">
        <v>253</v>
      </c>
      <c r="E707" t="s">
        <v>254</v>
      </c>
      <c r="F707">
        <v>5</v>
      </c>
      <c r="G707" s="13">
        <v>46265.380324074074</v>
      </c>
      <c r="H707" s="13">
        <v>46265.396238425928</v>
      </c>
      <c r="I707">
        <v>1375</v>
      </c>
      <c r="J707" t="s">
        <v>264</v>
      </c>
      <c r="K707">
        <v>4</v>
      </c>
      <c r="L707">
        <v>0.16</v>
      </c>
      <c r="M707">
        <v>0.04</v>
      </c>
      <c r="N707">
        <v>4</v>
      </c>
      <c r="O707">
        <v>0.16</v>
      </c>
      <c r="P707">
        <v>46.6</v>
      </c>
      <c r="Q707">
        <v>8.56</v>
      </c>
      <c r="R707">
        <v>4.04</v>
      </c>
      <c r="S707" t="s">
        <v>263</v>
      </c>
      <c r="T707" t="s">
        <v>257</v>
      </c>
      <c r="U707">
        <v>10</v>
      </c>
      <c r="V707">
        <v>7264.1</v>
      </c>
      <c r="W707">
        <v>4999.3599999999997</v>
      </c>
      <c r="X707">
        <v>4953.3999999999996</v>
      </c>
      <c r="Y707">
        <v>0</v>
      </c>
      <c r="Z707">
        <v>0</v>
      </c>
      <c r="AA707">
        <v>35</v>
      </c>
      <c r="AB707">
        <v>50</v>
      </c>
      <c r="AC707">
        <v>5000</v>
      </c>
      <c r="AD707">
        <v>0</v>
      </c>
      <c r="AE707">
        <v>0</v>
      </c>
      <c r="AF707">
        <v>7268.54</v>
      </c>
      <c r="AG707">
        <v>7268.54</v>
      </c>
      <c r="AH707" s="14">
        <v>46265</v>
      </c>
      <c r="AI707" t="s">
        <v>269</v>
      </c>
      <c r="AJ707" s="13">
        <v>46265.054768518516</v>
      </c>
      <c r="AK707">
        <v>7052.98</v>
      </c>
      <c r="AL707" t="s">
        <v>259</v>
      </c>
      <c r="AM707" t="s">
        <v>260</v>
      </c>
      <c r="AN707">
        <v>1400</v>
      </c>
      <c r="AO707">
        <v>0</v>
      </c>
      <c r="AP707">
        <v>35</v>
      </c>
      <c r="AQ707">
        <v>85</v>
      </c>
      <c r="AR707">
        <v>35</v>
      </c>
      <c r="AS707">
        <v>2</v>
      </c>
      <c r="AT707">
        <v>23</v>
      </c>
      <c r="AU707">
        <v>1</v>
      </c>
      <c r="AV707">
        <v>0</v>
      </c>
      <c r="AW707">
        <v>10</v>
      </c>
      <c r="AX707">
        <v>1</v>
      </c>
      <c r="AY707">
        <v>7</v>
      </c>
      <c r="AZ707">
        <v>3</v>
      </c>
      <c r="BA707">
        <v>1</v>
      </c>
      <c r="BB707">
        <v>1440</v>
      </c>
      <c r="BC707">
        <v>0</v>
      </c>
      <c r="BD707">
        <v>0</v>
      </c>
      <c r="BE707">
        <v>14</v>
      </c>
      <c r="BF707">
        <v>25</v>
      </c>
      <c r="BG707">
        <v>3</v>
      </c>
      <c r="BH707">
        <v>8</v>
      </c>
      <c r="BI707">
        <v>3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0</v>
      </c>
      <c r="BQ707">
        <v>60</v>
      </c>
      <c r="BR707">
        <v>0</v>
      </c>
      <c r="BS707">
        <v>3</v>
      </c>
      <c r="BT707" t="s">
        <v>248</v>
      </c>
      <c r="BU707" t="s">
        <v>270</v>
      </c>
      <c r="BV707" t="b">
        <v>0</v>
      </c>
      <c r="BW707" t="s">
        <v>271</v>
      </c>
    </row>
    <row r="708" spans="1:75">
      <c r="A708" t="s">
        <v>248</v>
      </c>
      <c r="B708" t="s">
        <v>252</v>
      </c>
      <c r="C708">
        <v>590</v>
      </c>
      <c r="D708" t="s">
        <v>253</v>
      </c>
      <c r="E708" t="s">
        <v>254</v>
      </c>
      <c r="F708">
        <v>5</v>
      </c>
      <c r="G708" s="13">
        <v>46265.40116898148</v>
      </c>
      <c r="H708" s="13">
        <v>46265.402314814812</v>
      </c>
      <c r="I708">
        <v>99</v>
      </c>
      <c r="J708" t="s">
        <v>255</v>
      </c>
      <c r="K708">
        <v>1</v>
      </c>
      <c r="L708">
        <v>0.04</v>
      </c>
      <c r="M708">
        <v>0.04</v>
      </c>
      <c r="N708">
        <v>1</v>
      </c>
      <c r="O708">
        <v>0.04</v>
      </c>
      <c r="P708">
        <v>3.68</v>
      </c>
      <c r="Q708">
        <v>9.84</v>
      </c>
      <c r="R708">
        <v>8.36</v>
      </c>
      <c r="S708" t="s">
        <v>256</v>
      </c>
      <c r="T708" t="s">
        <v>257</v>
      </c>
      <c r="U708">
        <v>11</v>
      </c>
      <c r="V708">
        <v>7267.86</v>
      </c>
      <c r="W708">
        <v>4999.32</v>
      </c>
      <c r="X708">
        <v>4996.32</v>
      </c>
      <c r="Y708">
        <v>0</v>
      </c>
      <c r="Z708">
        <v>0</v>
      </c>
      <c r="AA708">
        <v>35</v>
      </c>
      <c r="AB708">
        <v>50</v>
      </c>
      <c r="AC708">
        <v>5000</v>
      </c>
      <c r="AD708">
        <v>0</v>
      </c>
      <c r="AE708">
        <v>0</v>
      </c>
      <c r="AF708">
        <v>7276.98</v>
      </c>
      <c r="AG708">
        <v>7276.98</v>
      </c>
      <c r="AH708" s="14">
        <v>46265</v>
      </c>
      <c r="AI708" t="s">
        <v>269</v>
      </c>
      <c r="AJ708" s="13">
        <v>46265.054768518516</v>
      </c>
      <c r="AK708">
        <v>7052.98</v>
      </c>
      <c r="AL708" t="s">
        <v>259</v>
      </c>
      <c r="AM708" t="s">
        <v>260</v>
      </c>
      <c r="AN708">
        <v>1400</v>
      </c>
      <c r="AO708">
        <v>0</v>
      </c>
      <c r="AP708">
        <v>35</v>
      </c>
      <c r="AQ708">
        <v>85</v>
      </c>
      <c r="AR708">
        <v>35</v>
      </c>
      <c r="AS708">
        <v>2</v>
      </c>
      <c r="AT708">
        <v>23</v>
      </c>
      <c r="AU708">
        <v>1</v>
      </c>
      <c r="AV708">
        <v>0</v>
      </c>
      <c r="AW708">
        <v>10</v>
      </c>
      <c r="AX708">
        <v>1</v>
      </c>
      <c r="AY708">
        <v>7</v>
      </c>
      <c r="AZ708">
        <v>3</v>
      </c>
      <c r="BA708">
        <v>1</v>
      </c>
      <c r="BB708">
        <v>1440</v>
      </c>
      <c r="BC708">
        <v>0</v>
      </c>
      <c r="BD708">
        <v>0</v>
      </c>
      <c r="BE708">
        <v>14</v>
      </c>
      <c r="BF708">
        <v>25</v>
      </c>
      <c r="BG708">
        <v>3</v>
      </c>
      <c r="BH708">
        <v>8</v>
      </c>
      <c r="BI708">
        <v>3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0</v>
      </c>
      <c r="BQ708">
        <v>60</v>
      </c>
      <c r="BR708">
        <v>0</v>
      </c>
      <c r="BS708">
        <v>3</v>
      </c>
      <c r="BT708" t="s">
        <v>248</v>
      </c>
      <c r="BU708" t="s">
        <v>270</v>
      </c>
      <c r="BV708" t="b">
        <v>0</v>
      </c>
      <c r="BW708" t="s">
        <v>271</v>
      </c>
    </row>
    <row r="709" spans="1:75">
      <c r="A709" t="s">
        <v>248</v>
      </c>
      <c r="B709" t="s">
        <v>252</v>
      </c>
      <c r="C709">
        <v>591</v>
      </c>
      <c r="D709" t="s">
        <v>253</v>
      </c>
      <c r="E709" t="s">
        <v>254</v>
      </c>
      <c r="F709">
        <v>5</v>
      </c>
      <c r="G709" s="13">
        <v>46265.407604166663</v>
      </c>
      <c r="H709" s="13">
        <v>46265.431817129633</v>
      </c>
      <c r="I709">
        <v>2092</v>
      </c>
      <c r="J709" t="s">
        <v>255</v>
      </c>
      <c r="K709">
        <v>3</v>
      </c>
      <c r="L709">
        <v>0.12</v>
      </c>
      <c r="M709">
        <v>0.04</v>
      </c>
      <c r="N709">
        <v>3</v>
      </c>
      <c r="O709">
        <v>0.12</v>
      </c>
      <c r="P709">
        <v>51.6</v>
      </c>
      <c r="Q709">
        <v>11.04</v>
      </c>
      <c r="R709">
        <v>8.0399999999999991</v>
      </c>
      <c r="S709" t="s">
        <v>263</v>
      </c>
      <c r="T709" t="s">
        <v>257</v>
      </c>
      <c r="U709">
        <v>10</v>
      </c>
      <c r="V709">
        <v>7276.34</v>
      </c>
      <c r="W709">
        <v>4999.3599999999997</v>
      </c>
      <c r="X709">
        <v>4948.3999999999996</v>
      </c>
      <c r="Y709">
        <v>0</v>
      </c>
      <c r="Z709">
        <v>0</v>
      </c>
      <c r="AA709">
        <v>35</v>
      </c>
      <c r="AB709">
        <v>50</v>
      </c>
      <c r="AC709">
        <v>5000</v>
      </c>
      <c r="AD709">
        <v>0</v>
      </c>
      <c r="AE709">
        <v>0</v>
      </c>
      <c r="AF709">
        <v>7284.9</v>
      </c>
      <c r="AG709">
        <v>7284.9</v>
      </c>
      <c r="AH709" s="14">
        <v>46265</v>
      </c>
      <c r="AI709" t="s">
        <v>269</v>
      </c>
      <c r="AJ709" s="13">
        <v>46265.054768518516</v>
      </c>
      <c r="AK709">
        <v>7052.98</v>
      </c>
      <c r="AL709" t="s">
        <v>259</v>
      </c>
      <c r="AM709" t="s">
        <v>260</v>
      </c>
      <c r="AN709">
        <v>1400</v>
      </c>
      <c r="AO709">
        <v>0</v>
      </c>
      <c r="AP709">
        <v>35</v>
      </c>
      <c r="AQ709">
        <v>85</v>
      </c>
      <c r="AR709">
        <v>35</v>
      </c>
      <c r="AS709">
        <v>2</v>
      </c>
      <c r="AT709">
        <v>23</v>
      </c>
      <c r="AU709">
        <v>1</v>
      </c>
      <c r="AV709">
        <v>0</v>
      </c>
      <c r="AW709">
        <v>10</v>
      </c>
      <c r="AX709">
        <v>1</v>
      </c>
      <c r="AY709">
        <v>7</v>
      </c>
      <c r="AZ709">
        <v>3</v>
      </c>
      <c r="BA709">
        <v>1</v>
      </c>
      <c r="BB709">
        <v>1440</v>
      </c>
      <c r="BC709">
        <v>0</v>
      </c>
      <c r="BD709">
        <v>0</v>
      </c>
      <c r="BE709">
        <v>14</v>
      </c>
      <c r="BF709">
        <v>25</v>
      </c>
      <c r="BG709">
        <v>3</v>
      </c>
      <c r="BH709">
        <v>8</v>
      </c>
      <c r="BI709">
        <v>3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0</v>
      </c>
      <c r="BQ709">
        <v>60</v>
      </c>
      <c r="BR709">
        <v>0</v>
      </c>
      <c r="BS709">
        <v>3</v>
      </c>
      <c r="BT709" t="s">
        <v>248</v>
      </c>
      <c r="BU709" t="s">
        <v>270</v>
      </c>
      <c r="BV709" t="b">
        <v>0</v>
      </c>
      <c r="BW709" t="s">
        <v>271</v>
      </c>
    </row>
    <row r="710" spans="1:75">
      <c r="A710" t="s">
        <v>248</v>
      </c>
      <c r="B710" t="s">
        <v>252</v>
      </c>
      <c r="C710">
        <v>592</v>
      </c>
      <c r="D710" t="s">
        <v>253</v>
      </c>
      <c r="E710" t="s">
        <v>254</v>
      </c>
      <c r="F710">
        <v>5</v>
      </c>
      <c r="G710" s="13">
        <v>46265.431863425925</v>
      </c>
      <c r="H710" s="13">
        <v>46265.43209490741</v>
      </c>
      <c r="I710">
        <v>20</v>
      </c>
      <c r="J710" t="s">
        <v>255</v>
      </c>
      <c r="K710">
        <v>1</v>
      </c>
      <c r="L710">
        <v>0.04</v>
      </c>
      <c r="M710">
        <v>0.04</v>
      </c>
      <c r="N710">
        <v>1</v>
      </c>
      <c r="O710">
        <v>0.04</v>
      </c>
      <c r="P710">
        <v>0.68</v>
      </c>
      <c r="Q710">
        <v>7.36</v>
      </c>
      <c r="R710">
        <v>6.44</v>
      </c>
      <c r="S710" t="s">
        <v>256</v>
      </c>
      <c r="T710" t="s">
        <v>257</v>
      </c>
      <c r="U710">
        <v>11</v>
      </c>
      <c r="V710">
        <v>7284.26</v>
      </c>
      <c r="W710">
        <v>4999.3599999999997</v>
      </c>
      <c r="X710">
        <v>4999.32</v>
      </c>
      <c r="Y710">
        <v>0</v>
      </c>
      <c r="Z710">
        <v>0</v>
      </c>
      <c r="AA710">
        <v>35</v>
      </c>
      <c r="AB710">
        <v>50</v>
      </c>
      <c r="AC710">
        <v>5000</v>
      </c>
      <c r="AD710">
        <v>0</v>
      </c>
      <c r="AE710">
        <v>0</v>
      </c>
      <c r="AF710">
        <v>7290.86</v>
      </c>
      <c r="AG710">
        <v>7290.86</v>
      </c>
      <c r="AH710" s="14">
        <v>46265</v>
      </c>
      <c r="AI710" t="s">
        <v>269</v>
      </c>
      <c r="AJ710" s="13">
        <v>46265.054768518516</v>
      </c>
      <c r="AK710">
        <v>7052.98</v>
      </c>
      <c r="AL710" t="s">
        <v>259</v>
      </c>
      <c r="AM710" t="s">
        <v>260</v>
      </c>
      <c r="AN710">
        <v>1400</v>
      </c>
      <c r="AO710">
        <v>0</v>
      </c>
      <c r="AP710">
        <v>35</v>
      </c>
      <c r="AQ710">
        <v>85</v>
      </c>
      <c r="AR710">
        <v>35</v>
      </c>
      <c r="AS710">
        <v>2</v>
      </c>
      <c r="AT710">
        <v>23</v>
      </c>
      <c r="AU710">
        <v>1</v>
      </c>
      <c r="AV710">
        <v>0</v>
      </c>
      <c r="AW710">
        <v>10</v>
      </c>
      <c r="AX710">
        <v>1</v>
      </c>
      <c r="AY710">
        <v>7</v>
      </c>
      <c r="AZ710">
        <v>3</v>
      </c>
      <c r="BA710">
        <v>1</v>
      </c>
      <c r="BB710">
        <v>1440</v>
      </c>
      <c r="BC710">
        <v>0</v>
      </c>
      <c r="BD710">
        <v>0</v>
      </c>
      <c r="BE710">
        <v>14</v>
      </c>
      <c r="BF710">
        <v>25</v>
      </c>
      <c r="BG710">
        <v>3</v>
      </c>
      <c r="BH710">
        <v>8</v>
      </c>
      <c r="BI710">
        <v>3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0</v>
      </c>
      <c r="BQ710">
        <v>60</v>
      </c>
      <c r="BR710">
        <v>0</v>
      </c>
      <c r="BS710">
        <v>3</v>
      </c>
      <c r="BT710" t="s">
        <v>248</v>
      </c>
      <c r="BU710" t="s">
        <v>270</v>
      </c>
      <c r="BV710" t="b">
        <v>0</v>
      </c>
      <c r="BW710" t="s">
        <v>271</v>
      </c>
    </row>
    <row r="711" spans="1:75">
      <c r="A711" t="s">
        <v>248</v>
      </c>
      <c r="B711" t="s">
        <v>252</v>
      </c>
      <c r="C711">
        <v>593</v>
      </c>
      <c r="D711" t="s">
        <v>253</v>
      </c>
      <c r="E711" t="s">
        <v>254</v>
      </c>
      <c r="F711">
        <v>5</v>
      </c>
      <c r="G711" s="13">
        <v>46265.435613425929</v>
      </c>
      <c r="H711" s="13">
        <v>46265.448611111111</v>
      </c>
      <c r="I711">
        <v>1123</v>
      </c>
      <c r="J711" t="s">
        <v>255</v>
      </c>
      <c r="K711">
        <v>2</v>
      </c>
      <c r="L711">
        <v>0.08</v>
      </c>
      <c r="M711">
        <v>0.04</v>
      </c>
      <c r="N711">
        <v>2</v>
      </c>
      <c r="O711">
        <v>0.08</v>
      </c>
      <c r="P711">
        <v>25.72</v>
      </c>
      <c r="Q711">
        <v>9.48</v>
      </c>
      <c r="R711">
        <v>6.44</v>
      </c>
      <c r="S711" t="s">
        <v>263</v>
      </c>
      <c r="T711" t="s">
        <v>257</v>
      </c>
      <c r="U711">
        <v>10</v>
      </c>
      <c r="V711">
        <v>7290.22</v>
      </c>
      <c r="W711">
        <v>4999.3599999999997</v>
      </c>
      <c r="X711">
        <v>4974.28</v>
      </c>
      <c r="Y711">
        <v>0</v>
      </c>
      <c r="Z711">
        <v>0</v>
      </c>
      <c r="AA711">
        <v>35</v>
      </c>
      <c r="AB711">
        <v>50</v>
      </c>
      <c r="AC711">
        <v>5000</v>
      </c>
      <c r="AD711">
        <v>0</v>
      </c>
      <c r="AE711">
        <v>0</v>
      </c>
      <c r="AF711">
        <v>7296.62</v>
      </c>
      <c r="AG711">
        <v>7296.62</v>
      </c>
      <c r="AH711" s="14">
        <v>46265</v>
      </c>
      <c r="AI711" t="s">
        <v>269</v>
      </c>
      <c r="AJ711" s="13">
        <v>46265.054768518516</v>
      </c>
      <c r="AK711">
        <v>7052.98</v>
      </c>
      <c r="AL711" t="s">
        <v>259</v>
      </c>
      <c r="AM711" t="s">
        <v>260</v>
      </c>
      <c r="AN711">
        <v>1400</v>
      </c>
      <c r="AO711">
        <v>0</v>
      </c>
      <c r="AP711">
        <v>35</v>
      </c>
      <c r="AQ711">
        <v>85</v>
      </c>
      <c r="AR711">
        <v>35</v>
      </c>
      <c r="AS711">
        <v>2</v>
      </c>
      <c r="AT711">
        <v>23</v>
      </c>
      <c r="AU711">
        <v>1</v>
      </c>
      <c r="AV711">
        <v>0</v>
      </c>
      <c r="AW711">
        <v>10</v>
      </c>
      <c r="AX711">
        <v>1</v>
      </c>
      <c r="AY711">
        <v>7</v>
      </c>
      <c r="AZ711">
        <v>3</v>
      </c>
      <c r="BA711">
        <v>1</v>
      </c>
      <c r="BB711">
        <v>1440</v>
      </c>
      <c r="BC711">
        <v>0</v>
      </c>
      <c r="BD711">
        <v>0</v>
      </c>
      <c r="BE711">
        <v>14</v>
      </c>
      <c r="BF711">
        <v>25</v>
      </c>
      <c r="BG711">
        <v>3</v>
      </c>
      <c r="BH711">
        <v>8</v>
      </c>
      <c r="BI711">
        <v>3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0</v>
      </c>
      <c r="BQ711">
        <v>60</v>
      </c>
      <c r="BR711">
        <v>0</v>
      </c>
      <c r="BS711">
        <v>3</v>
      </c>
      <c r="BT711" t="s">
        <v>248</v>
      </c>
      <c r="BU711" t="s">
        <v>270</v>
      </c>
      <c r="BV711" t="b">
        <v>0</v>
      </c>
      <c r="BW711" t="s">
        <v>271</v>
      </c>
    </row>
    <row r="712" spans="1:75">
      <c r="A712" t="s">
        <v>248</v>
      </c>
      <c r="B712" t="s">
        <v>252</v>
      </c>
      <c r="C712">
        <v>594</v>
      </c>
      <c r="D712" t="s">
        <v>253</v>
      </c>
      <c r="E712" t="s">
        <v>254</v>
      </c>
      <c r="F712">
        <v>5</v>
      </c>
      <c r="G712" s="13">
        <v>46265.450937499998</v>
      </c>
      <c r="H712" s="13">
        <v>46265.452118055553</v>
      </c>
      <c r="I712">
        <v>102</v>
      </c>
      <c r="J712" t="s">
        <v>264</v>
      </c>
      <c r="K712">
        <v>1</v>
      </c>
      <c r="L712">
        <v>0.04</v>
      </c>
      <c r="M712">
        <v>0.04</v>
      </c>
      <c r="N712">
        <v>1</v>
      </c>
      <c r="O712">
        <v>0.04</v>
      </c>
      <c r="P712">
        <v>3.88</v>
      </c>
      <c r="Q712">
        <v>6.96</v>
      </c>
      <c r="R712">
        <v>5.96</v>
      </c>
      <c r="S712" t="s">
        <v>256</v>
      </c>
      <c r="T712" t="s">
        <v>257</v>
      </c>
      <c r="U712">
        <v>10</v>
      </c>
      <c r="V712">
        <v>7295.98</v>
      </c>
      <c r="W712">
        <v>4999.3599999999997</v>
      </c>
      <c r="X712">
        <v>4996.12</v>
      </c>
      <c r="Y712">
        <v>0</v>
      </c>
      <c r="Z712">
        <v>0</v>
      </c>
      <c r="AA712">
        <v>35</v>
      </c>
      <c r="AB712">
        <v>50</v>
      </c>
      <c r="AC712">
        <v>5000</v>
      </c>
      <c r="AD712">
        <v>0</v>
      </c>
      <c r="AE712">
        <v>0</v>
      </c>
      <c r="AF712">
        <v>7302.18</v>
      </c>
      <c r="AG712">
        <v>7302.18</v>
      </c>
      <c r="AH712" s="14">
        <v>46265</v>
      </c>
      <c r="AI712" t="s">
        <v>269</v>
      </c>
      <c r="AJ712" s="13">
        <v>46265.054768518516</v>
      </c>
      <c r="AK712">
        <v>7052.98</v>
      </c>
      <c r="AL712" t="s">
        <v>259</v>
      </c>
      <c r="AM712" t="s">
        <v>260</v>
      </c>
      <c r="AN712">
        <v>1400</v>
      </c>
      <c r="AO712">
        <v>0</v>
      </c>
      <c r="AP712">
        <v>35</v>
      </c>
      <c r="AQ712">
        <v>85</v>
      </c>
      <c r="AR712">
        <v>35</v>
      </c>
      <c r="AS712">
        <v>2</v>
      </c>
      <c r="AT712">
        <v>23</v>
      </c>
      <c r="AU712">
        <v>1</v>
      </c>
      <c r="AV712">
        <v>0</v>
      </c>
      <c r="AW712">
        <v>10</v>
      </c>
      <c r="AX712">
        <v>1</v>
      </c>
      <c r="AY712">
        <v>7</v>
      </c>
      <c r="AZ712">
        <v>3</v>
      </c>
      <c r="BA712">
        <v>1</v>
      </c>
      <c r="BB712">
        <v>1440</v>
      </c>
      <c r="BC712">
        <v>0</v>
      </c>
      <c r="BD712">
        <v>0</v>
      </c>
      <c r="BE712">
        <v>14</v>
      </c>
      <c r="BF712">
        <v>25</v>
      </c>
      <c r="BG712">
        <v>3</v>
      </c>
      <c r="BH712">
        <v>8</v>
      </c>
      <c r="BI712">
        <v>3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0</v>
      </c>
      <c r="BQ712">
        <v>60</v>
      </c>
      <c r="BR712">
        <v>0</v>
      </c>
      <c r="BS712">
        <v>3</v>
      </c>
      <c r="BT712" t="s">
        <v>248</v>
      </c>
      <c r="BU712" t="s">
        <v>270</v>
      </c>
      <c r="BV712" t="b">
        <v>0</v>
      </c>
      <c r="BW712" t="s">
        <v>271</v>
      </c>
    </row>
    <row r="713" spans="1:75">
      <c r="A713" t="s">
        <v>248</v>
      </c>
      <c r="B713" t="s">
        <v>252</v>
      </c>
      <c r="C713">
        <v>595</v>
      </c>
      <c r="D713" t="s">
        <v>253</v>
      </c>
      <c r="E713" t="s">
        <v>254</v>
      </c>
      <c r="F713">
        <v>5</v>
      </c>
      <c r="G713" s="13">
        <v>46265.457569444443</v>
      </c>
      <c r="H713" s="13">
        <v>46265.465266203704</v>
      </c>
      <c r="I713">
        <v>665</v>
      </c>
      <c r="J713" t="s">
        <v>264</v>
      </c>
      <c r="K713">
        <v>2</v>
      </c>
      <c r="L713">
        <v>0.08</v>
      </c>
      <c r="M713">
        <v>0.04</v>
      </c>
      <c r="N713">
        <v>2</v>
      </c>
      <c r="O713">
        <v>0.08</v>
      </c>
      <c r="P713">
        <v>33.479999999999997</v>
      </c>
      <c r="Q713">
        <v>9.16</v>
      </c>
      <c r="R713">
        <v>2.52</v>
      </c>
      <c r="S713" t="s">
        <v>263</v>
      </c>
      <c r="T713" t="s">
        <v>257</v>
      </c>
      <c r="U713">
        <v>11</v>
      </c>
      <c r="V713">
        <v>7301.54</v>
      </c>
      <c r="W713">
        <v>4999.3599999999997</v>
      </c>
      <c r="X713">
        <v>4966.5200000000004</v>
      </c>
      <c r="Y713">
        <v>0</v>
      </c>
      <c r="Z713">
        <v>0</v>
      </c>
      <c r="AA713">
        <v>35</v>
      </c>
      <c r="AB713">
        <v>50</v>
      </c>
      <c r="AC713">
        <v>5000</v>
      </c>
      <c r="AD713">
        <v>0</v>
      </c>
      <c r="AE713">
        <v>0</v>
      </c>
      <c r="AF713">
        <v>7304.54</v>
      </c>
      <c r="AG713">
        <v>7304.54</v>
      </c>
      <c r="AH713" s="14">
        <v>46265</v>
      </c>
      <c r="AI713" t="s">
        <v>269</v>
      </c>
      <c r="AJ713" s="13">
        <v>46265.054768518516</v>
      </c>
      <c r="AK713">
        <v>7052.98</v>
      </c>
      <c r="AL713" t="s">
        <v>259</v>
      </c>
      <c r="AM713" t="s">
        <v>260</v>
      </c>
      <c r="AN713">
        <v>1400</v>
      </c>
      <c r="AO713">
        <v>0</v>
      </c>
      <c r="AP713">
        <v>35</v>
      </c>
      <c r="AQ713">
        <v>85</v>
      </c>
      <c r="AR713">
        <v>35</v>
      </c>
      <c r="AS713">
        <v>2</v>
      </c>
      <c r="AT713">
        <v>23</v>
      </c>
      <c r="AU713">
        <v>1</v>
      </c>
      <c r="AV713">
        <v>0</v>
      </c>
      <c r="AW713">
        <v>10</v>
      </c>
      <c r="AX713">
        <v>1</v>
      </c>
      <c r="AY713">
        <v>7</v>
      </c>
      <c r="AZ713">
        <v>3</v>
      </c>
      <c r="BA713">
        <v>1</v>
      </c>
      <c r="BB713">
        <v>1440</v>
      </c>
      <c r="BC713">
        <v>0</v>
      </c>
      <c r="BD713">
        <v>0</v>
      </c>
      <c r="BE713">
        <v>14</v>
      </c>
      <c r="BF713">
        <v>25</v>
      </c>
      <c r="BG713">
        <v>3</v>
      </c>
      <c r="BH713">
        <v>8</v>
      </c>
      <c r="BI713">
        <v>3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0</v>
      </c>
      <c r="BQ713">
        <v>60</v>
      </c>
      <c r="BR713">
        <v>0</v>
      </c>
      <c r="BS713">
        <v>3</v>
      </c>
      <c r="BT713" t="s">
        <v>248</v>
      </c>
      <c r="BU713" t="s">
        <v>270</v>
      </c>
      <c r="BV713" t="b">
        <v>0</v>
      </c>
      <c r="BW713" t="s">
        <v>271</v>
      </c>
    </row>
    <row r="714" spans="1:75">
      <c r="A714" t="s">
        <v>248</v>
      </c>
      <c r="B714" t="s">
        <v>252</v>
      </c>
      <c r="C714">
        <v>596</v>
      </c>
      <c r="D714" t="s">
        <v>253</v>
      </c>
      <c r="E714" t="s">
        <v>254</v>
      </c>
      <c r="F714">
        <v>5</v>
      </c>
      <c r="G714" s="13">
        <v>46265.467094907406</v>
      </c>
      <c r="H714" s="13">
        <v>46265.468472222223</v>
      </c>
      <c r="I714">
        <v>119</v>
      </c>
      <c r="J714" t="s">
        <v>264</v>
      </c>
      <c r="K714">
        <v>1</v>
      </c>
      <c r="L714">
        <v>0.04</v>
      </c>
      <c r="M714">
        <v>0.04</v>
      </c>
      <c r="N714">
        <v>1</v>
      </c>
      <c r="O714">
        <v>0.04</v>
      </c>
      <c r="P714">
        <v>2.4</v>
      </c>
      <c r="Q714">
        <v>8.8000000000000007</v>
      </c>
      <c r="R714">
        <v>8.24</v>
      </c>
      <c r="S714" t="s">
        <v>256</v>
      </c>
      <c r="T714" t="s">
        <v>257</v>
      </c>
      <c r="U714">
        <v>11</v>
      </c>
      <c r="V714">
        <v>7303.9</v>
      </c>
      <c r="W714">
        <v>4999.3599999999997</v>
      </c>
      <c r="X714">
        <v>4997.6000000000004</v>
      </c>
      <c r="Y714">
        <v>0</v>
      </c>
      <c r="Z714">
        <v>0</v>
      </c>
      <c r="AA714">
        <v>35</v>
      </c>
      <c r="AB714">
        <v>50</v>
      </c>
      <c r="AC714">
        <v>5000</v>
      </c>
      <c r="AD714">
        <v>0</v>
      </c>
      <c r="AE714">
        <v>0</v>
      </c>
      <c r="AF714">
        <v>7311.9</v>
      </c>
      <c r="AG714">
        <v>7311.9</v>
      </c>
      <c r="AH714" s="14">
        <v>46265</v>
      </c>
      <c r="AI714" t="s">
        <v>269</v>
      </c>
      <c r="AJ714" s="13">
        <v>46265.054768518516</v>
      </c>
      <c r="AK714">
        <v>7052.98</v>
      </c>
      <c r="AL714" t="s">
        <v>259</v>
      </c>
      <c r="AM714" t="s">
        <v>260</v>
      </c>
      <c r="AN714">
        <v>1400</v>
      </c>
      <c r="AO714">
        <v>0</v>
      </c>
      <c r="AP714">
        <v>35</v>
      </c>
      <c r="AQ714">
        <v>85</v>
      </c>
      <c r="AR714">
        <v>35</v>
      </c>
      <c r="AS714">
        <v>2</v>
      </c>
      <c r="AT714">
        <v>23</v>
      </c>
      <c r="AU714">
        <v>1</v>
      </c>
      <c r="AV714">
        <v>0</v>
      </c>
      <c r="AW714">
        <v>10</v>
      </c>
      <c r="AX714">
        <v>1</v>
      </c>
      <c r="AY714">
        <v>7</v>
      </c>
      <c r="AZ714">
        <v>3</v>
      </c>
      <c r="BA714">
        <v>1</v>
      </c>
      <c r="BB714">
        <v>1440</v>
      </c>
      <c r="BC714">
        <v>0</v>
      </c>
      <c r="BD714">
        <v>0</v>
      </c>
      <c r="BE714">
        <v>14</v>
      </c>
      <c r="BF714">
        <v>25</v>
      </c>
      <c r="BG714">
        <v>3</v>
      </c>
      <c r="BH714">
        <v>8</v>
      </c>
      <c r="BI714">
        <v>3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0</v>
      </c>
      <c r="BQ714">
        <v>60</v>
      </c>
      <c r="BR714">
        <v>0</v>
      </c>
      <c r="BS714">
        <v>3</v>
      </c>
      <c r="BT714" t="s">
        <v>248</v>
      </c>
      <c r="BU714" t="s">
        <v>270</v>
      </c>
      <c r="BV714" t="b">
        <v>0</v>
      </c>
      <c r="BW714" t="s">
        <v>271</v>
      </c>
    </row>
    <row r="715" spans="1:75">
      <c r="A715" t="s">
        <v>248</v>
      </c>
      <c r="B715" t="s">
        <v>252</v>
      </c>
      <c r="C715">
        <v>597</v>
      </c>
      <c r="D715" t="s">
        <v>253</v>
      </c>
      <c r="E715" t="s">
        <v>254</v>
      </c>
      <c r="F715">
        <v>5</v>
      </c>
      <c r="G715" s="13">
        <v>46265.470185185186</v>
      </c>
      <c r="H715" s="13">
        <v>46265.476840277777</v>
      </c>
      <c r="I715">
        <v>575</v>
      </c>
      <c r="J715" t="s">
        <v>255</v>
      </c>
      <c r="K715">
        <v>1</v>
      </c>
      <c r="L715">
        <v>0.04</v>
      </c>
      <c r="M715">
        <v>0.04</v>
      </c>
      <c r="N715">
        <v>1</v>
      </c>
      <c r="O715">
        <v>0.04</v>
      </c>
      <c r="P715">
        <v>9.2799999999999994</v>
      </c>
      <c r="Q715">
        <v>3.56</v>
      </c>
      <c r="R715">
        <v>3.56</v>
      </c>
      <c r="S715" t="s">
        <v>256</v>
      </c>
      <c r="T715" t="s">
        <v>257</v>
      </c>
      <c r="U715">
        <v>11</v>
      </c>
      <c r="V715">
        <v>7311.26</v>
      </c>
      <c r="W715">
        <v>4999.3599999999997</v>
      </c>
      <c r="X715">
        <v>4990.72</v>
      </c>
      <c r="Y715">
        <v>0</v>
      </c>
      <c r="Z715">
        <v>0</v>
      </c>
      <c r="AA715">
        <v>35</v>
      </c>
      <c r="AB715">
        <v>50</v>
      </c>
      <c r="AC715">
        <v>5000</v>
      </c>
      <c r="AD715">
        <v>0</v>
      </c>
      <c r="AE715">
        <v>0</v>
      </c>
      <c r="AF715">
        <v>7313.98</v>
      </c>
      <c r="AG715">
        <v>7313.98</v>
      </c>
      <c r="AH715" s="14">
        <v>46265</v>
      </c>
      <c r="AI715" t="s">
        <v>269</v>
      </c>
      <c r="AJ715" s="13">
        <v>46265.054768518516</v>
      </c>
      <c r="AK715">
        <v>7052.98</v>
      </c>
      <c r="AL715" t="s">
        <v>259</v>
      </c>
      <c r="AM715" t="s">
        <v>260</v>
      </c>
      <c r="AN715">
        <v>1400</v>
      </c>
      <c r="AO715">
        <v>0</v>
      </c>
      <c r="AP715">
        <v>35</v>
      </c>
      <c r="AQ715">
        <v>85</v>
      </c>
      <c r="AR715">
        <v>35</v>
      </c>
      <c r="AS715">
        <v>2</v>
      </c>
      <c r="AT715">
        <v>23</v>
      </c>
      <c r="AU715">
        <v>1</v>
      </c>
      <c r="AV715">
        <v>0</v>
      </c>
      <c r="AW715">
        <v>10</v>
      </c>
      <c r="AX715">
        <v>1</v>
      </c>
      <c r="AY715">
        <v>7</v>
      </c>
      <c r="AZ715">
        <v>3</v>
      </c>
      <c r="BA715">
        <v>1</v>
      </c>
      <c r="BB715">
        <v>1440</v>
      </c>
      <c r="BC715">
        <v>0</v>
      </c>
      <c r="BD715">
        <v>0</v>
      </c>
      <c r="BE715">
        <v>14</v>
      </c>
      <c r="BF715">
        <v>25</v>
      </c>
      <c r="BG715">
        <v>3</v>
      </c>
      <c r="BH715">
        <v>8</v>
      </c>
      <c r="BI715">
        <v>3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0</v>
      </c>
      <c r="BQ715">
        <v>60</v>
      </c>
      <c r="BR715">
        <v>0</v>
      </c>
      <c r="BS715">
        <v>3</v>
      </c>
      <c r="BT715" t="s">
        <v>248</v>
      </c>
      <c r="BU715" t="s">
        <v>270</v>
      </c>
      <c r="BV715" t="b">
        <v>0</v>
      </c>
      <c r="BW715" t="s">
        <v>271</v>
      </c>
    </row>
    <row r="716" spans="1:75">
      <c r="A716" t="s">
        <v>248</v>
      </c>
      <c r="B716" t="s">
        <v>252</v>
      </c>
      <c r="C716">
        <v>598</v>
      </c>
      <c r="D716" t="s">
        <v>253</v>
      </c>
      <c r="E716" t="s">
        <v>254</v>
      </c>
      <c r="F716">
        <v>5</v>
      </c>
      <c r="G716" s="13">
        <v>46265.478425925925</v>
      </c>
      <c r="H716" s="13">
        <v>46265.509456018517</v>
      </c>
      <c r="I716">
        <v>2681</v>
      </c>
      <c r="J716" t="s">
        <v>255</v>
      </c>
      <c r="K716">
        <v>2</v>
      </c>
      <c r="L716">
        <v>0.08</v>
      </c>
      <c r="M716">
        <v>0.04</v>
      </c>
      <c r="N716">
        <v>2</v>
      </c>
      <c r="O716">
        <v>0.08</v>
      </c>
      <c r="P716">
        <v>29.36</v>
      </c>
      <c r="Q716">
        <v>20.76</v>
      </c>
      <c r="R716">
        <v>16.600000000000001</v>
      </c>
      <c r="S716" t="s">
        <v>263</v>
      </c>
      <c r="T716" t="s">
        <v>257</v>
      </c>
      <c r="U716">
        <v>11</v>
      </c>
      <c r="V716">
        <v>7313.34</v>
      </c>
      <c r="W716">
        <v>4999.3599999999997</v>
      </c>
      <c r="X716">
        <v>4970.6400000000003</v>
      </c>
      <c r="Y716">
        <v>0</v>
      </c>
      <c r="Z716">
        <v>0</v>
      </c>
      <c r="AA716">
        <v>35</v>
      </c>
      <c r="AB716">
        <v>50</v>
      </c>
      <c r="AC716">
        <v>5000</v>
      </c>
      <c r="AD716">
        <v>0</v>
      </c>
      <c r="AE716">
        <v>0</v>
      </c>
      <c r="AF716">
        <v>7330.74</v>
      </c>
      <c r="AG716">
        <v>7330.74</v>
      </c>
      <c r="AH716" s="14">
        <v>46265</v>
      </c>
      <c r="AI716" t="s">
        <v>269</v>
      </c>
      <c r="AJ716" s="13">
        <v>46265.054768518516</v>
      </c>
      <c r="AK716">
        <v>7052.98</v>
      </c>
      <c r="AL716" t="s">
        <v>259</v>
      </c>
      <c r="AM716" t="s">
        <v>260</v>
      </c>
      <c r="AN716">
        <v>1400</v>
      </c>
      <c r="AO716">
        <v>0</v>
      </c>
      <c r="AP716">
        <v>35</v>
      </c>
      <c r="AQ716">
        <v>85</v>
      </c>
      <c r="AR716">
        <v>35</v>
      </c>
      <c r="AS716">
        <v>2</v>
      </c>
      <c r="AT716">
        <v>23</v>
      </c>
      <c r="AU716">
        <v>1</v>
      </c>
      <c r="AV716">
        <v>0</v>
      </c>
      <c r="AW716">
        <v>10</v>
      </c>
      <c r="AX716">
        <v>1</v>
      </c>
      <c r="AY716">
        <v>7</v>
      </c>
      <c r="AZ716">
        <v>3</v>
      </c>
      <c r="BA716">
        <v>1</v>
      </c>
      <c r="BB716">
        <v>1440</v>
      </c>
      <c r="BC716">
        <v>0</v>
      </c>
      <c r="BD716">
        <v>0</v>
      </c>
      <c r="BE716">
        <v>14</v>
      </c>
      <c r="BF716">
        <v>25</v>
      </c>
      <c r="BG716">
        <v>3</v>
      </c>
      <c r="BH716">
        <v>8</v>
      </c>
      <c r="BI716">
        <v>3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0</v>
      </c>
      <c r="BQ716">
        <v>60</v>
      </c>
      <c r="BR716">
        <v>0</v>
      </c>
      <c r="BS716">
        <v>3</v>
      </c>
      <c r="BT716" t="s">
        <v>248</v>
      </c>
      <c r="BU716" t="s">
        <v>270</v>
      </c>
      <c r="BV716" t="b">
        <v>0</v>
      </c>
      <c r="BW716" t="s">
        <v>271</v>
      </c>
    </row>
    <row r="717" spans="1:75">
      <c r="A717" t="s">
        <v>248</v>
      </c>
      <c r="B717" t="s">
        <v>252</v>
      </c>
      <c r="C717">
        <v>599</v>
      </c>
      <c r="D717" t="s">
        <v>253</v>
      </c>
      <c r="E717" t="s">
        <v>254</v>
      </c>
      <c r="F717">
        <v>5</v>
      </c>
      <c r="G717" s="13">
        <v>46265.522870370369</v>
      </c>
      <c r="H717" s="13">
        <v>46265.523819444446</v>
      </c>
      <c r="I717">
        <v>82</v>
      </c>
      <c r="J717" t="s">
        <v>255</v>
      </c>
      <c r="K717">
        <v>1</v>
      </c>
      <c r="L717">
        <v>0.04</v>
      </c>
      <c r="M717">
        <v>0.04</v>
      </c>
      <c r="N717">
        <v>1</v>
      </c>
      <c r="O717">
        <v>0.04</v>
      </c>
      <c r="P717">
        <v>6.44</v>
      </c>
      <c r="Q717">
        <v>4.08</v>
      </c>
      <c r="R717">
        <v>4</v>
      </c>
      <c r="S717" t="s">
        <v>256</v>
      </c>
      <c r="T717" t="s">
        <v>257</v>
      </c>
      <c r="U717">
        <v>10</v>
      </c>
      <c r="V717">
        <v>7330.06</v>
      </c>
      <c r="W717">
        <v>4999.32</v>
      </c>
      <c r="X717">
        <v>4993.5600000000004</v>
      </c>
      <c r="Y717">
        <v>0</v>
      </c>
      <c r="Z717">
        <v>0</v>
      </c>
      <c r="AA717">
        <v>35</v>
      </c>
      <c r="AB717">
        <v>50</v>
      </c>
      <c r="AC717">
        <v>5000</v>
      </c>
      <c r="AD717">
        <v>0</v>
      </c>
      <c r="AE717">
        <v>0</v>
      </c>
      <c r="AF717">
        <v>7333.42</v>
      </c>
      <c r="AG717">
        <v>7333.42</v>
      </c>
      <c r="AH717" s="14">
        <v>46265</v>
      </c>
      <c r="AI717" t="s">
        <v>269</v>
      </c>
      <c r="AJ717" s="13">
        <v>46265.054768518516</v>
      </c>
      <c r="AK717">
        <v>7052.98</v>
      </c>
      <c r="AL717" t="s">
        <v>259</v>
      </c>
      <c r="AM717" t="s">
        <v>260</v>
      </c>
      <c r="AN717">
        <v>1400</v>
      </c>
      <c r="AO717">
        <v>0</v>
      </c>
      <c r="AP717">
        <v>35</v>
      </c>
      <c r="AQ717">
        <v>85</v>
      </c>
      <c r="AR717">
        <v>35</v>
      </c>
      <c r="AS717">
        <v>2</v>
      </c>
      <c r="AT717">
        <v>23</v>
      </c>
      <c r="AU717">
        <v>1</v>
      </c>
      <c r="AV717">
        <v>0</v>
      </c>
      <c r="AW717">
        <v>10</v>
      </c>
      <c r="AX717">
        <v>1</v>
      </c>
      <c r="AY717">
        <v>7</v>
      </c>
      <c r="AZ717">
        <v>3</v>
      </c>
      <c r="BA717">
        <v>1</v>
      </c>
      <c r="BB717">
        <v>1440</v>
      </c>
      <c r="BC717">
        <v>0</v>
      </c>
      <c r="BD717">
        <v>0</v>
      </c>
      <c r="BE717">
        <v>14</v>
      </c>
      <c r="BF717">
        <v>25</v>
      </c>
      <c r="BG717">
        <v>3</v>
      </c>
      <c r="BH717">
        <v>8</v>
      </c>
      <c r="BI717">
        <v>3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0</v>
      </c>
      <c r="BQ717">
        <v>60</v>
      </c>
      <c r="BR717">
        <v>0</v>
      </c>
      <c r="BS717">
        <v>3</v>
      </c>
      <c r="BT717" t="s">
        <v>248</v>
      </c>
      <c r="BU717" t="s">
        <v>270</v>
      </c>
      <c r="BV717" t="b">
        <v>0</v>
      </c>
      <c r="BW717" t="s">
        <v>271</v>
      </c>
    </row>
    <row r="718" spans="1:75">
      <c r="A718" t="s">
        <v>248</v>
      </c>
      <c r="B718" t="s">
        <v>252</v>
      </c>
      <c r="C718">
        <v>600</v>
      </c>
      <c r="D718" t="s">
        <v>253</v>
      </c>
      <c r="E718" t="s">
        <v>254</v>
      </c>
      <c r="F718">
        <v>5</v>
      </c>
      <c r="G718" s="13">
        <v>46265.546122685184</v>
      </c>
      <c r="H718" s="13">
        <v>46265.546990740739</v>
      </c>
      <c r="I718">
        <v>75</v>
      </c>
      <c r="J718" t="s">
        <v>255</v>
      </c>
      <c r="K718">
        <v>1</v>
      </c>
      <c r="L718">
        <v>0.04</v>
      </c>
      <c r="M718">
        <v>0.04</v>
      </c>
      <c r="N718">
        <v>1</v>
      </c>
      <c r="O718">
        <v>0.04</v>
      </c>
      <c r="P718">
        <v>6.36</v>
      </c>
      <c r="Q718">
        <v>7.56</v>
      </c>
      <c r="R718">
        <v>6.96</v>
      </c>
      <c r="S718" t="s">
        <v>256</v>
      </c>
      <c r="T718" t="s">
        <v>257</v>
      </c>
      <c r="U718">
        <v>10</v>
      </c>
      <c r="V718">
        <v>7332.78</v>
      </c>
      <c r="W718">
        <v>4999.3599999999997</v>
      </c>
      <c r="X718">
        <v>4993.6400000000003</v>
      </c>
      <c r="Y718">
        <v>0</v>
      </c>
      <c r="Z718">
        <v>0</v>
      </c>
      <c r="AA718">
        <v>35</v>
      </c>
      <c r="AB718">
        <v>50</v>
      </c>
      <c r="AC718">
        <v>5000</v>
      </c>
      <c r="AD718">
        <v>0</v>
      </c>
      <c r="AE718">
        <v>0</v>
      </c>
      <c r="AF718">
        <v>7339.58</v>
      </c>
      <c r="AG718">
        <v>7339.58</v>
      </c>
      <c r="AH718" s="14">
        <v>46265</v>
      </c>
      <c r="AI718" t="s">
        <v>269</v>
      </c>
      <c r="AJ718" s="13">
        <v>46265.054768518516</v>
      </c>
      <c r="AK718">
        <v>7052.98</v>
      </c>
      <c r="AL718" t="s">
        <v>259</v>
      </c>
      <c r="AM718" t="s">
        <v>260</v>
      </c>
      <c r="AN718">
        <v>1400</v>
      </c>
      <c r="AO718">
        <v>0</v>
      </c>
      <c r="AP718">
        <v>35</v>
      </c>
      <c r="AQ718">
        <v>85</v>
      </c>
      <c r="AR718">
        <v>35</v>
      </c>
      <c r="AS718">
        <v>2</v>
      </c>
      <c r="AT718">
        <v>23</v>
      </c>
      <c r="AU718">
        <v>1</v>
      </c>
      <c r="AV718">
        <v>0</v>
      </c>
      <c r="AW718">
        <v>10</v>
      </c>
      <c r="AX718">
        <v>1</v>
      </c>
      <c r="AY718">
        <v>7</v>
      </c>
      <c r="AZ718">
        <v>3</v>
      </c>
      <c r="BA718">
        <v>1</v>
      </c>
      <c r="BB718">
        <v>1440</v>
      </c>
      <c r="BC718">
        <v>0</v>
      </c>
      <c r="BD718">
        <v>0</v>
      </c>
      <c r="BE718">
        <v>14</v>
      </c>
      <c r="BF718">
        <v>25</v>
      </c>
      <c r="BG718">
        <v>3</v>
      </c>
      <c r="BH718">
        <v>8</v>
      </c>
      <c r="BI718">
        <v>3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0</v>
      </c>
      <c r="BQ718">
        <v>60</v>
      </c>
      <c r="BR718">
        <v>0</v>
      </c>
      <c r="BS718">
        <v>3</v>
      </c>
      <c r="BT718" t="s">
        <v>248</v>
      </c>
      <c r="BU718" t="s">
        <v>270</v>
      </c>
      <c r="BV718" t="b">
        <v>0</v>
      </c>
      <c r="BW718" t="s">
        <v>271</v>
      </c>
    </row>
    <row r="719" spans="1:75">
      <c r="A719" t="s">
        <v>248</v>
      </c>
      <c r="B719" t="s">
        <v>252</v>
      </c>
      <c r="C719">
        <v>601</v>
      </c>
      <c r="D719" t="s">
        <v>253</v>
      </c>
      <c r="E719" t="s">
        <v>254</v>
      </c>
      <c r="F719">
        <v>5</v>
      </c>
      <c r="G719" s="13">
        <v>46265.551099537035</v>
      </c>
      <c r="H719" s="13">
        <v>46265.551608796297</v>
      </c>
      <c r="I719">
        <v>44</v>
      </c>
      <c r="J719" t="s">
        <v>255</v>
      </c>
      <c r="K719">
        <v>1</v>
      </c>
      <c r="L719">
        <v>0.04</v>
      </c>
      <c r="M719">
        <v>0.04</v>
      </c>
      <c r="N719">
        <v>1</v>
      </c>
      <c r="O719">
        <v>0.04</v>
      </c>
      <c r="P719">
        <v>1.08</v>
      </c>
      <c r="Q719">
        <v>7</v>
      </c>
      <c r="R719">
        <v>7</v>
      </c>
      <c r="S719" t="s">
        <v>256</v>
      </c>
      <c r="T719" t="s">
        <v>257</v>
      </c>
      <c r="U719">
        <v>10</v>
      </c>
      <c r="V719">
        <v>7338.9</v>
      </c>
      <c r="W719">
        <v>4999.32</v>
      </c>
      <c r="X719">
        <v>4998.92</v>
      </c>
      <c r="Y719">
        <v>0</v>
      </c>
      <c r="Z719">
        <v>0</v>
      </c>
      <c r="AA719">
        <v>35</v>
      </c>
      <c r="AB719">
        <v>50</v>
      </c>
      <c r="AC719">
        <v>5000</v>
      </c>
      <c r="AD719">
        <v>0</v>
      </c>
      <c r="AE719">
        <v>0</v>
      </c>
      <c r="AF719">
        <v>7345.06</v>
      </c>
      <c r="AG719">
        <v>7345.06</v>
      </c>
      <c r="AH719" s="14">
        <v>46265</v>
      </c>
      <c r="AI719" t="s">
        <v>269</v>
      </c>
      <c r="AJ719" s="13">
        <v>46265.054768518516</v>
      </c>
      <c r="AK719">
        <v>7052.98</v>
      </c>
      <c r="AL719" t="s">
        <v>259</v>
      </c>
      <c r="AM719" t="s">
        <v>260</v>
      </c>
      <c r="AN719">
        <v>1400</v>
      </c>
      <c r="AO719">
        <v>0</v>
      </c>
      <c r="AP719">
        <v>35</v>
      </c>
      <c r="AQ719">
        <v>85</v>
      </c>
      <c r="AR719">
        <v>35</v>
      </c>
      <c r="AS719">
        <v>2</v>
      </c>
      <c r="AT719">
        <v>23</v>
      </c>
      <c r="AU719">
        <v>1</v>
      </c>
      <c r="AV719">
        <v>0</v>
      </c>
      <c r="AW719">
        <v>10</v>
      </c>
      <c r="AX719">
        <v>1</v>
      </c>
      <c r="AY719">
        <v>7</v>
      </c>
      <c r="AZ719">
        <v>3</v>
      </c>
      <c r="BA719">
        <v>1</v>
      </c>
      <c r="BB719">
        <v>1440</v>
      </c>
      <c r="BC719">
        <v>0</v>
      </c>
      <c r="BD719">
        <v>0</v>
      </c>
      <c r="BE719">
        <v>14</v>
      </c>
      <c r="BF719">
        <v>25</v>
      </c>
      <c r="BG719">
        <v>3</v>
      </c>
      <c r="BH719">
        <v>8</v>
      </c>
      <c r="BI719">
        <v>3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0</v>
      </c>
      <c r="BQ719">
        <v>60</v>
      </c>
      <c r="BR719">
        <v>0</v>
      </c>
      <c r="BS719">
        <v>3</v>
      </c>
      <c r="BT719" t="s">
        <v>248</v>
      </c>
      <c r="BU719" t="s">
        <v>270</v>
      </c>
      <c r="BV719" t="b">
        <v>0</v>
      </c>
      <c r="BW719" t="s">
        <v>271</v>
      </c>
    </row>
    <row r="720" spans="1:75">
      <c r="A720" t="s">
        <v>248</v>
      </c>
      <c r="B720" t="s">
        <v>252</v>
      </c>
      <c r="C720">
        <v>602</v>
      </c>
      <c r="D720" t="s">
        <v>253</v>
      </c>
      <c r="E720" t="s">
        <v>254</v>
      </c>
      <c r="F720">
        <v>5</v>
      </c>
      <c r="G720" s="13">
        <v>46265.553229166668</v>
      </c>
      <c r="H720" s="13">
        <v>46265.55369212963</v>
      </c>
      <c r="I720">
        <v>40</v>
      </c>
      <c r="J720" t="s">
        <v>264</v>
      </c>
      <c r="K720">
        <v>1</v>
      </c>
      <c r="L720">
        <v>0.04</v>
      </c>
      <c r="M720">
        <v>0.04</v>
      </c>
      <c r="N720">
        <v>1</v>
      </c>
      <c r="O720">
        <v>0.04</v>
      </c>
      <c r="P720">
        <v>1.24</v>
      </c>
      <c r="Q720">
        <v>7</v>
      </c>
      <c r="R720">
        <v>6</v>
      </c>
      <c r="S720" t="s">
        <v>256</v>
      </c>
      <c r="T720" t="s">
        <v>257</v>
      </c>
      <c r="U720">
        <v>10</v>
      </c>
      <c r="V720">
        <v>7344.42</v>
      </c>
      <c r="W720">
        <v>4999.3599999999997</v>
      </c>
      <c r="X720">
        <v>4998.76</v>
      </c>
      <c r="Y720">
        <v>0</v>
      </c>
      <c r="Z720">
        <v>0</v>
      </c>
      <c r="AA720">
        <v>35</v>
      </c>
      <c r="AB720">
        <v>50</v>
      </c>
      <c r="AC720">
        <v>5000</v>
      </c>
      <c r="AD720">
        <v>0</v>
      </c>
      <c r="AE720">
        <v>0</v>
      </c>
      <c r="AF720">
        <v>7350.66</v>
      </c>
      <c r="AG720">
        <v>7350.66</v>
      </c>
      <c r="AH720" s="14">
        <v>46265</v>
      </c>
      <c r="AI720" t="s">
        <v>269</v>
      </c>
      <c r="AJ720" s="13">
        <v>46265.054768518516</v>
      </c>
      <c r="AK720">
        <v>7052.98</v>
      </c>
      <c r="AL720" t="s">
        <v>259</v>
      </c>
      <c r="AM720" t="s">
        <v>260</v>
      </c>
      <c r="AN720">
        <v>1400</v>
      </c>
      <c r="AO720">
        <v>0</v>
      </c>
      <c r="AP720">
        <v>35</v>
      </c>
      <c r="AQ720">
        <v>85</v>
      </c>
      <c r="AR720">
        <v>35</v>
      </c>
      <c r="AS720">
        <v>2</v>
      </c>
      <c r="AT720">
        <v>23</v>
      </c>
      <c r="AU720">
        <v>1</v>
      </c>
      <c r="AV720">
        <v>0</v>
      </c>
      <c r="AW720">
        <v>10</v>
      </c>
      <c r="AX720">
        <v>1</v>
      </c>
      <c r="AY720">
        <v>7</v>
      </c>
      <c r="AZ720">
        <v>3</v>
      </c>
      <c r="BA720">
        <v>1</v>
      </c>
      <c r="BB720">
        <v>1440</v>
      </c>
      <c r="BC720">
        <v>0</v>
      </c>
      <c r="BD720">
        <v>0</v>
      </c>
      <c r="BE720">
        <v>14</v>
      </c>
      <c r="BF720">
        <v>25</v>
      </c>
      <c r="BG720">
        <v>3</v>
      </c>
      <c r="BH720">
        <v>8</v>
      </c>
      <c r="BI720">
        <v>3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0</v>
      </c>
      <c r="BQ720">
        <v>60</v>
      </c>
      <c r="BR720">
        <v>0</v>
      </c>
      <c r="BS720">
        <v>3</v>
      </c>
      <c r="BT720" t="s">
        <v>248</v>
      </c>
      <c r="BU720" t="s">
        <v>270</v>
      </c>
      <c r="BV720" t="b">
        <v>0</v>
      </c>
      <c r="BW720" t="s">
        <v>271</v>
      </c>
    </row>
    <row r="721" spans="1:75">
      <c r="A721" t="s">
        <v>248</v>
      </c>
      <c r="B721" t="s">
        <v>252</v>
      </c>
      <c r="C721">
        <v>603</v>
      </c>
      <c r="D721" t="s">
        <v>253</v>
      </c>
      <c r="E721" t="s">
        <v>254</v>
      </c>
      <c r="F721">
        <v>5</v>
      </c>
      <c r="G721" s="13">
        <v>46265.567835648151</v>
      </c>
      <c r="H721" s="13">
        <v>46265.576932870368</v>
      </c>
      <c r="I721">
        <v>786</v>
      </c>
      <c r="J721" t="s">
        <v>255</v>
      </c>
      <c r="K721">
        <v>1</v>
      </c>
      <c r="L721">
        <v>0.04</v>
      </c>
      <c r="M721">
        <v>0.04</v>
      </c>
      <c r="N721">
        <v>1</v>
      </c>
      <c r="O721">
        <v>0.04</v>
      </c>
      <c r="P721">
        <v>9.08</v>
      </c>
      <c r="Q721">
        <v>3.88</v>
      </c>
      <c r="R721">
        <v>2.6</v>
      </c>
      <c r="S721" t="s">
        <v>256</v>
      </c>
      <c r="T721" t="s">
        <v>257</v>
      </c>
      <c r="U721">
        <v>10</v>
      </c>
      <c r="V721">
        <v>7349.98</v>
      </c>
      <c r="W721">
        <v>4999.32</v>
      </c>
      <c r="X721">
        <v>4990.92</v>
      </c>
      <c r="Y721">
        <v>0</v>
      </c>
      <c r="Z721">
        <v>0</v>
      </c>
      <c r="AA721">
        <v>35</v>
      </c>
      <c r="AB721">
        <v>50</v>
      </c>
      <c r="AC721">
        <v>5000</v>
      </c>
      <c r="AD721">
        <v>0</v>
      </c>
      <c r="AE721">
        <v>0</v>
      </c>
      <c r="AF721">
        <v>7353.14</v>
      </c>
      <c r="AG721">
        <v>7353.14</v>
      </c>
      <c r="AH721" s="14">
        <v>46265</v>
      </c>
      <c r="AI721" t="s">
        <v>269</v>
      </c>
      <c r="AJ721" s="13">
        <v>46265.054768518516</v>
      </c>
      <c r="AK721">
        <v>7052.98</v>
      </c>
      <c r="AL721" t="s">
        <v>259</v>
      </c>
      <c r="AM721" t="s">
        <v>260</v>
      </c>
      <c r="AN721">
        <v>1400</v>
      </c>
      <c r="AO721">
        <v>0</v>
      </c>
      <c r="AP721">
        <v>35</v>
      </c>
      <c r="AQ721">
        <v>85</v>
      </c>
      <c r="AR721">
        <v>35</v>
      </c>
      <c r="AS721">
        <v>2</v>
      </c>
      <c r="AT721">
        <v>23</v>
      </c>
      <c r="AU721">
        <v>1</v>
      </c>
      <c r="AV721">
        <v>0</v>
      </c>
      <c r="AW721">
        <v>10</v>
      </c>
      <c r="AX721">
        <v>1</v>
      </c>
      <c r="AY721">
        <v>7</v>
      </c>
      <c r="AZ721">
        <v>3</v>
      </c>
      <c r="BA721">
        <v>1</v>
      </c>
      <c r="BB721">
        <v>1440</v>
      </c>
      <c r="BC721">
        <v>0</v>
      </c>
      <c r="BD721">
        <v>0</v>
      </c>
      <c r="BE721">
        <v>14</v>
      </c>
      <c r="BF721">
        <v>25</v>
      </c>
      <c r="BG721">
        <v>3</v>
      </c>
      <c r="BH721">
        <v>8</v>
      </c>
      <c r="BI721">
        <v>3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0</v>
      </c>
      <c r="BQ721">
        <v>60</v>
      </c>
      <c r="BR721">
        <v>0</v>
      </c>
      <c r="BS721">
        <v>3</v>
      </c>
      <c r="BT721" t="s">
        <v>248</v>
      </c>
      <c r="BU721" t="s">
        <v>270</v>
      </c>
      <c r="BV721" t="b">
        <v>0</v>
      </c>
      <c r="BW721" t="s">
        <v>271</v>
      </c>
    </row>
    <row r="722" spans="1:75">
      <c r="A722" t="s">
        <v>248</v>
      </c>
      <c r="B722" t="s">
        <v>252</v>
      </c>
      <c r="C722">
        <v>604</v>
      </c>
      <c r="D722" t="s">
        <v>253</v>
      </c>
      <c r="E722" t="s">
        <v>254</v>
      </c>
      <c r="F722">
        <v>5</v>
      </c>
      <c r="G722" s="13">
        <v>46265.577789351853</v>
      </c>
      <c r="H722" s="13">
        <v>46265.578206018516</v>
      </c>
      <c r="I722">
        <v>36</v>
      </c>
      <c r="J722" t="s">
        <v>255</v>
      </c>
      <c r="K722">
        <v>1</v>
      </c>
      <c r="L722">
        <v>0.04</v>
      </c>
      <c r="M722">
        <v>0.04</v>
      </c>
      <c r="N722">
        <v>1</v>
      </c>
      <c r="O722">
        <v>0.04</v>
      </c>
      <c r="P722">
        <v>0.68</v>
      </c>
      <c r="Q722">
        <v>4.12</v>
      </c>
      <c r="R722">
        <v>2.88</v>
      </c>
      <c r="S722" t="s">
        <v>256</v>
      </c>
      <c r="T722" t="s">
        <v>257</v>
      </c>
      <c r="U722">
        <v>11</v>
      </c>
      <c r="V722">
        <v>7352.5</v>
      </c>
      <c r="W722">
        <v>4999.3599999999997</v>
      </c>
      <c r="X722">
        <v>4999.32</v>
      </c>
      <c r="Y722">
        <v>0</v>
      </c>
      <c r="Z722">
        <v>0</v>
      </c>
      <c r="AA722">
        <v>35</v>
      </c>
      <c r="AB722">
        <v>50</v>
      </c>
      <c r="AC722">
        <v>5000</v>
      </c>
      <c r="AD722">
        <v>0</v>
      </c>
      <c r="AE722">
        <v>0</v>
      </c>
      <c r="AF722">
        <v>7355.86</v>
      </c>
      <c r="AG722">
        <v>7355.86</v>
      </c>
      <c r="AH722" s="14">
        <v>46265</v>
      </c>
      <c r="AI722" t="s">
        <v>269</v>
      </c>
      <c r="AJ722" s="13">
        <v>46265.054768518516</v>
      </c>
      <c r="AK722">
        <v>7052.98</v>
      </c>
      <c r="AL722" t="s">
        <v>259</v>
      </c>
      <c r="AM722" t="s">
        <v>260</v>
      </c>
      <c r="AN722">
        <v>1400</v>
      </c>
      <c r="AO722">
        <v>0</v>
      </c>
      <c r="AP722">
        <v>35</v>
      </c>
      <c r="AQ722">
        <v>85</v>
      </c>
      <c r="AR722">
        <v>35</v>
      </c>
      <c r="AS722">
        <v>2</v>
      </c>
      <c r="AT722">
        <v>23</v>
      </c>
      <c r="AU722">
        <v>1</v>
      </c>
      <c r="AV722">
        <v>0</v>
      </c>
      <c r="AW722">
        <v>10</v>
      </c>
      <c r="AX722">
        <v>1</v>
      </c>
      <c r="AY722">
        <v>7</v>
      </c>
      <c r="AZ722">
        <v>3</v>
      </c>
      <c r="BA722">
        <v>1</v>
      </c>
      <c r="BB722">
        <v>1440</v>
      </c>
      <c r="BC722">
        <v>0</v>
      </c>
      <c r="BD722">
        <v>0</v>
      </c>
      <c r="BE722">
        <v>14</v>
      </c>
      <c r="BF722">
        <v>25</v>
      </c>
      <c r="BG722">
        <v>3</v>
      </c>
      <c r="BH722">
        <v>8</v>
      </c>
      <c r="BI722">
        <v>3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0</v>
      </c>
      <c r="BQ722">
        <v>60</v>
      </c>
      <c r="BR722">
        <v>0</v>
      </c>
      <c r="BS722">
        <v>3</v>
      </c>
      <c r="BT722" t="s">
        <v>248</v>
      </c>
      <c r="BU722" t="s">
        <v>270</v>
      </c>
      <c r="BV722" t="b">
        <v>0</v>
      </c>
      <c r="BW722" t="s">
        <v>271</v>
      </c>
    </row>
    <row r="723" spans="1:75">
      <c r="A723" t="s">
        <v>248</v>
      </c>
      <c r="B723" t="s">
        <v>252</v>
      </c>
      <c r="C723">
        <v>605</v>
      </c>
      <c r="D723" t="s">
        <v>253</v>
      </c>
      <c r="E723" t="s">
        <v>254</v>
      </c>
      <c r="F723">
        <v>5</v>
      </c>
      <c r="G723" s="13">
        <v>46265.588877314818</v>
      </c>
      <c r="H723" s="13">
        <v>46265.598993055559</v>
      </c>
      <c r="I723">
        <v>874</v>
      </c>
      <c r="J723" t="s">
        <v>255</v>
      </c>
      <c r="K723">
        <v>2</v>
      </c>
      <c r="L723">
        <v>0.08</v>
      </c>
      <c r="M723">
        <v>0.04</v>
      </c>
      <c r="N723">
        <v>2</v>
      </c>
      <c r="O723">
        <v>0.08</v>
      </c>
      <c r="P723">
        <v>16.36</v>
      </c>
      <c r="Q723">
        <v>9.76</v>
      </c>
      <c r="R723">
        <v>5.52</v>
      </c>
      <c r="S723" t="s">
        <v>263</v>
      </c>
      <c r="T723" t="s">
        <v>257</v>
      </c>
      <c r="U723">
        <v>11</v>
      </c>
      <c r="V723">
        <v>7355.18</v>
      </c>
      <c r="W723">
        <v>4999.32</v>
      </c>
      <c r="X723">
        <v>4983.6400000000003</v>
      </c>
      <c r="Y723">
        <v>0</v>
      </c>
      <c r="Z723">
        <v>0</v>
      </c>
      <c r="AA723">
        <v>35</v>
      </c>
      <c r="AB723">
        <v>50</v>
      </c>
      <c r="AC723">
        <v>5000</v>
      </c>
      <c r="AD723">
        <v>0</v>
      </c>
      <c r="AE723">
        <v>0</v>
      </c>
      <c r="AF723">
        <v>7361.38</v>
      </c>
      <c r="AG723">
        <v>7361.38</v>
      </c>
      <c r="AH723" s="14">
        <v>46265</v>
      </c>
      <c r="AI723" t="s">
        <v>269</v>
      </c>
      <c r="AJ723" s="13">
        <v>46265.054768518516</v>
      </c>
      <c r="AK723">
        <v>7052.98</v>
      </c>
      <c r="AL723" t="s">
        <v>259</v>
      </c>
      <c r="AM723" t="s">
        <v>260</v>
      </c>
      <c r="AN723">
        <v>1400</v>
      </c>
      <c r="AO723">
        <v>0</v>
      </c>
      <c r="AP723">
        <v>35</v>
      </c>
      <c r="AQ723">
        <v>85</v>
      </c>
      <c r="AR723">
        <v>35</v>
      </c>
      <c r="AS723">
        <v>2</v>
      </c>
      <c r="AT723">
        <v>23</v>
      </c>
      <c r="AU723">
        <v>1</v>
      </c>
      <c r="AV723">
        <v>0</v>
      </c>
      <c r="AW723">
        <v>10</v>
      </c>
      <c r="AX723">
        <v>1</v>
      </c>
      <c r="AY723">
        <v>7</v>
      </c>
      <c r="AZ723">
        <v>3</v>
      </c>
      <c r="BA723">
        <v>1</v>
      </c>
      <c r="BB723">
        <v>1440</v>
      </c>
      <c r="BC723">
        <v>0</v>
      </c>
      <c r="BD723">
        <v>0</v>
      </c>
      <c r="BE723">
        <v>14</v>
      </c>
      <c r="BF723">
        <v>25</v>
      </c>
      <c r="BG723">
        <v>3</v>
      </c>
      <c r="BH723">
        <v>8</v>
      </c>
      <c r="BI723">
        <v>3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0</v>
      </c>
      <c r="BQ723">
        <v>60</v>
      </c>
      <c r="BR723">
        <v>0</v>
      </c>
      <c r="BS723">
        <v>3</v>
      </c>
      <c r="BT723" t="s">
        <v>248</v>
      </c>
      <c r="BU723" t="s">
        <v>270</v>
      </c>
      <c r="BV723" t="b">
        <v>0</v>
      </c>
      <c r="BW723" t="s">
        <v>271</v>
      </c>
    </row>
    <row r="724" spans="1:75">
      <c r="A724" t="s">
        <v>248</v>
      </c>
      <c r="B724" t="s">
        <v>252</v>
      </c>
      <c r="C724">
        <v>606</v>
      </c>
      <c r="D724" t="s">
        <v>253</v>
      </c>
      <c r="E724" t="s">
        <v>254</v>
      </c>
      <c r="F724">
        <v>5</v>
      </c>
      <c r="G724" s="13">
        <v>46265.602465277778</v>
      </c>
      <c r="H724" s="13">
        <v>46265.603472222225</v>
      </c>
      <c r="I724">
        <v>87</v>
      </c>
      <c r="J724" t="s">
        <v>255</v>
      </c>
      <c r="K724">
        <v>1</v>
      </c>
      <c r="L724">
        <v>0.04</v>
      </c>
      <c r="M724">
        <v>0.04</v>
      </c>
      <c r="N724">
        <v>1</v>
      </c>
      <c r="O724">
        <v>0.04</v>
      </c>
      <c r="P724">
        <v>5.56</v>
      </c>
      <c r="Q724">
        <v>8.48</v>
      </c>
      <c r="R724">
        <v>7.56</v>
      </c>
      <c r="S724" t="s">
        <v>256</v>
      </c>
      <c r="T724" t="s">
        <v>257</v>
      </c>
      <c r="U724">
        <v>10</v>
      </c>
      <c r="V724">
        <v>7360.26</v>
      </c>
      <c r="W724">
        <v>4998.88</v>
      </c>
      <c r="X724">
        <v>4994.4399999999996</v>
      </c>
      <c r="Y724">
        <v>0</v>
      </c>
      <c r="Z724">
        <v>0</v>
      </c>
      <c r="AA724">
        <v>35</v>
      </c>
      <c r="AB724">
        <v>50</v>
      </c>
      <c r="AC724">
        <v>5000</v>
      </c>
      <c r="AD724">
        <v>0</v>
      </c>
      <c r="AE724">
        <v>0</v>
      </c>
      <c r="AF724">
        <v>7368.46</v>
      </c>
      <c r="AG724">
        <v>7368.46</v>
      </c>
      <c r="AH724" s="14">
        <v>46265</v>
      </c>
      <c r="AI724" t="s">
        <v>269</v>
      </c>
      <c r="AJ724" s="13">
        <v>46265.054768518516</v>
      </c>
      <c r="AK724">
        <v>7052.98</v>
      </c>
      <c r="AL724" t="s">
        <v>259</v>
      </c>
      <c r="AM724" t="s">
        <v>260</v>
      </c>
      <c r="AN724">
        <v>1400</v>
      </c>
      <c r="AO724">
        <v>0</v>
      </c>
      <c r="AP724">
        <v>35</v>
      </c>
      <c r="AQ724">
        <v>85</v>
      </c>
      <c r="AR724">
        <v>35</v>
      </c>
      <c r="AS724">
        <v>2</v>
      </c>
      <c r="AT724">
        <v>23</v>
      </c>
      <c r="AU724">
        <v>1</v>
      </c>
      <c r="AV724">
        <v>0</v>
      </c>
      <c r="AW724">
        <v>10</v>
      </c>
      <c r="AX724">
        <v>1</v>
      </c>
      <c r="AY724">
        <v>7</v>
      </c>
      <c r="AZ724">
        <v>3</v>
      </c>
      <c r="BA724">
        <v>1</v>
      </c>
      <c r="BB724">
        <v>1440</v>
      </c>
      <c r="BC724">
        <v>0</v>
      </c>
      <c r="BD724">
        <v>0</v>
      </c>
      <c r="BE724">
        <v>14</v>
      </c>
      <c r="BF724">
        <v>25</v>
      </c>
      <c r="BG724">
        <v>3</v>
      </c>
      <c r="BH724">
        <v>8</v>
      </c>
      <c r="BI724">
        <v>3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0</v>
      </c>
      <c r="BQ724">
        <v>60</v>
      </c>
      <c r="BR724">
        <v>0</v>
      </c>
      <c r="BS724">
        <v>3</v>
      </c>
      <c r="BT724" t="s">
        <v>248</v>
      </c>
      <c r="BU724" t="s">
        <v>270</v>
      </c>
      <c r="BV724" t="b">
        <v>0</v>
      </c>
      <c r="BW724" t="s">
        <v>271</v>
      </c>
    </row>
    <row r="725" spans="1:75">
      <c r="A725" t="s">
        <v>248</v>
      </c>
      <c r="B725" t="s">
        <v>252</v>
      </c>
      <c r="C725">
        <v>607</v>
      </c>
      <c r="D725" t="s">
        <v>253</v>
      </c>
      <c r="E725" t="s">
        <v>254</v>
      </c>
      <c r="F725">
        <v>5</v>
      </c>
      <c r="G725" s="13">
        <v>46265.60701388889</v>
      </c>
      <c r="H725" s="13">
        <v>46265.60733796296</v>
      </c>
      <c r="I725">
        <v>28</v>
      </c>
      <c r="J725" t="s">
        <v>264</v>
      </c>
      <c r="K725">
        <v>1</v>
      </c>
      <c r="L725">
        <v>0.04</v>
      </c>
      <c r="M725">
        <v>0.04</v>
      </c>
      <c r="N725">
        <v>1</v>
      </c>
      <c r="O725">
        <v>0.04</v>
      </c>
      <c r="P725">
        <v>0.64</v>
      </c>
      <c r="Q725">
        <v>3.2</v>
      </c>
      <c r="R725">
        <v>3.2</v>
      </c>
      <c r="S725" t="s">
        <v>256</v>
      </c>
      <c r="T725" t="s">
        <v>257</v>
      </c>
      <c r="U725">
        <v>10</v>
      </c>
      <c r="V725">
        <v>7367.82</v>
      </c>
      <c r="W725">
        <v>4999.3599999999997</v>
      </c>
      <c r="X725">
        <v>4999.3599999999997</v>
      </c>
      <c r="Y725">
        <v>0</v>
      </c>
      <c r="Z725">
        <v>0</v>
      </c>
      <c r="AA725">
        <v>35</v>
      </c>
      <c r="AB725">
        <v>50</v>
      </c>
      <c r="AC725">
        <v>5000</v>
      </c>
      <c r="AD725">
        <v>0</v>
      </c>
      <c r="AE725">
        <v>0</v>
      </c>
      <c r="AF725">
        <v>7370.26</v>
      </c>
      <c r="AG725">
        <v>7370.26</v>
      </c>
      <c r="AH725" s="14">
        <v>46265</v>
      </c>
      <c r="AI725" t="s">
        <v>269</v>
      </c>
      <c r="AJ725" s="13">
        <v>46265.054768518516</v>
      </c>
      <c r="AK725">
        <v>7052.98</v>
      </c>
      <c r="AL725" t="s">
        <v>259</v>
      </c>
      <c r="AM725" t="s">
        <v>260</v>
      </c>
      <c r="AN725">
        <v>1400</v>
      </c>
      <c r="AO725">
        <v>0</v>
      </c>
      <c r="AP725">
        <v>35</v>
      </c>
      <c r="AQ725">
        <v>85</v>
      </c>
      <c r="AR725">
        <v>35</v>
      </c>
      <c r="AS725">
        <v>2</v>
      </c>
      <c r="AT725">
        <v>23</v>
      </c>
      <c r="AU725">
        <v>1</v>
      </c>
      <c r="AV725">
        <v>0</v>
      </c>
      <c r="AW725">
        <v>10</v>
      </c>
      <c r="AX725">
        <v>1</v>
      </c>
      <c r="AY725">
        <v>7</v>
      </c>
      <c r="AZ725">
        <v>3</v>
      </c>
      <c r="BA725">
        <v>1</v>
      </c>
      <c r="BB725">
        <v>1440</v>
      </c>
      <c r="BC725">
        <v>0</v>
      </c>
      <c r="BD725">
        <v>0</v>
      </c>
      <c r="BE725">
        <v>14</v>
      </c>
      <c r="BF725">
        <v>25</v>
      </c>
      <c r="BG725">
        <v>3</v>
      </c>
      <c r="BH725">
        <v>8</v>
      </c>
      <c r="BI725">
        <v>3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0</v>
      </c>
      <c r="BQ725">
        <v>60</v>
      </c>
      <c r="BR725">
        <v>0</v>
      </c>
      <c r="BS725">
        <v>3</v>
      </c>
      <c r="BT725" t="s">
        <v>248</v>
      </c>
      <c r="BU725" t="s">
        <v>270</v>
      </c>
      <c r="BV725" t="b">
        <v>0</v>
      </c>
      <c r="BW725" t="s">
        <v>271</v>
      </c>
    </row>
    <row r="726" spans="1:75">
      <c r="A726" t="s">
        <v>248</v>
      </c>
      <c r="B726" t="s">
        <v>252</v>
      </c>
      <c r="C726">
        <v>608</v>
      </c>
      <c r="D726" t="s">
        <v>253</v>
      </c>
      <c r="E726" t="s">
        <v>254</v>
      </c>
      <c r="F726">
        <v>5</v>
      </c>
      <c r="G726" s="13">
        <v>46265.610138888886</v>
      </c>
      <c r="H726" s="13">
        <v>46265.611041666663</v>
      </c>
      <c r="I726">
        <v>78</v>
      </c>
      <c r="J726" t="s">
        <v>264</v>
      </c>
      <c r="K726">
        <v>1</v>
      </c>
      <c r="L726">
        <v>0.04</v>
      </c>
      <c r="M726">
        <v>0.04</v>
      </c>
      <c r="N726">
        <v>1</v>
      </c>
      <c r="O726">
        <v>0.04</v>
      </c>
      <c r="P726">
        <v>2.64</v>
      </c>
      <c r="Q726">
        <v>5.12</v>
      </c>
      <c r="R726">
        <v>4.04</v>
      </c>
      <c r="S726" t="s">
        <v>256</v>
      </c>
      <c r="T726" t="s">
        <v>257</v>
      </c>
      <c r="U726">
        <v>10</v>
      </c>
      <c r="V726">
        <v>7369.62</v>
      </c>
      <c r="W726">
        <v>4999.3599999999997</v>
      </c>
      <c r="X726">
        <v>4997.3599999999997</v>
      </c>
      <c r="Y726">
        <v>0</v>
      </c>
      <c r="Z726">
        <v>0</v>
      </c>
      <c r="AA726">
        <v>35</v>
      </c>
      <c r="AB726">
        <v>50</v>
      </c>
      <c r="AC726">
        <v>5000</v>
      </c>
      <c r="AD726">
        <v>0</v>
      </c>
      <c r="AE726">
        <v>0</v>
      </c>
      <c r="AF726">
        <v>7373.98</v>
      </c>
      <c r="AG726">
        <v>7373.98</v>
      </c>
      <c r="AH726" s="14">
        <v>46265</v>
      </c>
      <c r="AI726" t="s">
        <v>269</v>
      </c>
      <c r="AJ726" s="13">
        <v>46265.054768518516</v>
      </c>
      <c r="AK726">
        <v>7052.98</v>
      </c>
      <c r="AL726" t="s">
        <v>259</v>
      </c>
      <c r="AM726" t="s">
        <v>260</v>
      </c>
      <c r="AN726">
        <v>1400</v>
      </c>
      <c r="AO726">
        <v>0</v>
      </c>
      <c r="AP726">
        <v>35</v>
      </c>
      <c r="AQ726">
        <v>85</v>
      </c>
      <c r="AR726">
        <v>35</v>
      </c>
      <c r="AS726">
        <v>2</v>
      </c>
      <c r="AT726">
        <v>23</v>
      </c>
      <c r="AU726">
        <v>1</v>
      </c>
      <c r="AV726">
        <v>0</v>
      </c>
      <c r="AW726">
        <v>10</v>
      </c>
      <c r="AX726">
        <v>1</v>
      </c>
      <c r="AY726">
        <v>7</v>
      </c>
      <c r="AZ726">
        <v>3</v>
      </c>
      <c r="BA726">
        <v>1</v>
      </c>
      <c r="BB726">
        <v>1440</v>
      </c>
      <c r="BC726">
        <v>0</v>
      </c>
      <c r="BD726">
        <v>0</v>
      </c>
      <c r="BE726">
        <v>14</v>
      </c>
      <c r="BF726">
        <v>25</v>
      </c>
      <c r="BG726">
        <v>3</v>
      </c>
      <c r="BH726">
        <v>8</v>
      </c>
      <c r="BI726">
        <v>3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0</v>
      </c>
      <c r="BQ726">
        <v>60</v>
      </c>
      <c r="BR726">
        <v>0</v>
      </c>
      <c r="BS726">
        <v>3</v>
      </c>
      <c r="BT726" t="s">
        <v>248</v>
      </c>
      <c r="BU726" t="s">
        <v>270</v>
      </c>
      <c r="BV726" t="b">
        <v>0</v>
      </c>
      <c r="BW726" t="s">
        <v>271</v>
      </c>
    </row>
    <row r="727" spans="1:75">
      <c r="A727" t="s">
        <v>248</v>
      </c>
      <c r="B727" t="s">
        <v>252</v>
      </c>
      <c r="C727">
        <v>609</v>
      </c>
      <c r="D727" t="s">
        <v>253</v>
      </c>
      <c r="E727" t="s">
        <v>254</v>
      </c>
      <c r="F727">
        <v>5</v>
      </c>
      <c r="G727" s="13">
        <v>46265.612453703703</v>
      </c>
      <c r="H727" s="13">
        <v>46265.612974537034</v>
      </c>
      <c r="I727">
        <v>45</v>
      </c>
      <c r="J727" t="s">
        <v>264</v>
      </c>
      <c r="K727">
        <v>1</v>
      </c>
      <c r="L727">
        <v>0.04</v>
      </c>
      <c r="M727">
        <v>0.04</v>
      </c>
      <c r="N727">
        <v>1</v>
      </c>
      <c r="O727">
        <v>0.04</v>
      </c>
      <c r="P727">
        <v>0.76</v>
      </c>
      <c r="Q727">
        <v>4.08</v>
      </c>
      <c r="R727">
        <v>3.28</v>
      </c>
      <c r="S727" t="s">
        <v>256</v>
      </c>
      <c r="T727" t="s">
        <v>257</v>
      </c>
      <c r="U727">
        <v>10</v>
      </c>
      <c r="V727">
        <v>7373.34</v>
      </c>
      <c r="W727">
        <v>4999.3599999999997</v>
      </c>
      <c r="X727">
        <v>4999.24</v>
      </c>
      <c r="Y727">
        <v>0</v>
      </c>
      <c r="Z727">
        <v>0</v>
      </c>
      <c r="AA727">
        <v>35</v>
      </c>
      <c r="AB727">
        <v>50</v>
      </c>
      <c r="AC727">
        <v>5000</v>
      </c>
      <c r="AD727">
        <v>0</v>
      </c>
      <c r="AE727">
        <v>0</v>
      </c>
      <c r="AF727">
        <v>7376.66</v>
      </c>
      <c r="AG727">
        <v>7376.66</v>
      </c>
      <c r="AH727" s="14">
        <v>46265</v>
      </c>
      <c r="AI727" t="s">
        <v>269</v>
      </c>
      <c r="AJ727" s="13">
        <v>46265.054768518516</v>
      </c>
      <c r="AK727">
        <v>7052.98</v>
      </c>
      <c r="AL727" t="s">
        <v>259</v>
      </c>
      <c r="AM727" t="s">
        <v>260</v>
      </c>
      <c r="AN727">
        <v>1400</v>
      </c>
      <c r="AO727">
        <v>0</v>
      </c>
      <c r="AP727">
        <v>35</v>
      </c>
      <c r="AQ727">
        <v>85</v>
      </c>
      <c r="AR727">
        <v>35</v>
      </c>
      <c r="AS727">
        <v>2</v>
      </c>
      <c r="AT727">
        <v>23</v>
      </c>
      <c r="AU727">
        <v>1</v>
      </c>
      <c r="AV727">
        <v>0</v>
      </c>
      <c r="AW727">
        <v>10</v>
      </c>
      <c r="AX727">
        <v>1</v>
      </c>
      <c r="AY727">
        <v>7</v>
      </c>
      <c r="AZ727">
        <v>3</v>
      </c>
      <c r="BA727">
        <v>1</v>
      </c>
      <c r="BB727">
        <v>1440</v>
      </c>
      <c r="BC727">
        <v>0</v>
      </c>
      <c r="BD727">
        <v>0</v>
      </c>
      <c r="BE727">
        <v>14</v>
      </c>
      <c r="BF727">
        <v>25</v>
      </c>
      <c r="BG727">
        <v>3</v>
      </c>
      <c r="BH727">
        <v>8</v>
      </c>
      <c r="BI727">
        <v>3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0</v>
      </c>
      <c r="BQ727">
        <v>60</v>
      </c>
      <c r="BR727">
        <v>0</v>
      </c>
      <c r="BS727">
        <v>3</v>
      </c>
      <c r="BT727" t="s">
        <v>248</v>
      </c>
      <c r="BU727" t="s">
        <v>270</v>
      </c>
      <c r="BV727" t="b">
        <v>0</v>
      </c>
      <c r="BW727" t="s">
        <v>271</v>
      </c>
    </row>
    <row r="728" spans="1:75">
      <c r="A728" t="s">
        <v>248</v>
      </c>
      <c r="B728" t="s">
        <v>252</v>
      </c>
      <c r="C728">
        <v>610</v>
      </c>
      <c r="D728" t="s">
        <v>253</v>
      </c>
      <c r="E728" t="s">
        <v>254</v>
      </c>
      <c r="F728">
        <v>5</v>
      </c>
      <c r="G728" s="13">
        <v>46265.62672453704</v>
      </c>
      <c r="H728" s="13">
        <v>46265.629861111112</v>
      </c>
      <c r="I728">
        <v>271</v>
      </c>
      <c r="J728" t="s">
        <v>255</v>
      </c>
      <c r="K728">
        <v>1</v>
      </c>
      <c r="L728">
        <v>0.04</v>
      </c>
      <c r="M728">
        <v>0.04</v>
      </c>
      <c r="N728">
        <v>1</v>
      </c>
      <c r="O728">
        <v>0.04</v>
      </c>
      <c r="P728">
        <v>7.68</v>
      </c>
      <c r="Q728">
        <v>7.24</v>
      </c>
      <c r="R728">
        <v>6.76</v>
      </c>
      <c r="S728" t="s">
        <v>256</v>
      </c>
      <c r="T728" t="s">
        <v>257</v>
      </c>
      <c r="U728">
        <v>10</v>
      </c>
      <c r="V728">
        <v>7376.02</v>
      </c>
      <c r="W728">
        <v>4999.3599999999997</v>
      </c>
      <c r="X728">
        <v>4992.32</v>
      </c>
      <c r="Y728">
        <v>0</v>
      </c>
      <c r="Z728">
        <v>0</v>
      </c>
      <c r="AA728">
        <v>35</v>
      </c>
      <c r="AB728">
        <v>50</v>
      </c>
      <c r="AC728">
        <v>5000</v>
      </c>
      <c r="AD728">
        <v>0</v>
      </c>
      <c r="AE728">
        <v>0</v>
      </c>
      <c r="AF728">
        <v>7382.5</v>
      </c>
      <c r="AG728">
        <v>7382.5</v>
      </c>
      <c r="AH728" s="14">
        <v>46265</v>
      </c>
      <c r="AI728" t="s">
        <v>269</v>
      </c>
      <c r="AJ728" s="13">
        <v>46265.054768518516</v>
      </c>
      <c r="AK728">
        <v>7052.98</v>
      </c>
      <c r="AL728" t="s">
        <v>259</v>
      </c>
      <c r="AM728" t="s">
        <v>260</v>
      </c>
      <c r="AN728">
        <v>1400</v>
      </c>
      <c r="AO728">
        <v>0</v>
      </c>
      <c r="AP728">
        <v>35</v>
      </c>
      <c r="AQ728">
        <v>85</v>
      </c>
      <c r="AR728">
        <v>35</v>
      </c>
      <c r="AS728">
        <v>2</v>
      </c>
      <c r="AT728">
        <v>23</v>
      </c>
      <c r="AU728">
        <v>1</v>
      </c>
      <c r="AV728">
        <v>0</v>
      </c>
      <c r="AW728">
        <v>10</v>
      </c>
      <c r="AX728">
        <v>1</v>
      </c>
      <c r="AY728">
        <v>7</v>
      </c>
      <c r="AZ728">
        <v>3</v>
      </c>
      <c r="BA728">
        <v>1</v>
      </c>
      <c r="BB728">
        <v>1440</v>
      </c>
      <c r="BC728">
        <v>0</v>
      </c>
      <c r="BD728">
        <v>0</v>
      </c>
      <c r="BE728">
        <v>14</v>
      </c>
      <c r="BF728">
        <v>25</v>
      </c>
      <c r="BG728">
        <v>3</v>
      </c>
      <c r="BH728">
        <v>8</v>
      </c>
      <c r="BI728">
        <v>3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0</v>
      </c>
      <c r="BQ728">
        <v>60</v>
      </c>
      <c r="BR728">
        <v>0</v>
      </c>
      <c r="BS728">
        <v>3</v>
      </c>
      <c r="BT728" t="s">
        <v>248</v>
      </c>
      <c r="BU728" t="s">
        <v>270</v>
      </c>
      <c r="BV728" t="b">
        <v>0</v>
      </c>
      <c r="BW728" t="s">
        <v>271</v>
      </c>
    </row>
    <row r="729" spans="1:75">
      <c r="A729" t="s">
        <v>248</v>
      </c>
      <c r="B729" t="s">
        <v>252</v>
      </c>
      <c r="C729">
        <v>611</v>
      </c>
      <c r="D729" t="s">
        <v>253</v>
      </c>
      <c r="E729" t="s">
        <v>254</v>
      </c>
      <c r="F729">
        <v>5</v>
      </c>
      <c r="G729" s="13">
        <v>46265.630173611113</v>
      </c>
      <c r="H729" s="13">
        <v>46265.759583333333</v>
      </c>
      <c r="I729">
        <v>11181</v>
      </c>
      <c r="J729" t="s">
        <v>255</v>
      </c>
      <c r="K729">
        <v>24</v>
      </c>
      <c r="L729">
        <v>0.96</v>
      </c>
      <c r="M729">
        <v>0.04</v>
      </c>
      <c r="N729">
        <v>24</v>
      </c>
      <c r="O729">
        <v>0.96</v>
      </c>
      <c r="P729">
        <v>1495.56</v>
      </c>
      <c r="Q729">
        <v>41.64</v>
      </c>
      <c r="R729">
        <v>-16.920000000000002</v>
      </c>
      <c r="S729" t="s">
        <v>263</v>
      </c>
      <c r="T729" t="s">
        <v>256</v>
      </c>
      <c r="U729">
        <v>10</v>
      </c>
      <c r="V729">
        <v>7381.82</v>
      </c>
      <c r="W729">
        <v>4999.32</v>
      </c>
      <c r="X729">
        <v>3504.44</v>
      </c>
      <c r="Y729">
        <v>0</v>
      </c>
      <c r="Z729">
        <v>0</v>
      </c>
      <c r="AA729">
        <v>35</v>
      </c>
      <c r="AB729">
        <v>50</v>
      </c>
      <c r="AC729">
        <v>5000</v>
      </c>
      <c r="AD729">
        <v>0</v>
      </c>
      <c r="AE729">
        <v>0</v>
      </c>
      <c r="AF729">
        <v>7345.06</v>
      </c>
      <c r="AG729">
        <v>7345.06</v>
      </c>
      <c r="AH729" s="14">
        <v>46265</v>
      </c>
      <c r="AI729" t="s">
        <v>269</v>
      </c>
      <c r="AJ729" s="13">
        <v>46265.054768518516</v>
      </c>
      <c r="AK729">
        <v>7052.98</v>
      </c>
      <c r="AL729" t="s">
        <v>259</v>
      </c>
      <c r="AM729" t="s">
        <v>260</v>
      </c>
      <c r="AN729">
        <v>1400</v>
      </c>
      <c r="AO729">
        <v>0</v>
      </c>
      <c r="AP729">
        <v>35</v>
      </c>
      <c r="AQ729">
        <v>85</v>
      </c>
      <c r="AR729">
        <v>35</v>
      </c>
      <c r="AS729">
        <v>2</v>
      </c>
      <c r="AT729">
        <v>23</v>
      </c>
      <c r="AU729">
        <v>1</v>
      </c>
      <c r="AV729">
        <v>0</v>
      </c>
      <c r="AW729">
        <v>10</v>
      </c>
      <c r="AX729">
        <v>1</v>
      </c>
      <c r="AY729">
        <v>7</v>
      </c>
      <c r="AZ729">
        <v>3</v>
      </c>
      <c r="BA729">
        <v>1</v>
      </c>
      <c r="BB729">
        <v>1440</v>
      </c>
      <c r="BC729">
        <v>0</v>
      </c>
      <c r="BD729">
        <v>0</v>
      </c>
      <c r="BE729">
        <v>14</v>
      </c>
      <c r="BF729">
        <v>25</v>
      </c>
      <c r="BG729">
        <v>3</v>
      </c>
      <c r="BH729">
        <v>8</v>
      </c>
      <c r="BI729">
        <v>3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0</v>
      </c>
      <c r="BQ729">
        <v>60</v>
      </c>
      <c r="BR729">
        <v>0</v>
      </c>
      <c r="BS729">
        <v>3</v>
      </c>
      <c r="BT729" t="s">
        <v>248</v>
      </c>
      <c r="BU729" t="s">
        <v>270</v>
      </c>
      <c r="BV729" t="b">
        <v>0</v>
      </c>
      <c r="BW729" t="s">
        <v>271</v>
      </c>
    </row>
    <row r="730" spans="1:75">
      <c r="A730" t="s">
        <v>248</v>
      </c>
      <c r="B730" t="s">
        <v>252</v>
      </c>
      <c r="C730">
        <v>612</v>
      </c>
      <c r="D730" t="s">
        <v>253</v>
      </c>
      <c r="E730" t="s">
        <v>254</v>
      </c>
      <c r="F730">
        <v>5</v>
      </c>
      <c r="G730" s="13">
        <v>46265.760810185187</v>
      </c>
      <c r="H730" s="13">
        <v>46265.762071759258</v>
      </c>
      <c r="I730">
        <v>109</v>
      </c>
      <c r="J730" t="s">
        <v>264</v>
      </c>
      <c r="K730">
        <v>1</v>
      </c>
      <c r="L730">
        <v>0.04</v>
      </c>
      <c r="M730">
        <v>0.04</v>
      </c>
      <c r="N730">
        <v>1</v>
      </c>
      <c r="O730">
        <v>0.04</v>
      </c>
      <c r="P730">
        <v>9.6</v>
      </c>
      <c r="Q730">
        <v>9.16</v>
      </c>
      <c r="R730">
        <v>8.68</v>
      </c>
      <c r="S730" t="s">
        <v>256</v>
      </c>
      <c r="T730" t="s">
        <v>257</v>
      </c>
      <c r="U730">
        <v>10</v>
      </c>
      <c r="V730">
        <v>7344.38</v>
      </c>
      <c r="W730">
        <v>4999.32</v>
      </c>
      <c r="X730">
        <v>4990.3999999999996</v>
      </c>
      <c r="Y730">
        <v>0</v>
      </c>
      <c r="Z730">
        <v>0</v>
      </c>
      <c r="AA730">
        <v>35</v>
      </c>
      <c r="AB730">
        <v>50</v>
      </c>
      <c r="AC730">
        <v>5000</v>
      </c>
      <c r="AD730">
        <v>0</v>
      </c>
      <c r="AE730">
        <v>0</v>
      </c>
      <c r="AF730">
        <v>7352.82</v>
      </c>
      <c r="AG730">
        <v>7352.82</v>
      </c>
      <c r="AH730" s="14">
        <v>46265</v>
      </c>
      <c r="AI730" t="s">
        <v>269</v>
      </c>
      <c r="AJ730" s="13">
        <v>46265.054768518516</v>
      </c>
      <c r="AK730">
        <v>7052.98</v>
      </c>
      <c r="AL730" t="s">
        <v>259</v>
      </c>
      <c r="AM730" t="s">
        <v>260</v>
      </c>
      <c r="AN730">
        <v>1400</v>
      </c>
      <c r="AO730">
        <v>0</v>
      </c>
      <c r="AP730">
        <v>35</v>
      </c>
      <c r="AQ730">
        <v>85</v>
      </c>
      <c r="AR730">
        <v>35</v>
      </c>
      <c r="AS730">
        <v>2</v>
      </c>
      <c r="AT730">
        <v>23</v>
      </c>
      <c r="AU730">
        <v>1</v>
      </c>
      <c r="AV730">
        <v>0</v>
      </c>
      <c r="AW730">
        <v>10</v>
      </c>
      <c r="AX730">
        <v>1</v>
      </c>
      <c r="AY730">
        <v>7</v>
      </c>
      <c r="AZ730">
        <v>3</v>
      </c>
      <c r="BA730">
        <v>1</v>
      </c>
      <c r="BB730">
        <v>1440</v>
      </c>
      <c r="BC730">
        <v>0</v>
      </c>
      <c r="BD730">
        <v>0</v>
      </c>
      <c r="BE730">
        <v>14</v>
      </c>
      <c r="BF730">
        <v>25</v>
      </c>
      <c r="BG730">
        <v>3</v>
      </c>
      <c r="BH730">
        <v>8</v>
      </c>
      <c r="BI730">
        <v>3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0</v>
      </c>
      <c r="BQ730">
        <v>60</v>
      </c>
      <c r="BR730">
        <v>0</v>
      </c>
      <c r="BS730">
        <v>3</v>
      </c>
      <c r="BT730" t="s">
        <v>248</v>
      </c>
      <c r="BU730" t="s">
        <v>270</v>
      </c>
      <c r="BV730" t="b">
        <v>0</v>
      </c>
      <c r="BW730" t="s">
        <v>271</v>
      </c>
    </row>
    <row r="731" spans="1:75">
      <c r="A731" t="s">
        <v>248</v>
      </c>
      <c r="B731" t="s">
        <v>252</v>
      </c>
      <c r="C731">
        <v>613</v>
      </c>
      <c r="D731" t="s">
        <v>253</v>
      </c>
      <c r="E731" t="s">
        <v>254</v>
      </c>
      <c r="F731">
        <v>5</v>
      </c>
      <c r="G731" s="13">
        <v>46265.765034722222</v>
      </c>
      <c r="H731" s="13">
        <v>46265.765150462961</v>
      </c>
      <c r="I731">
        <v>10</v>
      </c>
      <c r="J731" t="s">
        <v>255</v>
      </c>
      <c r="K731">
        <v>1</v>
      </c>
      <c r="L731">
        <v>0.04</v>
      </c>
      <c r="M731">
        <v>0.04</v>
      </c>
      <c r="N731">
        <v>1</v>
      </c>
      <c r="O731">
        <v>0.04</v>
      </c>
      <c r="P731">
        <v>0.64</v>
      </c>
      <c r="Q731">
        <v>7.08</v>
      </c>
      <c r="R731">
        <v>7.08</v>
      </c>
      <c r="S731" t="s">
        <v>256</v>
      </c>
      <c r="T731" t="s">
        <v>257</v>
      </c>
      <c r="U731">
        <v>10</v>
      </c>
      <c r="V731">
        <v>7352.18</v>
      </c>
      <c r="W731">
        <v>4999.3599999999997</v>
      </c>
      <c r="X731">
        <v>4999.3599999999997</v>
      </c>
      <c r="Y731">
        <v>0</v>
      </c>
      <c r="Z731">
        <v>0</v>
      </c>
      <c r="AA731">
        <v>35</v>
      </c>
      <c r="AB731">
        <v>50</v>
      </c>
      <c r="AC731">
        <v>5000</v>
      </c>
      <c r="AD731">
        <v>0</v>
      </c>
      <c r="AE731">
        <v>0</v>
      </c>
      <c r="AF731">
        <v>7358.5</v>
      </c>
      <c r="AG731">
        <v>7358.5</v>
      </c>
      <c r="AH731" s="14">
        <v>46265</v>
      </c>
      <c r="AI731" t="s">
        <v>269</v>
      </c>
      <c r="AJ731" s="13">
        <v>46265.054768518516</v>
      </c>
      <c r="AK731">
        <v>7052.98</v>
      </c>
      <c r="AL731" t="s">
        <v>259</v>
      </c>
      <c r="AM731" t="s">
        <v>260</v>
      </c>
      <c r="AN731">
        <v>1400</v>
      </c>
      <c r="AO731">
        <v>0</v>
      </c>
      <c r="AP731">
        <v>35</v>
      </c>
      <c r="AQ731">
        <v>85</v>
      </c>
      <c r="AR731">
        <v>35</v>
      </c>
      <c r="AS731">
        <v>2</v>
      </c>
      <c r="AT731">
        <v>23</v>
      </c>
      <c r="AU731">
        <v>1</v>
      </c>
      <c r="AV731">
        <v>0</v>
      </c>
      <c r="AW731">
        <v>10</v>
      </c>
      <c r="AX731">
        <v>1</v>
      </c>
      <c r="AY731">
        <v>7</v>
      </c>
      <c r="AZ731">
        <v>3</v>
      </c>
      <c r="BA731">
        <v>1</v>
      </c>
      <c r="BB731">
        <v>1440</v>
      </c>
      <c r="BC731">
        <v>0</v>
      </c>
      <c r="BD731">
        <v>0</v>
      </c>
      <c r="BE731">
        <v>14</v>
      </c>
      <c r="BF731">
        <v>25</v>
      </c>
      <c r="BG731">
        <v>3</v>
      </c>
      <c r="BH731">
        <v>8</v>
      </c>
      <c r="BI731">
        <v>3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0</v>
      </c>
      <c r="BQ731">
        <v>60</v>
      </c>
      <c r="BR731">
        <v>0</v>
      </c>
      <c r="BS731">
        <v>3</v>
      </c>
      <c r="BT731" t="s">
        <v>248</v>
      </c>
      <c r="BU731" t="s">
        <v>270</v>
      </c>
      <c r="BV731" t="b">
        <v>0</v>
      </c>
      <c r="BW731" t="s">
        <v>271</v>
      </c>
    </row>
    <row r="732" spans="1:75">
      <c r="A732" t="s">
        <v>248</v>
      </c>
      <c r="B732" t="s">
        <v>252</v>
      </c>
      <c r="C732">
        <v>614</v>
      </c>
      <c r="D732" t="s">
        <v>253</v>
      </c>
      <c r="E732" t="s">
        <v>254</v>
      </c>
      <c r="F732">
        <v>5</v>
      </c>
      <c r="G732" s="13">
        <v>46265.769918981481</v>
      </c>
      <c r="H732" s="13">
        <v>46265.783750000002</v>
      </c>
      <c r="I732">
        <v>1195</v>
      </c>
      <c r="J732" t="s">
        <v>255</v>
      </c>
      <c r="K732">
        <v>4</v>
      </c>
      <c r="L732">
        <v>0.16</v>
      </c>
      <c r="M732">
        <v>0.04</v>
      </c>
      <c r="N732">
        <v>4</v>
      </c>
      <c r="O732">
        <v>0.16</v>
      </c>
      <c r="P732">
        <v>78.84</v>
      </c>
      <c r="Q732">
        <v>13.48</v>
      </c>
      <c r="R732">
        <v>9.16</v>
      </c>
      <c r="S732" t="s">
        <v>263</v>
      </c>
      <c r="T732" t="s">
        <v>257</v>
      </c>
      <c r="U732">
        <v>10</v>
      </c>
      <c r="V732">
        <v>7357.86</v>
      </c>
      <c r="W732">
        <v>4999.3599999999997</v>
      </c>
      <c r="X732">
        <v>4921.16</v>
      </c>
      <c r="Y732">
        <v>0</v>
      </c>
      <c r="Z732">
        <v>0</v>
      </c>
      <c r="AA732">
        <v>35</v>
      </c>
      <c r="AB732">
        <v>50</v>
      </c>
      <c r="AC732">
        <v>5000</v>
      </c>
      <c r="AD732">
        <v>0</v>
      </c>
      <c r="AE732">
        <v>0</v>
      </c>
      <c r="AF732">
        <v>7367.38</v>
      </c>
      <c r="AG732">
        <v>7367.38</v>
      </c>
      <c r="AH732" s="14">
        <v>46265</v>
      </c>
      <c r="AI732" t="s">
        <v>269</v>
      </c>
      <c r="AJ732" s="13">
        <v>46265.054768518516</v>
      </c>
      <c r="AK732">
        <v>7052.98</v>
      </c>
      <c r="AL732" t="s">
        <v>259</v>
      </c>
      <c r="AM732" t="s">
        <v>260</v>
      </c>
      <c r="AN732">
        <v>1400</v>
      </c>
      <c r="AO732">
        <v>0</v>
      </c>
      <c r="AP732">
        <v>35</v>
      </c>
      <c r="AQ732">
        <v>85</v>
      </c>
      <c r="AR732">
        <v>35</v>
      </c>
      <c r="AS732">
        <v>2</v>
      </c>
      <c r="AT732">
        <v>23</v>
      </c>
      <c r="AU732">
        <v>1</v>
      </c>
      <c r="AV732">
        <v>0</v>
      </c>
      <c r="AW732">
        <v>10</v>
      </c>
      <c r="AX732">
        <v>1</v>
      </c>
      <c r="AY732">
        <v>7</v>
      </c>
      <c r="AZ732">
        <v>3</v>
      </c>
      <c r="BA732">
        <v>1</v>
      </c>
      <c r="BB732">
        <v>1440</v>
      </c>
      <c r="BC732">
        <v>0</v>
      </c>
      <c r="BD732">
        <v>0</v>
      </c>
      <c r="BE732">
        <v>14</v>
      </c>
      <c r="BF732">
        <v>25</v>
      </c>
      <c r="BG732">
        <v>3</v>
      </c>
      <c r="BH732">
        <v>8</v>
      </c>
      <c r="BI732">
        <v>3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0</v>
      </c>
      <c r="BQ732">
        <v>60</v>
      </c>
      <c r="BR732">
        <v>0</v>
      </c>
      <c r="BS732">
        <v>3</v>
      </c>
      <c r="BT732" t="s">
        <v>248</v>
      </c>
      <c r="BU732" t="s">
        <v>270</v>
      </c>
      <c r="BV732" t="b">
        <v>0</v>
      </c>
      <c r="BW732" t="s">
        <v>271</v>
      </c>
    </row>
    <row r="733" spans="1:75">
      <c r="A733" t="s">
        <v>248</v>
      </c>
      <c r="B733" t="s">
        <v>252</v>
      </c>
      <c r="C733">
        <v>615</v>
      </c>
      <c r="D733" t="s">
        <v>253</v>
      </c>
      <c r="E733" t="s">
        <v>254</v>
      </c>
      <c r="F733">
        <v>5</v>
      </c>
      <c r="G733" s="13">
        <v>46265.786608796298</v>
      </c>
      <c r="H733" s="13">
        <v>46265.788078703707</v>
      </c>
      <c r="I733">
        <v>127</v>
      </c>
      <c r="J733" t="s">
        <v>264</v>
      </c>
      <c r="K733">
        <v>1</v>
      </c>
      <c r="L733">
        <v>0.04</v>
      </c>
      <c r="M733">
        <v>0.04</v>
      </c>
      <c r="N733">
        <v>1</v>
      </c>
      <c r="O733">
        <v>0.04</v>
      </c>
      <c r="P733">
        <v>9.0399999999999991</v>
      </c>
      <c r="Q733">
        <v>5.84</v>
      </c>
      <c r="R733">
        <v>5.36</v>
      </c>
      <c r="S733" t="s">
        <v>256</v>
      </c>
      <c r="T733" t="s">
        <v>257</v>
      </c>
      <c r="U733">
        <v>10</v>
      </c>
      <c r="V733">
        <v>7366.7</v>
      </c>
      <c r="W733">
        <v>4999.32</v>
      </c>
      <c r="X733">
        <v>4990.96</v>
      </c>
      <c r="Y733">
        <v>0</v>
      </c>
      <c r="Z733">
        <v>0</v>
      </c>
      <c r="AA733">
        <v>35</v>
      </c>
      <c r="AB733">
        <v>50</v>
      </c>
      <c r="AC733">
        <v>5000</v>
      </c>
      <c r="AD733">
        <v>0</v>
      </c>
      <c r="AE733">
        <v>0</v>
      </c>
      <c r="AF733">
        <v>7371.7</v>
      </c>
      <c r="AG733">
        <v>7371.7</v>
      </c>
      <c r="AH733" s="14">
        <v>46265</v>
      </c>
      <c r="AI733" t="s">
        <v>269</v>
      </c>
      <c r="AJ733" s="13">
        <v>46265.054768518516</v>
      </c>
      <c r="AK733">
        <v>7052.98</v>
      </c>
      <c r="AL733" t="s">
        <v>259</v>
      </c>
      <c r="AM733" t="s">
        <v>260</v>
      </c>
      <c r="AN733">
        <v>1400</v>
      </c>
      <c r="AO733">
        <v>0</v>
      </c>
      <c r="AP733">
        <v>35</v>
      </c>
      <c r="AQ733">
        <v>85</v>
      </c>
      <c r="AR733">
        <v>35</v>
      </c>
      <c r="AS733">
        <v>2</v>
      </c>
      <c r="AT733">
        <v>23</v>
      </c>
      <c r="AU733">
        <v>1</v>
      </c>
      <c r="AV733">
        <v>0</v>
      </c>
      <c r="AW733">
        <v>10</v>
      </c>
      <c r="AX733">
        <v>1</v>
      </c>
      <c r="AY733">
        <v>7</v>
      </c>
      <c r="AZ733">
        <v>3</v>
      </c>
      <c r="BA733">
        <v>1</v>
      </c>
      <c r="BB733">
        <v>1440</v>
      </c>
      <c r="BC733">
        <v>0</v>
      </c>
      <c r="BD733">
        <v>0</v>
      </c>
      <c r="BE733">
        <v>14</v>
      </c>
      <c r="BF733">
        <v>25</v>
      </c>
      <c r="BG733">
        <v>3</v>
      </c>
      <c r="BH733">
        <v>8</v>
      </c>
      <c r="BI733">
        <v>3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0</v>
      </c>
      <c r="BQ733">
        <v>60</v>
      </c>
      <c r="BR733">
        <v>0</v>
      </c>
      <c r="BS733">
        <v>3</v>
      </c>
      <c r="BT733" t="s">
        <v>248</v>
      </c>
      <c r="BU733" t="s">
        <v>270</v>
      </c>
      <c r="BV733" t="b">
        <v>0</v>
      </c>
      <c r="BW733" t="s">
        <v>271</v>
      </c>
    </row>
    <row r="734" spans="1:75">
      <c r="A734" t="s">
        <v>248</v>
      </c>
      <c r="B734" t="s">
        <v>252</v>
      </c>
      <c r="C734">
        <v>616</v>
      </c>
      <c r="D734" t="s">
        <v>253</v>
      </c>
      <c r="E734" t="s">
        <v>254</v>
      </c>
      <c r="F734">
        <v>5</v>
      </c>
      <c r="G734" s="13">
        <v>46265.789803240739</v>
      </c>
      <c r="H734" s="13">
        <v>46265.819201388891</v>
      </c>
      <c r="I734">
        <v>2540</v>
      </c>
      <c r="J734" t="s">
        <v>264</v>
      </c>
      <c r="K734">
        <v>4</v>
      </c>
      <c r="L734">
        <v>0.16</v>
      </c>
      <c r="M734">
        <v>0.04</v>
      </c>
      <c r="N734">
        <v>4</v>
      </c>
      <c r="O734">
        <v>0.16</v>
      </c>
      <c r="P734">
        <v>87</v>
      </c>
      <c r="Q734">
        <v>7.68</v>
      </c>
      <c r="R734">
        <v>3.04</v>
      </c>
      <c r="S734" t="s">
        <v>263</v>
      </c>
      <c r="T734" t="s">
        <v>257</v>
      </c>
      <c r="U734">
        <v>11</v>
      </c>
      <c r="V734">
        <v>7371.06</v>
      </c>
      <c r="W734">
        <v>4999.3599999999997</v>
      </c>
      <c r="X734">
        <v>4913</v>
      </c>
      <c r="Y734">
        <v>0</v>
      </c>
      <c r="Z734">
        <v>0</v>
      </c>
      <c r="AA734">
        <v>35</v>
      </c>
      <c r="AB734">
        <v>50</v>
      </c>
      <c r="AC734">
        <v>5000</v>
      </c>
      <c r="AD734">
        <v>0</v>
      </c>
      <c r="AE734">
        <v>0</v>
      </c>
      <c r="AF734">
        <v>7374.74</v>
      </c>
      <c r="AG734">
        <v>7374.74</v>
      </c>
      <c r="AH734" s="14">
        <v>46265</v>
      </c>
      <c r="AI734" t="s">
        <v>269</v>
      </c>
      <c r="AJ734" s="13">
        <v>46265.054768518516</v>
      </c>
      <c r="AK734">
        <v>7052.98</v>
      </c>
      <c r="AL734" t="s">
        <v>259</v>
      </c>
      <c r="AM734" t="s">
        <v>260</v>
      </c>
      <c r="AN734">
        <v>1400</v>
      </c>
      <c r="AO734">
        <v>0</v>
      </c>
      <c r="AP734">
        <v>35</v>
      </c>
      <c r="AQ734">
        <v>85</v>
      </c>
      <c r="AR734">
        <v>35</v>
      </c>
      <c r="AS734">
        <v>2</v>
      </c>
      <c r="AT734">
        <v>23</v>
      </c>
      <c r="AU734">
        <v>1</v>
      </c>
      <c r="AV734">
        <v>0</v>
      </c>
      <c r="AW734">
        <v>10</v>
      </c>
      <c r="AX734">
        <v>1</v>
      </c>
      <c r="AY734">
        <v>7</v>
      </c>
      <c r="AZ734">
        <v>3</v>
      </c>
      <c r="BA734">
        <v>1</v>
      </c>
      <c r="BB734">
        <v>1440</v>
      </c>
      <c r="BC734">
        <v>0</v>
      </c>
      <c r="BD734">
        <v>0</v>
      </c>
      <c r="BE734">
        <v>14</v>
      </c>
      <c r="BF734">
        <v>25</v>
      </c>
      <c r="BG734">
        <v>3</v>
      </c>
      <c r="BH734">
        <v>8</v>
      </c>
      <c r="BI734">
        <v>3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0</v>
      </c>
      <c r="BQ734">
        <v>60</v>
      </c>
      <c r="BR734">
        <v>0</v>
      </c>
      <c r="BS734">
        <v>3</v>
      </c>
      <c r="BT734" t="s">
        <v>248</v>
      </c>
      <c r="BU734" t="s">
        <v>270</v>
      </c>
      <c r="BV734" t="b">
        <v>0</v>
      </c>
      <c r="BW734" t="s">
        <v>271</v>
      </c>
    </row>
    <row r="735" spans="1:75">
      <c r="A735" t="s">
        <v>248</v>
      </c>
      <c r="B735" t="s">
        <v>252</v>
      </c>
      <c r="C735">
        <v>617</v>
      </c>
      <c r="D735" t="s">
        <v>253</v>
      </c>
      <c r="E735" t="s">
        <v>254</v>
      </c>
      <c r="F735">
        <v>5</v>
      </c>
      <c r="G735" s="13">
        <v>46265.820370370369</v>
      </c>
      <c r="H735" s="13">
        <v>46265.820567129631</v>
      </c>
      <c r="I735">
        <v>17</v>
      </c>
      <c r="J735" t="s">
        <v>255</v>
      </c>
      <c r="K735">
        <v>1</v>
      </c>
      <c r="L735">
        <v>0.04</v>
      </c>
      <c r="M735">
        <v>0.04</v>
      </c>
      <c r="N735">
        <v>1</v>
      </c>
      <c r="O735">
        <v>0.04</v>
      </c>
      <c r="P735">
        <v>0.64</v>
      </c>
      <c r="Q735">
        <v>6.96</v>
      </c>
      <c r="R735">
        <v>6.96</v>
      </c>
      <c r="S735" t="s">
        <v>256</v>
      </c>
      <c r="T735" t="s">
        <v>257</v>
      </c>
      <c r="U735">
        <v>10</v>
      </c>
      <c r="V735">
        <v>7374.1</v>
      </c>
      <c r="W735">
        <v>4999.3599999999997</v>
      </c>
      <c r="X735">
        <v>4999.3599999999997</v>
      </c>
      <c r="Y735">
        <v>0</v>
      </c>
      <c r="Z735">
        <v>0</v>
      </c>
      <c r="AA735">
        <v>35</v>
      </c>
      <c r="AB735">
        <v>50</v>
      </c>
      <c r="AC735">
        <v>5000</v>
      </c>
      <c r="AD735">
        <v>0</v>
      </c>
      <c r="AE735">
        <v>0</v>
      </c>
      <c r="AF735">
        <v>7380.26</v>
      </c>
      <c r="AG735">
        <v>7380.26</v>
      </c>
      <c r="AH735" s="14">
        <v>46265</v>
      </c>
      <c r="AI735" t="s">
        <v>269</v>
      </c>
      <c r="AJ735" s="13">
        <v>46265.054768518516</v>
      </c>
      <c r="AK735">
        <v>7052.98</v>
      </c>
      <c r="AL735" t="s">
        <v>259</v>
      </c>
      <c r="AM735" t="s">
        <v>260</v>
      </c>
      <c r="AN735">
        <v>1400</v>
      </c>
      <c r="AO735">
        <v>0</v>
      </c>
      <c r="AP735">
        <v>35</v>
      </c>
      <c r="AQ735">
        <v>85</v>
      </c>
      <c r="AR735">
        <v>35</v>
      </c>
      <c r="AS735">
        <v>2</v>
      </c>
      <c r="AT735">
        <v>23</v>
      </c>
      <c r="AU735">
        <v>1</v>
      </c>
      <c r="AV735">
        <v>0</v>
      </c>
      <c r="AW735">
        <v>10</v>
      </c>
      <c r="AX735">
        <v>1</v>
      </c>
      <c r="AY735">
        <v>7</v>
      </c>
      <c r="AZ735">
        <v>3</v>
      </c>
      <c r="BA735">
        <v>1</v>
      </c>
      <c r="BB735">
        <v>1440</v>
      </c>
      <c r="BC735">
        <v>0</v>
      </c>
      <c r="BD735">
        <v>0</v>
      </c>
      <c r="BE735">
        <v>14</v>
      </c>
      <c r="BF735">
        <v>25</v>
      </c>
      <c r="BG735">
        <v>3</v>
      </c>
      <c r="BH735">
        <v>8</v>
      </c>
      <c r="BI735">
        <v>3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0</v>
      </c>
      <c r="BQ735">
        <v>60</v>
      </c>
      <c r="BR735">
        <v>0</v>
      </c>
      <c r="BS735">
        <v>3</v>
      </c>
      <c r="BT735" t="s">
        <v>248</v>
      </c>
      <c r="BU735" t="s">
        <v>270</v>
      </c>
      <c r="BV735" t="b">
        <v>0</v>
      </c>
      <c r="BW735" t="s">
        <v>271</v>
      </c>
    </row>
    <row r="736" spans="1:75">
      <c r="A736" t="s">
        <v>248</v>
      </c>
      <c r="B736" t="s">
        <v>252</v>
      </c>
      <c r="C736">
        <v>618</v>
      </c>
      <c r="D736" t="s">
        <v>253</v>
      </c>
      <c r="E736" t="s">
        <v>254</v>
      </c>
      <c r="F736">
        <v>5</v>
      </c>
      <c r="G736" s="13">
        <v>46265.824166666665</v>
      </c>
      <c r="H736" s="13">
        <v>46265.832094907404</v>
      </c>
      <c r="I736">
        <v>685</v>
      </c>
      <c r="J736" t="s">
        <v>264</v>
      </c>
      <c r="K736">
        <v>2</v>
      </c>
      <c r="L736">
        <v>0.08</v>
      </c>
      <c r="M736">
        <v>0.04</v>
      </c>
      <c r="N736">
        <v>2</v>
      </c>
      <c r="O736">
        <v>0.08</v>
      </c>
      <c r="P736">
        <v>17.36</v>
      </c>
      <c r="Q736">
        <v>9.0399999999999991</v>
      </c>
      <c r="R736">
        <v>5.2</v>
      </c>
      <c r="S736" t="s">
        <v>263</v>
      </c>
      <c r="T736" t="s">
        <v>257</v>
      </c>
      <c r="U736">
        <v>10</v>
      </c>
      <c r="V736">
        <v>7379.62</v>
      </c>
      <c r="W736">
        <v>4999.3599999999997</v>
      </c>
      <c r="X736">
        <v>4982.6400000000003</v>
      </c>
      <c r="Y736">
        <v>0</v>
      </c>
      <c r="Z736">
        <v>0</v>
      </c>
      <c r="AA736">
        <v>35</v>
      </c>
      <c r="AB736">
        <v>50</v>
      </c>
      <c r="AC736">
        <v>5000</v>
      </c>
      <c r="AD736">
        <v>0</v>
      </c>
      <c r="AE736">
        <v>0</v>
      </c>
      <c r="AF736">
        <v>7385.42</v>
      </c>
      <c r="AG736">
        <v>7385.42</v>
      </c>
      <c r="AH736" s="14">
        <v>46265</v>
      </c>
      <c r="AI736" t="s">
        <v>269</v>
      </c>
      <c r="AJ736" s="13">
        <v>46265.054768518516</v>
      </c>
      <c r="AK736">
        <v>7052.98</v>
      </c>
      <c r="AL736" t="s">
        <v>259</v>
      </c>
      <c r="AM736" t="s">
        <v>260</v>
      </c>
      <c r="AN736">
        <v>1400</v>
      </c>
      <c r="AO736">
        <v>0</v>
      </c>
      <c r="AP736">
        <v>35</v>
      </c>
      <c r="AQ736">
        <v>85</v>
      </c>
      <c r="AR736">
        <v>35</v>
      </c>
      <c r="AS736">
        <v>2</v>
      </c>
      <c r="AT736">
        <v>23</v>
      </c>
      <c r="AU736">
        <v>1</v>
      </c>
      <c r="AV736">
        <v>0</v>
      </c>
      <c r="AW736">
        <v>10</v>
      </c>
      <c r="AX736">
        <v>1</v>
      </c>
      <c r="AY736">
        <v>7</v>
      </c>
      <c r="AZ736">
        <v>3</v>
      </c>
      <c r="BA736">
        <v>1</v>
      </c>
      <c r="BB736">
        <v>1440</v>
      </c>
      <c r="BC736">
        <v>0</v>
      </c>
      <c r="BD736">
        <v>0</v>
      </c>
      <c r="BE736">
        <v>14</v>
      </c>
      <c r="BF736">
        <v>25</v>
      </c>
      <c r="BG736">
        <v>3</v>
      </c>
      <c r="BH736">
        <v>8</v>
      </c>
      <c r="BI736">
        <v>3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0</v>
      </c>
      <c r="BQ736">
        <v>60</v>
      </c>
      <c r="BR736">
        <v>0</v>
      </c>
      <c r="BS736">
        <v>3</v>
      </c>
      <c r="BT736" t="s">
        <v>248</v>
      </c>
      <c r="BU736" t="s">
        <v>270</v>
      </c>
      <c r="BV736" t="b">
        <v>0</v>
      </c>
      <c r="BW736" t="s">
        <v>271</v>
      </c>
    </row>
    <row r="737" spans="1:75">
      <c r="A737" t="s">
        <v>248</v>
      </c>
      <c r="B737" t="s">
        <v>252</v>
      </c>
      <c r="C737">
        <v>619</v>
      </c>
      <c r="D737" t="s">
        <v>253</v>
      </c>
      <c r="E737" t="s">
        <v>254</v>
      </c>
      <c r="F737">
        <v>5</v>
      </c>
      <c r="G737" s="13">
        <v>46265.842592592591</v>
      </c>
      <c r="H737" s="13">
        <v>46265.857997685183</v>
      </c>
      <c r="I737">
        <v>1331</v>
      </c>
      <c r="J737" t="s">
        <v>255</v>
      </c>
      <c r="K737">
        <v>3</v>
      </c>
      <c r="L737">
        <v>0.12</v>
      </c>
      <c r="M737">
        <v>0.04</v>
      </c>
      <c r="N737">
        <v>3</v>
      </c>
      <c r="O737">
        <v>0.12</v>
      </c>
      <c r="P737">
        <v>36.119999999999997</v>
      </c>
      <c r="Q737">
        <v>8</v>
      </c>
      <c r="R737">
        <v>1.04</v>
      </c>
      <c r="S737" t="s">
        <v>263</v>
      </c>
      <c r="T737" t="s">
        <v>257</v>
      </c>
      <c r="U737">
        <v>10</v>
      </c>
      <c r="V737">
        <v>7384.78</v>
      </c>
      <c r="W737">
        <v>4999.3599999999997</v>
      </c>
      <c r="X737">
        <v>4963.88</v>
      </c>
      <c r="Y737">
        <v>0</v>
      </c>
      <c r="Z737">
        <v>0</v>
      </c>
      <c r="AA737">
        <v>35</v>
      </c>
      <c r="AB737">
        <v>50</v>
      </c>
      <c r="AC737">
        <v>5000</v>
      </c>
      <c r="AD737">
        <v>0</v>
      </c>
      <c r="AE737">
        <v>0</v>
      </c>
      <c r="AF737">
        <v>7390.34</v>
      </c>
      <c r="AG737">
        <v>7390.34</v>
      </c>
      <c r="AH737" s="14">
        <v>46265</v>
      </c>
      <c r="AI737" t="s">
        <v>269</v>
      </c>
      <c r="AJ737" s="13">
        <v>46265.054768518516</v>
      </c>
      <c r="AK737">
        <v>7052.98</v>
      </c>
      <c r="AL737" t="s">
        <v>259</v>
      </c>
      <c r="AM737" t="s">
        <v>260</v>
      </c>
      <c r="AN737">
        <v>1400</v>
      </c>
      <c r="AO737">
        <v>0</v>
      </c>
      <c r="AP737">
        <v>35</v>
      </c>
      <c r="AQ737">
        <v>85</v>
      </c>
      <c r="AR737">
        <v>35</v>
      </c>
      <c r="AS737">
        <v>2</v>
      </c>
      <c r="AT737">
        <v>23</v>
      </c>
      <c r="AU737">
        <v>1</v>
      </c>
      <c r="AV737">
        <v>0</v>
      </c>
      <c r="AW737">
        <v>10</v>
      </c>
      <c r="AX737">
        <v>1</v>
      </c>
      <c r="AY737">
        <v>7</v>
      </c>
      <c r="AZ737">
        <v>3</v>
      </c>
      <c r="BA737">
        <v>1</v>
      </c>
      <c r="BB737">
        <v>1440</v>
      </c>
      <c r="BC737">
        <v>0</v>
      </c>
      <c r="BD737">
        <v>0</v>
      </c>
      <c r="BE737">
        <v>14</v>
      </c>
      <c r="BF737">
        <v>25</v>
      </c>
      <c r="BG737">
        <v>3</v>
      </c>
      <c r="BH737">
        <v>8</v>
      </c>
      <c r="BI737">
        <v>3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0</v>
      </c>
      <c r="BQ737">
        <v>60</v>
      </c>
      <c r="BR737">
        <v>0</v>
      </c>
      <c r="BS737">
        <v>3</v>
      </c>
      <c r="BT737" t="s">
        <v>248</v>
      </c>
      <c r="BU737" t="s">
        <v>270</v>
      </c>
      <c r="BV737" t="b">
        <v>0</v>
      </c>
      <c r="BW737" t="s">
        <v>271</v>
      </c>
    </row>
    <row r="738" spans="1:75">
      <c r="A738" t="s">
        <v>248</v>
      </c>
      <c r="B738" t="s">
        <v>252</v>
      </c>
      <c r="C738">
        <v>620</v>
      </c>
      <c r="D738" t="s">
        <v>253</v>
      </c>
      <c r="E738" t="s">
        <v>254</v>
      </c>
      <c r="F738">
        <v>5</v>
      </c>
      <c r="G738" s="13">
        <v>46265.863819444443</v>
      </c>
      <c r="H738" s="13">
        <v>46265.864930555559</v>
      </c>
      <c r="I738">
        <v>96</v>
      </c>
      <c r="J738" t="s">
        <v>255</v>
      </c>
      <c r="K738">
        <v>1</v>
      </c>
      <c r="L738">
        <v>0.04</v>
      </c>
      <c r="M738">
        <v>0.04</v>
      </c>
      <c r="N738">
        <v>1</v>
      </c>
      <c r="O738">
        <v>0.04</v>
      </c>
      <c r="P738">
        <v>2.12</v>
      </c>
      <c r="Q738">
        <v>3.72</v>
      </c>
      <c r="R738">
        <v>2.4</v>
      </c>
      <c r="S738" t="s">
        <v>256</v>
      </c>
      <c r="T738" t="s">
        <v>257</v>
      </c>
      <c r="U738">
        <v>11</v>
      </c>
      <c r="V738">
        <v>7389.66</v>
      </c>
      <c r="W738">
        <v>4999.32</v>
      </c>
      <c r="X738">
        <v>4997.88</v>
      </c>
      <c r="Y738">
        <v>0</v>
      </c>
      <c r="Z738">
        <v>0</v>
      </c>
      <c r="AA738">
        <v>35</v>
      </c>
      <c r="AB738">
        <v>50</v>
      </c>
      <c r="AC738">
        <v>5000</v>
      </c>
      <c r="AD738">
        <v>0</v>
      </c>
      <c r="AE738">
        <v>0</v>
      </c>
      <c r="AF738">
        <v>7392.62</v>
      </c>
      <c r="AG738">
        <v>7392.62</v>
      </c>
      <c r="AH738" s="14">
        <v>46265</v>
      </c>
      <c r="AI738" t="s">
        <v>269</v>
      </c>
      <c r="AJ738" s="13">
        <v>46265.054768518516</v>
      </c>
      <c r="AK738">
        <v>7052.98</v>
      </c>
      <c r="AL738" t="s">
        <v>259</v>
      </c>
      <c r="AM738" t="s">
        <v>260</v>
      </c>
      <c r="AN738">
        <v>1400</v>
      </c>
      <c r="AO738">
        <v>0</v>
      </c>
      <c r="AP738">
        <v>35</v>
      </c>
      <c r="AQ738">
        <v>85</v>
      </c>
      <c r="AR738">
        <v>35</v>
      </c>
      <c r="AS738">
        <v>2</v>
      </c>
      <c r="AT738">
        <v>23</v>
      </c>
      <c r="AU738">
        <v>1</v>
      </c>
      <c r="AV738">
        <v>0</v>
      </c>
      <c r="AW738">
        <v>10</v>
      </c>
      <c r="AX738">
        <v>1</v>
      </c>
      <c r="AY738">
        <v>7</v>
      </c>
      <c r="AZ738">
        <v>3</v>
      </c>
      <c r="BA738">
        <v>1</v>
      </c>
      <c r="BB738">
        <v>1440</v>
      </c>
      <c r="BC738">
        <v>0</v>
      </c>
      <c r="BD738">
        <v>0</v>
      </c>
      <c r="BE738">
        <v>14</v>
      </c>
      <c r="BF738">
        <v>25</v>
      </c>
      <c r="BG738">
        <v>3</v>
      </c>
      <c r="BH738">
        <v>8</v>
      </c>
      <c r="BI738">
        <v>3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0</v>
      </c>
      <c r="BQ738">
        <v>60</v>
      </c>
      <c r="BR738">
        <v>0</v>
      </c>
      <c r="BS738">
        <v>3</v>
      </c>
      <c r="BT738" t="s">
        <v>248</v>
      </c>
      <c r="BU738" t="s">
        <v>270</v>
      </c>
      <c r="BV738" t="b">
        <v>0</v>
      </c>
      <c r="BW738" t="s">
        <v>271</v>
      </c>
    </row>
    <row r="739" spans="1:75">
      <c r="A739" t="s">
        <v>248</v>
      </c>
      <c r="B739" t="s">
        <v>252</v>
      </c>
      <c r="C739">
        <v>621</v>
      </c>
      <c r="D739" t="s">
        <v>253</v>
      </c>
      <c r="E739" t="s">
        <v>254</v>
      </c>
      <c r="F739">
        <v>5</v>
      </c>
      <c r="G739" s="13">
        <v>46265.866840277777</v>
      </c>
      <c r="H739" s="13">
        <v>46265.932847222219</v>
      </c>
      <c r="I739">
        <v>5703</v>
      </c>
      <c r="J739" t="s">
        <v>255</v>
      </c>
      <c r="K739">
        <v>4</v>
      </c>
      <c r="L739">
        <v>0.16</v>
      </c>
      <c r="M739">
        <v>0.04</v>
      </c>
      <c r="N739">
        <v>4</v>
      </c>
      <c r="O739">
        <v>0.16</v>
      </c>
      <c r="P739">
        <v>54.44</v>
      </c>
      <c r="Q739">
        <v>13.88</v>
      </c>
      <c r="R739">
        <v>10.84</v>
      </c>
      <c r="S739" t="s">
        <v>263</v>
      </c>
      <c r="T739" t="s">
        <v>257</v>
      </c>
      <c r="U739">
        <v>10</v>
      </c>
      <c r="V739">
        <v>7391.98</v>
      </c>
      <c r="W739">
        <v>4999.3599999999997</v>
      </c>
      <c r="X739">
        <v>4945.5600000000004</v>
      </c>
      <c r="Y739">
        <v>0</v>
      </c>
      <c r="Z739">
        <v>0</v>
      </c>
      <c r="AA739">
        <v>35</v>
      </c>
      <c r="AB739">
        <v>50</v>
      </c>
      <c r="AC739">
        <v>5000</v>
      </c>
      <c r="AD739">
        <v>0</v>
      </c>
      <c r="AE739">
        <v>0</v>
      </c>
      <c r="AF739">
        <v>7403.66</v>
      </c>
      <c r="AG739">
        <v>7403.66</v>
      </c>
      <c r="AH739" s="14">
        <v>46265</v>
      </c>
      <c r="AI739" t="s">
        <v>269</v>
      </c>
      <c r="AJ739" s="13">
        <v>46265.054768518516</v>
      </c>
      <c r="AK739">
        <v>7052.98</v>
      </c>
      <c r="AL739" t="s">
        <v>259</v>
      </c>
      <c r="AM739" t="s">
        <v>260</v>
      </c>
      <c r="AN739">
        <v>1400</v>
      </c>
      <c r="AO739">
        <v>0</v>
      </c>
      <c r="AP739">
        <v>35</v>
      </c>
      <c r="AQ739">
        <v>85</v>
      </c>
      <c r="AR739">
        <v>35</v>
      </c>
      <c r="AS739">
        <v>2</v>
      </c>
      <c r="AT739">
        <v>23</v>
      </c>
      <c r="AU739">
        <v>1</v>
      </c>
      <c r="AV739">
        <v>0</v>
      </c>
      <c r="AW739">
        <v>10</v>
      </c>
      <c r="AX739">
        <v>1</v>
      </c>
      <c r="AY739">
        <v>7</v>
      </c>
      <c r="AZ739">
        <v>3</v>
      </c>
      <c r="BA739">
        <v>1</v>
      </c>
      <c r="BB739">
        <v>1440</v>
      </c>
      <c r="BC739">
        <v>0</v>
      </c>
      <c r="BD739">
        <v>0</v>
      </c>
      <c r="BE739">
        <v>14</v>
      </c>
      <c r="BF739">
        <v>25</v>
      </c>
      <c r="BG739">
        <v>3</v>
      </c>
      <c r="BH739">
        <v>8</v>
      </c>
      <c r="BI739">
        <v>3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0</v>
      </c>
      <c r="BQ739">
        <v>60</v>
      </c>
      <c r="BR739">
        <v>0</v>
      </c>
      <c r="BS739">
        <v>3</v>
      </c>
      <c r="BT739" t="s">
        <v>248</v>
      </c>
      <c r="BU739" t="s">
        <v>270</v>
      </c>
      <c r="BV739" t="b">
        <v>0</v>
      </c>
      <c r="BW739" t="s">
        <v>271</v>
      </c>
    </row>
    <row r="740" spans="1:75">
      <c r="A740" t="s">
        <v>248</v>
      </c>
      <c r="B740" t="s">
        <v>252</v>
      </c>
      <c r="C740">
        <v>622</v>
      </c>
      <c r="D740" t="s">
        <v>253</v>
      </c>
      <c r="E740" t="s">
        <v>254</v>
      </c>
      <c r="F740">
        <v>5</v>
      </c>
      <c r="G740" s="13">
        <v>46265.935185185182</v>
      </c>
      <c r="H740" s="13">
        <v>46266.166990740741</v>
      </c>
      <c r="I740">
        <v>20028</v>
      </c>
      <c r="J740" t="s">
        <v>264</v>
      </c>
      <c r="K740">
        <v>12</v>
      </c>
      <c r="L740">
        <v>0.48</v>
      </c>
      <c r="M740">
        <v>0.04</v>
      </c>
      <c r="N740">
        <v>12</v>
      </c>
      <c r="O740">
        <v>0.48</v>
      </c>
      <c r="P740">
        <v>408.07</v>
      </c>
      <c r="Q740">
        <v>47.89</v>
      </c>
      <c r="R740">
        <v>42.13</v>
      </c>
      <c r="S740" t="s">
        <v>263</v>
      </c>
      <c r="T740" t="s">
        <v>257</v>
      </c>
      <c r="U740">
        <v>11</v>
      </c>
      <c r="V740">
        <v>7402.98</v>
      </c>
      <c r="W740">
        <v>4999.32</v>
      </c>
      <c r="X740">
        <v>4591.93</v>
      </c>
      <c r="Y740">
        <v>0</v>
      </c>
      <c r="Z740">
        <v>0</v>
      </c>
      <c r="AA740">
        <v>35</v>
      </c>
      <c r="AB740">
        <v>50</v>
      </c>
      <c r="AC740">
        <v>5000</v>
      </c>
      <c r="AD740">
        <v>0</v>
      </c>
      <c r="AE740">
        <v>0</v>
      </c>
      <c r="AF740">
        <v>7424.23</v>
      </c>
      <c r="AG740">
        <v>7424.23</v>
      </c>
      <c r="AH740" s="14">
        <v>46265</v>
      </c>
      <c r="AI740" t="s">
        <v>269</v>
      </c>
      <c r="AJ740" s="13">
        <v>46265.054768518516</v>
      </c>
      <c r="AK740">
        <v>7052.98</v>
      </c>
      <c r="AL740" t="s">
        <v>259</v>
      </c>
      <c r="AM740" t="s">
        <v>260</v>
      </c>
      <c r="AN740">
        <v>1400</v>
      </c>
      <c r="AO740">
        <v>0</v>
      </c>
      <c r="AP740">
        <v>35</v>
      </c>
      <c r="AQ740">
        <v>85</v>
      </c>
      <c r="AR740">
        <v>35</v>
      </c>
      <c r="AS740">
        <v>2</v>
      </c>
      <c r="AT740">
        <v>23</v>
      </c>
      <c r="AU740">
        <v>1</v>
      </c>
      <c r="AV740">
        <v>0</v>
      </c>
      <c r="AW740">
        <v>10</v>
      </c>
      <c r="AX740">
        <v>1</v>
      </c>
      <c r="AY740">
        <v>7</v>
      </c>
      <c r="AZ740">
        <v>3</v>
      </c>
      <c r="BA740">
        <v>1</v>
      </c>
      <c r="BB740">
        <v>1440</v>
      </c>
      <c r="BC740">
        <v>0</v>
      </c>
      <c r="BD740">
        <v>0</v>
      </c>
      <c r="BE740">
        <v>14</v>
      </c>
      <c r="BF740">
        <v>25</v>
      </c>
      <c r="BG740">
        <v>3</v>
      </c>
      <c r="BH740">
        <v>8</v>
      </c>
      <c r="BI740">
        <v>3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0</v>
      </c>
      <c r="BQ740">
        <v>60</v>
      </c>
      <c r="BR740">
        <v>0</v>
      </c>
      <c r="BS740">
        <v>3</v>
      </c>
      <c r="BT740" t="s">
        <v>248</v>
      </c>
      <c r="BU740" t="s">
        <v>270</v>
      </c>
      <c r="BV740" t="b">
        <v>0</v>
      </c>
      <c r="BW740" t="s">
        <v>271</v>
      </c>
    </row>
    <row r="741" spans="1:75">
      <c r="A741" t="s">
        <v>248</v>
      </c>
      <c r="B741" t="s">
        <v>252</v>
      </c>
      <c r="C741">
        <v>623</v>
      </c>
      <c r="D741" t="s">
        <v>253</v>
      </c>
      <c r="E741" t="s">
        <v>254</v>
      </c>
      <c r="F741">
        <v>5</v>
      </c>
      <c r="G741" s="13">
        <v>46266.171296296299</v>
      </c>
      <c r="H741" s="13">
        <v>46266.174270833333</v>
      </c>
      <c r="I741">
        <v>257</v>
      </c>
      <c r="J741" t="s">
        <v>264</v>
      </c>
      <c r="K741">
        <v>1</v>
      </c>
      <c r="L741">
        <v>0.04</v>
      </c>
      <c r="M741">
        <v>0.04</v>
      </c>
      <c r="N741">
        <v>1</v>
      </c>
      <c r="O741">
        <v>0.04</v>
      </c>
      <c r="P741">
        <v>11.52</v>
      </c>
      <c r="Q741">
        <v>5.52</v>
      </c>
      <c r="R741">
        <v>4.88</v>
      </c>
      <c r="S741" t="s">
        <v>256</v>
      </c>
      <c r="T741" t="s">
        <v>257</v>
      </c>
      <c r="U741">
        <v>15</v>
      </c>
      <c r="V741">
        <v>7423.43</v>
      </c>
      <c r="W741">
        <v>4999.2</v>
      </c>
      <c r="X741">
        <v>4988.4799999999996</v>
      </c>
      <c r="Y741">
        <v>0</v>
      </c>
      <c r="Z741">
        <v>0</v>
      </c>
      <c r="AA741">
        <v>35</v>
      </c>
      <c r="AB741">
        <v>50</v>
      </c>
      <c r="AC741">
        <v>5000</v>
      </c>
      <c r="AD741">
        <v>0</v>
      </c>
      <c r="AE741">
        <v>0</v>
      </c>
      <c r="AF741">
        <v>7428.35</v>
      </c>
      <c r="AG741">
        <v>7428.35</v>
      </c>
      <c r="AH741" s="14">
        <v>46266</v>
      </c>
      <c r="AI741" t="s">
        <v>269</v>
      </c>
      <c r="AJ741" s="13">
        <v>46265.054768518516</v>
      </c>
      <c r="AK741">
        <v>7052.98</v>
      </c>
      <c r="AL741" t="s">
        <v>259</v>
      </c>
      <c r="AM741" t="s">
        <v>260</v>
      </c>
      <c r="AN741">
        <v>1400</v>
      </c>
      <c r="AO741">
        <v>0</v>
      </c>
      <c r="AP741">
        <v>35</v>
      </c>
      <c r="AQ741">
        <v>85</v>
      </c>
      <c r="AR741">
        <v>35</v>
      </c>
      <c r="AS741">
        <v>2</v>
      </c>
      <c r="AT741">
        <v>23</v>
      </c>
      <c r="AU741">
        <v>1</v>
      </c>
      <c r="AV741">
        <v>0</v>
      </c>
      <c r="AW741">
        <v>10</v>
      </c>
      <c r="AX741">
        <v>1</v>
      </c>
      <c r="AY741">
        <v>7</v>
      </c>
      <c r="AZ741">
        <v>3</v>
      </c>
      <c r="BA741">
        <v>1</v>
      </c>
      <c r="BB741">
        <v>1440</v>
      </c>
      <c r="BC741">
        <v>0</v>
      </c>
      <c r="BD741">
        <v>0</v>
      </c>
      <c r="BE741">
        <v>14</v>
      </c>
      <c r="BF741">
        <v>25</v>
      </c>
      <c r="BG741">
        <v>3</v>
      </c>
      <c r="BH741">
        <v>8</v>
      </c>
      <c r="BI741">
        <v>3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0</v>
      </c>
      <c r="BQ741">
        <v>60</v>
      </c>
      <c r="BR741">
        <v>0</v>
      </c>
      <c r="BS741">
        <v>3</v>
      </c>
      <c r="BT741" t="s">
        <v>248</v>
      </c>
      <c r="BU741" t="s">
        <v>270</v>
      </c>
      <c r="BV741" t="b">
        <v>0</v>
      </c>
      <c r="BW741" t="s">
        <v>271</v>
      </c>
    </row>
    <row r="742" spans="1:75">
      <c r="A742" t="s">
        <v>248</v>
      </c>
      <c r="B742" t="s">
        <v>252</v>
      </c>
      <c r="C742">
        <v>624</v>
      </c>
      <c r="D742" t="s">
        <v>253</v>
      </c>
      <c r="E742" t="s">
        <v>254</v>
      </c>
      <c r="F742">
        <v>5</v>
      </c>
      <c r="G742" s="13">
        <v>46266.175868055558</v>
      </c>
      <c r="H742" s="13">
        <v>46266.197962962964</v>
      </c>
      <c r="I742">
        <v>1909</v>
      </c>
      <c r="J742" t="s">
        <v>255</v>
      </c>
      <c r="K742">
        <v>5</v>
      </c>
      <c r="L742">
        <v>0.2</v>
      </c>
      <c r="M742">
        <v>0.04</v>
      </c>
      <c r="N742">
        <v>5</v>
      </c>
      <c r="O742">
        <v>0.2</v>
      </c>
      <c r="P742">
        <v>96.2</v>
      </c>
      <c r="Q742">
        <v>11.96</v>
      </c>
      <c r="R742">
        <v>8.76</v>
      </c>
      <c r="S742" t="s">
        <v>263</v>
      </c>
      <c r="T742" t="s">
        <v>257</v>
      </c>
      <c r="U742">
        <v>10</v>
      </c>
      <c r="V742">
        <v>7427.71</v>
      </c>
      <c r="W742">
        <v>4999.3599999999997</v>
      </c>
      <c r="X742">
        <v>4903.8</v>
      </c>
      <c r="Y742">
        <v>0</v>
      </c>
      <c r="Z742">
        <v>0</v>
      </c>
      <c r="AA742">
        <v>35</v>
      </c>
      <c r="AB742">
        <v>50</v>
      </c>
      <c r="AC742">
        <v>5000</v>
      </c>
      <c r="AD742">
        <v>0</v>
      </c>
      <c r="AE742">
        <v>0</v>
      </c>
      <c r="AF742">
        <v>7434.47</v>
      </c>
      <c r="AG742">
        <v>7434.47</v>
      </c>
      <c r="AH742" s="14">
        <v>46266</v>
      </c>
      <c r="AI742" t="s">
        <v>269</v>
      </c>
      <c r="AJ742" s="13">
        <v>46265.054768518516</v>
      </c>
      <c r="AK742">
        <v>7052.98</v>
      </c>
      <c r="AL742" t="s">
        <v>259</v>
      </c>
      <c r="AM742" t="s">
        <v>260</v>
      </c>
      <c r="AN742">
        <v>1400</v>
      </c>
      <c r="AO742">
        <v>0</v>
      </c>
      <c r="AP742">
        <v>35</v>
      </c>
      <c r="AQ742">
        <v>85</v>
      </c>
      <c r="AR742">
        <v>35</v>
      </c>
      <c r="AS742">
        <v>2</v>
      </c>
      <c r="AT742">
        <v>23</v>
      </c>
      <c r="AU742">
        <v>1</v>
      </c>
      <c r="AV742">
        <v>0</v>
      </c>
      <c r="AW742">
        <v>10</v>
      </c>
      <c r="AX742">
        <v>1</v>
      </c>
      <c r="AY742">
        <v>7</v>
      </c>
      <c r="AZ742">
        <v>3</v>
      </c>
      <c r="BA742">
        <v>1</v>
      </c>
      <c r="BB742">
        <v>1440</v>
      </c>
      <c r="BC742">
        <v>0</v>
      </c>
      <c r="BD742">
        <v>0</v>
      </c>
      <c r="BE742">
        <v>14</v>
      </c>
      <c r="BF742">
        <v>25</v>
      </c>
      <c r="BG742">
        <v>3</v>
      </c>
      <c r="BH742">
        <v>8</v>
      </c>
      <c r="BI742">
        <v>3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0</v>
      </c>
      <c r="BQ742">
        <v>60</v>
      </c>
      <c r="BR742">
        <v>0</v>
      </c>
      <c r="BS742">
        <v>3</v>
      </c>
      <c r="BT742" t="s">
        <v>248</v>
      </c>
      <c r="BU742" t="s">
        <v>270</v>
      </c>
      <c r="BV742" t="b">
        <v>0</v>
      </c>
      <c r="BW742" t="s">
        <v>271</v>
      </c>
    </row>
    <row r="743" spans="1:75">
      <c r="A743" t="s">
        <v>248</v>
      </c>
      <c r="B743" t="s">
        <v>252</v>
      </c>
      <c r="C743">
        <v>625</v>
      </c>
      <c r="D743" t="s">
        <v>253</v>
      </c>
      <c r="E743" t="s">
        <v>254</v>
      </c>
      <c r="F743">
        <v>5</v>
      </c>
      <c r="G743" s="13">
        <v>46266.201018518521</v>
      </c>
      <c r="H743" s="13">
        <v>46266.20107638889</v>
      </c>
      <c r="I743">
        <v>5</v>
      </c>
      <c r="J743" t="s">
        <v>264</v>
      </c>
      <c r="K743">
        <v>1</v>
      </c>
      <c r="L743">
        <v>0.04</v>
      </c>
      <c r="M743">
        <v>0.04</v>
      </c>
      <c r="N743">
        <v>1</v>
      </c>
      <c r="O743">
        <v>0.04</v>
      </c>
      <c r="P743">
        <v>0.72</v>
      </c>
      <c r="Q743">
        <v>3.4</v>
      </c>
      <c r="R743">
        <v>1.92</v>
      </c>
      <c r="S743" t="s">
        <v>256</v>
      </c>
      <c r="T743" t="s">
        <v>257</v>
      </c>
      <c r="U743">
        <v>11</v>
      </c>
      <c r="V743">
        <v>7433.83</v>
      </c>
      <c r="W743">
        <v>4999.3599999999997</v>
      </c>
      <c r="X743">
        <v>4999.28</v>
      </c>
      <c r="Y743">
        <v>0</v>
      </c>
      <c r="Z743">
        <v>0</v>
      </c>
      <c r="AA743">
        <v>35</v>
      </c>
      <c r="AB743">
        <v>50</v>
      </c>
      <c r="AC743">
        <v>5000</v>
      </c>
      <c r="AD743">
        <v>0</v>
      </c>
      <c r="AE743">
        <v>0</v>
      </c>
      <c r="AF743">
        <v>7436.47</v>
      </c>
      <c r="AG743">
        <v>7436.47</v>
      </c>
      <c r="AH743" s="14">
        <v>46266</v>
      </c>
      <c r="AI743" t="s">
        <v>269</v>
      </c>
      <c r="AJ743" s="13">
        <v>46265.054768518516</v>
      </c>
      <c r="AK743">
        <v>7052.98</v>
      </c>
      <c r="AL743" t="s">
        <v>259</v>
      </c>
      <c r="AM743" t="s">
        <v>260</v>
      </c>
      <c r="AN743">
        <v>1400</v>
      </c>
      <c r="AO743">
        <v>0</v>
      </c>
      <c r="AP743">
        <v>35</v>
      </c>
      <c r="AQ743">
        <v>85</v>
      </c>
      <c r="AR743">
        <v>35</v>
      </c>
      <c r="AS743">
        <v>2</v>
      </c>
      <c r="AT743">
        <v>23</v>
      </c>
      <c r="AU743">
        <v>1</v>
      </c>
      <c r="AV743">
        <v>0</v>
      </c>
      <c r="AW743">
        <v>10</v>
      </c>
      <c r="AX743">
        <v>1</v>
      </c>
      <c r="AY743">
        <v>7</v>
      </c>
      <c r="AZ743">
        <v>3</v>
      </c>
      <c r="BA743">
        <v>1</v>
      </c>
      <c r="BB743">
        <v>1440</v>
      </c>
      <c r="BC743">
        <v>0</v>
      </c>
      <c r="BD743">
        <v>0</v>
      </c>
      <c r="BE743">
        <v>14</v>
      </c>
      <c r="BF743">
        <v>25</v>
      </c>
      <c r="BG743">
        <v>3</v>
      </c>
      <c r="BH743">
        <v>8</v>
      </c>
      <c r="BI743">
        <v>3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0</v>
      </c>
      <c r="BQ743">
        <v>60</v>
      </c>
      <c r="BR743">
        <v>0</v>
      </c>
      <c r="BS743">
        <v>3</v>
      </c>
      <c r="BT743" t="s">
        <v>248</v>
      </c>
      <c r="BU743" t="s">
        <v>270</v>
      </c>
      <c r="BV743" t="b">
        <v>0</v>
      </c>
      <c r="BW743" t="s">
        <v>271</v>
      </c>
    </row>
    <row r="744" spans="1:75">
      <c r="A744" t="s">
        <v>248</v>
      </c>
      <c r="B744" t="s">
        <v>252</v>
      </c>
      <c r="C744">
        <v>626</v>
      </c>
      <c r="D744" t="s">
        <v>253</v>
      </c>
      <c r="E744" t="s">
        <v>254</v>
      </c>
      <c r="F744">
        <v>5</v>
      </c>
      <c r="G744" s="13">
        <v>46266.204212962963</v>
      </c>
      <c r="H744" s="13">
        <v>46266.225358796299</v>
      </c>
      <c r="I744">
        <v>1827</v>
      </c>
      <c r="J744" t="s">
        <v>264</v>
      </c>
      <c r="K744">
        <v>4</v>
      </c>
      <c r="L744">
        <v>0.16</v>
      </c>
      <c r="M744">
        <v>0.04</v>
      </c>
      <c r="N744">
        <v>4</v>
      </c>
      <c r="O744">
        <v>0.16</v>
      </c>
      <c r="P744">
        <v>60</v>
      </c>
      <c r="Q744">
        <v>15.8</v>
      </c>
      <c r="R744">
        <v>12.44</v>
      </c>
      <c r="S744" t="s">
        <v>263</v>
      </c>
      <c r="T744" t="s">
        <v>257</v>
      </c>
      <c r="U744">
        <v>10</v>
      </c>
      <c r="V744">
        <v>7435.83</v>
      </c>
      <c r="W744">
        <v>4999.3599999999997</v>
      </c>
      <c r="X744">
        <v>4940</v>
      </c>
      <c r="Y744">
        <v>0</v>
      </c>
      <c r="Z744">
        <v>0</v>
      </c>
      <c r="AA744">
        <v>35</v>
      </c>
      <c r="AB744">
        <v>50</v>
      </c>
      <c r="AC744">
        <v>5000</v>
      </c>
      <c r="AD744">
        <v>0</v>
      </c>
      <c r="AE744">
        <v>0</v>
      </c>
      <c r="AF744">
        <v>7449.03</v>
      </c>
      <c r="AG744">
        <v>7449.03</v>
      </c>
      <c r="AH744" s="14">
        <v>46266</v>
      </c>
      <c r="AI744" t="s">
        <v>269</v>
      </c>
      <c r="AJ744" s="13">
        <v>46265.054768518516</v>
      </c>
      <c r="AK744">
        <v>7052.98</v>
      </c>
      <c r="AL744" t="s">
        <v>259</v>
      </c>
      <c r="AM744" t="s">
        <v>260</v>
      </c>
      <c r="AN744">
        <v>1400</v>
      </c>
      <c r="AO744">
        <v>0</v>
      </c>
      <c r="AP744">
        <v>35</v>
      </c>
      <c r="AQ744">
        <v>85</v>
      </c>
      <c r="AR744">
        <v>35</v>
      </c>
      <c r="AS744">
        <v>2</v>
      </c>
      <c r="AT744">
        <v>23</v>
      </c>
      <c r="AU744">
        <v>1</v>
      </c>
      <c r="AV744">
        <v>0</v>
      </c>
      <c r="AW744">
        <v>10</v>
      </c>
      <c r="AX744">
        <v>1</v>
      </c>
      <c r="AY744">
        <v>7</v>
      </c>
      <c r="AZ744">
        <v>3</v>
      </c>
      <c r="BA744">
        <v>1</v>
      </c>
      <c r="BB744">
        <v>1440</v>
      </c>
      <c r="BC744">
        <v>0</v>
      </c>
      <c r="BD744">
        <v>0</v>
      </c>
      <c r="BE744">
        <v>14</v>
      </c>
      <c r="BF744">
        <v>25</v>
      </c>
      <c r="BG744">
        <v>3</v>
      </c>
      <c r="BH744">
        <v>8</v>
      </c>
      <c r="BI744">
        <v>3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0</v>
      </c>
      <c r="BQ744">
        <v>60</v>
      </c>
      <c r="BR744">
        <v>0</v>
      </c>
      <c r="BS744">
        <v>3</v>
      </c>
      <c r="BT744" t="s">
        <v>248</v>
      </c>
      <c r="BU744" t="s">
        <v>270</v>
      </c>
      <c r="BV744" t="b">
        <v>0</v>
      </c>
      <c r="BW744" t="s">
        <v>271</v>
      </c>
    </row>
    <row r="745" spans="1:75">
      <c r="A745" t="s">
        <v>248</v>
      </c>
      <c r="B745" t="s">
        <v>252</v>
      </c>
      <c r="C745">
        <v>627</v>
      </c>
      <c r="D745" t="s">
        <v>253</v>
      </c>
      <c r="E745" t="s">
        <v>254</v>
      </c>
      <c r="F745">
        <v>5</v>
      </c>
      <c r="G745" s="13">
        <v>46266.229583333334</v>
      </c>
      <c r="H745" s="13">
        <v>46266.230115740742</v>
      </c>
      <c r="I745">
        <v>46</v>
      </c>
      <c r="J745" t="s">
        <v>264</v>
      </c>
      <c r="K745">
        <v>1</v>
      </c>
      <c r="L745">
        <v>0.04</v>
      </c>
      <c r="M745">
        <v>0.04</v>
      </c>
      <c r="N745">
        <v>1</v>
      </c>
      <c r="O745">
        <v>0.04</v>
      </c>
      <c r="P745">
        <v>4.12</v>
      </c>
      <c r="Q745">
        <v>8.24</v>
      </c>
      <c r="R745">
        <v>8.24</v>
      </c>
      <c r="S745" t="s">
        <v>256</v>
      </c>
      <c r="T745" t="s">
        <v>257</v>
      </c>
      <c r="U745">
        <v>11</v>
      </c>
      <c r="V745">
        <v>7448.35</v>
      </c>
      <c r="W745">
        <v>4999.32</v>
      </c>
      <c r="X745">
        <v>4995.88</v>
      </c>
      <c r="Y745">
        <v>0</v>
      </c>
      <c r="Z745">
        <v>0</v>
      </c>
      <c r="AA745">
        <v>35</v>
      </c>
      <c r="AB745">
        <v>50</v>
      </c>
      <c r="AC745">
        <v>5000</v>
      </c>
      <c r="AD745">
        <v>0</v>
      </c>
      <c r="AE745">
        <v>0</v>
      </c>
      <c r="AF745">
        <v>7455.87</v>
      </c>
      <c r="AG745">
        <v>7455.87</v>
      </c>
      <c r="AH745" s="14">
        <v>46266</v>
      </c>
      <c r="AI745" t="s">
        <v>269</v>
      </c>
      <c r="AJ745" s="13">
        <v>46265.054768518516</v>
      </c>
      <c r="AK745">
        <v>7052.98</v>
      </c>
      <c r="AL745" t="s">
        <v>259</v>
      </c>
      <c r="AM745" t="s">
        <v>260</v>
      </c>
      <c r="AN745">
        <v>1400</v>
      </c>
      <c r="AO745">
        <v>0</v>
      </c>
      <c r="AP745">
        <v>35</v>
      </c>
      <c r="AQ745">
        <v>85</v>
      </c>
      <c r="AR745">
        <v>35</v>
      </c>
      <c r="AS745">
        <v>2</v>
      </c>
      <c r="AT745">
        <v>23</v>
      </c>
      <c r="AU745">
        <v>1</v>
      </c>
      <c r="AV745">
        <v>0</v>
      </c>
      <c r="AW745">
        <v>10</v>
      </c>
      <c r="AX745">
        <v>1</v>
      </c>
      <c r="AY745">
        <v>7</v>
      </c>
      <c r="AZ745">
        <v>3</v>
      </c>
      <c r="BA745">
        <v>1</v>
      </c>
      <c r="BB745">
        <v>1440</v>
      </c>
      <c r="BC745">
        <v>0</v>
      </c>
      <c r="BD745">
        <v>0</v>
      </c>
      <c r="BE745">
        <v>14</v>
      </c>
      <c r="BF745">
        <v>25</v>
      </c>
      <c r="BG745">
        <v>3</v>
      </c>
      <c r="BH745">
        <v>8</v>
      </c>
      <c r="BI745">
        <v>3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0</v>
      </c>
      <c r="BQ745">
        <v>60</v>
      </c>
      <c r="BR745">
        <v>0</v>
      </c>
      <c r="BS745">
        <v>3</v>
      </c>
      <c r="BT745" t="s">
        <v>248</v>
      </c>
      <c r="BU745" t="s">
        <v>270</v>
      </c>
      <c r="BV745" t="b">
        <v>0</v>
      </c>
      <c r="BW745" t="s">
        <v>271</v>
      </c>
    </row>
    <row r="746" spans="1:75">
      <c r="A746" t="s">
        <v>248</v>
      </c>
      <c r="B746" t="s">
        <v>252</v>
      </c>
      <c r="C746">
        <v>628</v>
      </c>
      <c r="D746" t="s">
        <v>253</v>
      </c>
      <c r="E746" t="s">
        <v>254</v>
      </c>
      <c r="F746">
        <v>5</v>
      </c>
      <c r="G746" s="13">
        <v>46266.233275462961</v>
      </c>
      <c r="H746" s="13">
        <v>46266.234664351854</v>
      </c>
      <c r="I746">
        <v>120</v>
      </c>
      <c r="J746" t="s">
        <v>264</v>
      </c>
      <c r="K746">
        <v>1</v>
      </c>
      <c r="L746">
        <v>0.04</v>
      </c>
      <c r="M746">
        <v>0.04</v>
      </c>
      <c r="N746">
        <v>1</v>
      </c>
      <c r="O746">
        <v>0.04</v>
      </c>
      <c r="P746">
        <v>3.32</v>
      </c>
      <c r="Q746">
        <v>6.56</v>
      </c>
      <c r="R746">
        <v>5.4</v>
      </c>
      <c r="S746" t="s">
        <v>256</v>
      </c>
      <c r="T746" t="s">
        <v>257</v>
      </c>
      <c r="U746">
        <v>10</v>
      </c>
      <c r="V746">
        <v>7455.23</v>
      </c>
      <c r="W746">
        <v>4999.3599999999997</v>
      </c>
      <c r="X746">
        <v>4996.68</v>
      </c>
      <c r="Y746">
        <v>0</v>
      </c>
      <c r="Z746">
        <v>0</v>
      </c>
      <c r="AA746">
        <v>35</v>
      </c>
      <c r="AB746">
        <v>50</v>
      </c>
      <c r="AC746">
        <v>5000</v>
      </c>
      <c r="AD746">
        <v>0</v>
      </c>
      <c r="AE746">
        <v>0</v>
      </c>
      <c r="AF746">
        <v>7460.99</v>
      </c>
      <c r="AG746">
        <v>7460.99</v>
      </c>
      <c r="AH746" s="14">
        <v>46266</v>
      </c>
      <c r="AI746" t="s">
        <v>269</v>
      </c>
      <c r="AJ746" s="13">
        <v>46265.054768518516</v>
      </c>
      <c r="AK746">
        <v>7052.98</v>
      </c>
      <c r="AL746" t="s">
        <v>259</v>
      </c>
      <c r="AM746" t="s">
        <v>260</v>
      </c>
      <c r="AN746">
        <v>1400</v>
      </c>
      <c r="AO746">
        <v>0</v>
      </c>
      <c r="AP746">
        <v>35</v>
      </c>
      <c r="AQ746">
        <v>85</v>
      </c>
      <c r="AR746">
        <v>35</v>
      </c>
      <c r="AS746">
        <v>2</v>
      </c>
      <c r="AT746">
        <v>23</v>
      </c>
      <c r="AU746">
        <v>1</v>
      </c>
      <c r="AV746">
        <v>0</v>
      </c>
      <c r="AW746">
        <v>10</v>
      </c>
      <c r="AX746">
        <v>1</v>
      </c>
      <c r="AY746">
        <v>7</v>
      </c>
      <c r="AZ746">
        <v>3</v>
      </c>
      <c r="BA746">
        <v>1</v>
      </c>
      <c r="BB746">
        <v>1440</v>
      </c>
      <c r="BC746">
        <v>0</v>
      </c>
      <c r="BD746">
        <v>0</v>
      </c>
      <c r="BE746">
        <v>14</v>
      </c>
      <c r="BF746">
        <v>25</v>
      </c>
      <c r="BG746">
        <v>3</v>
      </c>
      <c r="BH746">
        <v>8</v>
      </c>
      <c r="BI746">
        <v>3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0</v>
      </c>
      <c r="BQ746">
        <v>60</v>
      </c>
      <c r="BR746">
        <v>0</v>
      </c>
      <c r="BS746">
        <v>3</v>
      </c>
      <c r="BT746" t="s">
        <v>248</v>
      </c>
      <c r="BU746" t="s">
        <v>270</v>
      </c>
      <c r="BV746" t="b">
        <v>0</v>
      </c>
      <c r="BW746" t="s">
        <v>271</v>
      </c>
    </row>
    <row r="747" spans="1:75">
      <c r="A747" t="s">
        <v>248</v>
      </c>
      <c r="B747" t="s">
        <v>252</v>
      </c>
      <c r="C747">
        <v>629</v>
      </c>
      <c r="D747" t="s">
        <v>253</v>
      </c>
      <c r="E747" t="s">
        <v>254</v>
      </c>
      <c r="F747">
        <v>5</v>
      </c>
      <c r="G747" s="13">
        <v>46266.237812500003</v>
      </c>
      <c r="H747" s="13">
        <v>46266.242210648146</v>
      </c>
      <c r="I747">
        <v>380</v>
      </c>
      <c r="J747" t="s">
        <v>255</v>
      </c>
      <c r="K747">
        <v>2</v>
      </c>
      <c r="L747">
        <v>0.08</v>
      </c>
      <c r="M747">
        <v>0.04</v>
      </c>
      <c r="N747">
        <v>2</v>
      </c>
      <c r="O747">
        <v>0.08</v>
      </c>
      <c r="P747">
        <v>35.76</v>
      </c>
      <c r="Q747">
        <v>9.7200000000000006</v>
      </c>
      <c r="R747">
        <v>6.28</v>
      </c>
      <c r="S747" t="s">
        <v>263</v>
      </c>
      <c r="T747" t="s">
        <v>257</v>
      </c>
      <c r="U747">
        <v>11</v>
      </c>
      <c r="V747">
        <v>7460.35</v>
      </c>
      <c r="W747">
        <v>4999.3599999999997</v>
      </c>
      <c r="X747">
        <v>4964.24</v>
      </c>
      <c r="Y747">
        <v>0</v>
      </c>
      <c r="Z747">
        <v>0</v>
      </c>
      <c r="AA747">
        <v>35</v>
      </c>
      <c r="AB747">
        <v>50</v>
      </c>
      <c r="AC747">
        <v>5000</v>
      </c>
      <c r="AD747">
        <v>0</v>
      </c>
      <c r="AE747">
        <v>0</v>
      </c>
      <c r="AF747">
        <v>7467.35</v>
      </c>
      <c r="AG747">
        <v>7467.35</v>
      </c>
      <c r="AH747" s="14">
        <v>46266</v>
      </c>
      <c r="AI747" t="s">
        <v>269</v>
      </c>
      <c r="AJ747" s="13">
        <v>46265.054768518516</v>
      </c>
      <c r="AK747">
        <v>7052.98</v>
      </c>
      <c r="AL747" t="s">
        <v>259</v>
      </c>
      <c r="AM747" t="s">
        <v>260</v>
      </c>
      <c r="AN747">
        <v>1400</v>
      </c>
      <c r="AO747">
        <v>0</v>
      </c>
      <c r="AP747">
        <v>35</v>
      </c>
      <c r="AQ747">
        <v>85</v>
      </c>
      <c r="AR747">
        <v>35</v>
      </c>
      <c r="AS747">
        <v>2</v>
      </c>
      <c r="AT747">
        <v>23</v>
      </c>
      <c r="AU747">
        <v>1</v>
      </c>
      <c r="AV747">
        <v>0</v>
      </c>
      <c r="AW747">
        <v>10</v>
      </c>
      <c r="AX747">
        <v>1</v>
      </c>
      <c r="AY747">
        <v>7</v>
      </c>
      <c r="AZ747">
        <v>3</v>
      </c>
      <c r="BA747">
        <v>1</v>
      </c>
      <c r="BB747">
        <v>1440</v>
      </c>
      <c r="BC747">
        <v>0</v>
      </c>
      <c r="BD747">
        <v>0</v>
      </c>
      <c r="BE747">
        <v>14</v>
      </c>
      <c r="BF747">
        <v>25</v>
      </c>
      <c r="BG747">
        <v>3</v>
      </c>
      <c r="BH747">
        <v>8</v>
      </c>
      <c r="BI747">
        <v>3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0</v>
      </c>
      <c r="BQ747">
        <v>60</v>
      </c>
      <c r="BR747">
        <v>0</v>
      </c>
      <c r="BS747">
        <v>3</v>
      </c>
      <c r="BT747" t="s">
        <v>248</v>
      </c>
      <c r="BU747" t="s">
        <v>270</v>
      </c>
      <c r="BV747" t="b">
        <v>0</v>
      </c>
      <c r="BW747" t="s">
        <v>271</v>
      </c>
    </row>
    <row r="748" spans="1:75">
      <c r="A748" t="s">
        <v>248</v>
      </c>
      <c r="B748" t="s">
        <v>252</v>
      </c>
      <c r="C748">
        <v>630</v>
      </c>
      <c r="D748" t="s">
        <v>253</v>
      </c>
      <c r="E748" t="s">
        <v>254</v>
      </c>
      <c r="F748">
        <v>5</v>
      </c>
      <c r="G748" s="13">
        <v>46266.24554398148</v>
      </c>
      <c r="H748" s="13">
        <v>46266.245833333334</v>
      </c>
      <c r="I748">
        <v>25</v>
      </c>
      <c r="J748" t="s">
        <v>255</v>
      </c>
      <c r="K748">
        <v>1</v>
      </c>
      <c r="L748">
        <v>0.04</v>
      </c>
      <c r="M748">
        <v>0.04</v>
      </c>
      <c r="N748">
        <v>1</v>
      </c>
      <c r="O748">
        <v>0.04</v>
      </c>
      <c r="P748">
        <v>0.8</v>
      </c>
      <c r="Q748">
        <v>8.56</v>
      </c>
      <c r="R748">
        <v>7.72</v>
      </c>
      <c r="S748" t="s">
        <v>256</v>
      </c>
      <c r="T748" t="s">
        <v>257</v>
      </c>
      <c r="U748">
        <v>11</v>
      </c>
      <c r="V748">
        <v>7466.71</v>
      </c>
      <c r="W748">
        <v>4999.3599999999997</v>
      </c>
      <c r="X748">
        <v>4999.2</v>
      </c>
      <c r="Y748">
        <v>0</v>
      </c>
      <c r="Z748">
        <v>0</v>
      </c>
      <c r="AA748">
        <v>35</v>
      </c>
      <c r="AB748">
        <v>50</v>
      </c>
      <c r="AC748">
        <v>5000</v>
      </c>
      <c r="AD748">
        <v>0</v>
      </c>
      <c r="AE748">
        <v>0</v>
      </c>
      <c r="AF748">
        <v>7474.47</v>
      </c>
      <c r="AG748">
        <v>7474.47</v>
      </c>
      <c r="AH748" s="14">
        <v>46266</v>
      </c>
      <c r="AI748" t="s">
        <v>269</v>
      </c>
      <c r="AJ748" s="13">
        <v>46265.054768518516</v>
      </c>
      <c r="AK748">
        <v>7052.98</v>
      </c>
      <c r="AL748" t="s">
        <v>259</v>
      </c>
      <c r="AM748" t="s">
        <v>260</v>
      </c>
      <c r="AN748">
        <v>1400</v>
      </c>
      <c r="AO748">
        <v>0</v>
      </c>
      <c r="AP748">
        <v>35</v>
      </c>
      <c r="AQ748">
        <v>85</v>
      </c>
      <c r="AR748">
        <v>35</v>
      </c>
      <c r="AS748">
        <v>2</v>
      </c>
      <c r="AT748">
        <v>23</v>
      </c>
      <c r="AU748">
        <v>1</v>
      </c>
      <c r="AV748">
        <v>0</v>
      </c>
      <c r="AW748">
        <v>10</v>
      </c>
      <c r="AX748">
        <v>1</v>
      </c>
      <c r="AY748">
        <v>7</v>
      </c>
      <c r="AZ748">
        <v>3</v>
      </c>
      <c r="BA748">
        <v>1</v>
      </c>
      <c r="BB748">
        <v>1440</v>
      </c>
      <c r="BC748">
        <v>0</v>
      </c>
      <c r="BD748">
        <v>0</v>
      </c>
      <c r="BE748">
        <v>14</v>
      </c>
      <c r="BF748">
        <v>25</v>
      </c>
      <c r="BG748">
        <v>3</v>
      </c>
      <c r="BH748">
        <v>8</v>
      </c>
      <c r="BI748">
        <v>3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0</v>
      </c>
      <c r="BQ748">
        <v>60</v>
      </c>
      <c r="BR748">
        <v>0</v>
      </c>
      <c r="BS748">
        <v>3</v>
      </c>
      <c r="BT748" t="s">
        <v>248</v>
      </c>
      <c r="BU748" t="s">
        <v>270</v>
      </c>
      <c r="BV748" t="b">
        <v>0</v>
      </c>
      <c r="BW748" t="s">
        <v>271</v>
      </c>
    </row>
    <row r="749" spans="1:75">
      <c r="A749" t="s">
        <v>248</v>
      </c>
      <c r="B749" t="s">
        <v>252</v>
      </c>
      <c r="C749">
        <v>631</v>
      </c>
      <c r="D749" t="s">
        <v>253</v>
      </c>
      <c r="E749" t="s">
        <v>254</v>
      </c>
      <c r="F749">
        <v>5</v>
      </c>
      <c r="G749" s="13">
        <v>46266.249594907407</v>
      </c>
      <c r="H749" s="13">
        <v>46266.2500462963</v>
      </c>
      <c r="I749">
        <v>39</v>
      </c>
      <c r="J749" t="s">
        <v>255</v>
      </c>
      <c r="K749">
        <v>1</v>
      </c>
      <c r="L749">
        <v>0.04</v>
      </c>
      <c r="M749">
        <v>0.04</v>
      </c>
      <c r="N749">
        <v>1</v>
      </c>
      <c r="O749">
        <v>0.04</v>
      </c>
      <c r="P749">
        <v>0.96</v>
      </c>
      <c r="Q749">
        <v>5.32</v>
      </c>
      <c r="R749">
        <v>5.32</v>
      </c>
      <c r="S749" t="s">
        <v>256</v>
      </c>
      <c r="T749" t="s">
        <v>257</v>
      </c>
      <c r="U749">
        <v>10</v>
      </c>
      <c r="V749">
        <v>7473.83</v>
      </c>
      <c r="W749">
        <v>4999.3599999999997</v>
      </c>
      <c r="X749">
        <v>4999.04</v>
      </c>
      <c r="Y749">
        <v>0</v>
      </c>
      <c r="Z749">
        <v>0</v>
      </c>
      <c r="AA749">
        <v>35</v>
      </c>
      <c r="AB749">
        <v>50</v>
      </c>
      <c r="AC749">
        <v>5000</v>
      </c>
      <c r="AD749">
        <v>0</v>
      </c>
      <c r="AE749">
        <v>0</v>
      </c>
      <c r="AF749">
        <v>7478.39</v>
      </c>
      <c r="AG749">
        <v>7478.39</v>
      </c>
      <c r="AH749" s="14">
        <v>46266</v>
      </c>
      <c r="AI749" t="s">
        <v>269</v>
      </c>
      <c r="AJ749" s="13">
        <v>46265.054768518516</v>
      </c>
      <c r="AK749">
        <v>7052.98</v>
      </c>
      <c r="AL749" t="s">
        <v>259</v>
      </c>
      <c r="AM749" t="s">
        <v>260</v>
      </c>
      <c r="AN749">
        <v>1400</v>
      </c>
      <c r="AO749">
        <v>0</v>
      </c>
      <c r="AP749">
        <v>35</v>
      </c>
      <c r="AQ749">
        <v>85</v>
      </c>
      <c r="AR749">
        <v>35</v>
      </c>
      <c r="AS749">
        <v>2</v>
      </c>
      <c r="AT749">
        <v>23</v>
      </c>
      <c r="AU749">
        <v>1</v>
      </c>
      <c r="AV749">
        <v>0</v>
      </c>
      <c r="AW749">
        <v>10</v>
      </c>
      <c r="AX749">
        <v>1</v>
      </c>
      <c r="AY749">
        <v>7</v>
      </c>
      <c r="AZ749">
        <v>3</v>
      </c>
      <c r="BA749">
        <v>1</v>
      </c>
      <c r="BB749">
        <v>1440</v>
      </c>
      <c r="BC749">
        <v>0</v>
      </c>
      <c r="BD749">
        <v>0</v>
      </c>
      <c r="BE749">
        <v>14</v>
      </c>
      <c r="BF749">
        <v>25</v>
      </c>
      <c r="BG749">
        <v>3</v>
      </c>
      <c r="BH749">
        <v>8</v>
      </c>
      <c r="BI749">
        <v>3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0</v>
      </c>
      <c r="BQ749">
        <v>60</v>
      </c>
      <c r="BR749">
        <v>0</v>
      </c>
      <c r="BS749">
        <v>3</v>
      </c>
      <c r="BT749" t="s">
        <v>248</v>
      </c>
      <c r="BU749" t="s">
        <v>270</v>
      </c>
      <c r="BV749" t="b">
        <v>0</v>
      </c>
      <c r="BW749" t="s">
        <v>271</v>
      </c>
    </row>
    <row r="750" spans="1:75">
      <c r="A750" t="s">
        <v>248</v>
      </c>
      <c r="B750" t="s">
        <v>252</v>
      </c>
      <c r="C750">
        <v>632</v>
      </c>
      <c r="D750" t="s">
        <v>253</v>
      </c>
      <c r="E750" t="s">
        <v>254</v>
      </c>
      <c r="F750">
        <v>5</v>
      </c>
      <c r="G750" s="13">
        <v>46266.251793981479</v>
      </c>
      <c r="H750" s="13">
        <v>46266.252812500003</v>
      </c>
      <c r="I750">
        <v>88</v>
      </c>
      <c r="J750" t="s">
        <v>264</v>
      </c>
      <c r="K750">
        <v>1</v>
      </c>
      <c r="L750">
        <v>0.04</v>
      </c>
      <c r="M750">
        <v>0.04</v>
      </c>
      <c r="N750">
        <v>1</v>
      </c>
      <c r="O750">
        <v>0.04</v>
      </c>
      <c r="P750">
        <v>4.6399999999999997</v>
      </c>
      <c r="Q750">
        <v>3.44</v>
      </c>
      <c r="R750">
        <v>2.8</v>
      </c>
      <c r="S750" t="s">
        <v>256</v>
      </c>
      <c r="T750" t="s">
        <v>257</v>
      </c>
      <c r="U750">
        <v>10</v>
      </c>
      <c r="V750">
        <v>7477.71</v>
      </c>
      <c r="W750">
        <v>4999.32</v>
      </c>
      <c r="X750">
        <v>4995.3599999999997</v>
      </c>
      <c r="Y750">
        <v>0</v>
      </c>
      <c r="Z750">
        <v>0</v>
      </c>
      <c r="AA750">
        <v>35</v>
      </c>
      <c r="AB750">
        <v>50</v>
      </c>
      <c r="AC750">
        <v>5000</v>
      </c>
      <c r="AD750">
        <v>0</v>
      </c>
      <c r="AE750">
        <v>0</v>
      </c>
      <c r="AF750">
        <v>7480.43</v>
      </c>
      <c r="AG750">
        <v>7480.43</v>
      </c>
      <c r="AH750" s="14">
        <v>46266</v>
      </c>
      <c r="AI750" t="s">
        <v>269</v>
      </c>
      <c r="AJ750" s="13">
        <v>46265.054768518516</v>
      </c>
      <c r="AK750">
        <v>7052.98</v>
      </c>
      <c r="AL750" t="s">
        <v>259</v>
      </c>
      <c r="AM750" t="s">
        <v>260</v>
      </c>
      <c r="AN750">
        <v>1400</v>
      </c>
      <c r="AO750">
        <v>0</v>
      </c>
      <c r="AP750">
        <v>35</v>
      </c>
      <c r="AQ750">
        <v>85</v>
      </c>
      <c r="AR750">
        <v>35</v>
      </c>
      <c r="AS750">
        <v>2</v>
      </c>
      <c r="AT750">
        <v>23</v>
      </c>
      <c r="AU750">
        <v>1</v>
      </c>
      <c r="AV750">
        <v>0</v>
      </c>
      <c r="AW750">
        <v>10</v>
      </c>
      <c r="AX750">
        <v>1</v>
      </c>
      <c r="AY750">
        <v>7</v>
      </c>
      <c r="AZ750">
        <v>3</v>
      </c>
      <c r="BA750">
        <v>1</v>
      </c>
      <c r="BB750">
        <v>1440</v>
      </c>
      <c r="BC750">
        <v>0</v>
      </c>
      <c r="BD750">
        <v>0</v>
      </c>
      <c r="BE750">
        <v>14</v>
      </c>
      <c r="BF750">
        <v>25</v>
      </c>
      <c r="BG750">
        <v>3</v>
      </c>
      <c r="BH750">
        <v>8</v>
      </c>
      <c r="BI750">
        <v>3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0</v>
      </c>
      <c r="BQ750">
        <v>60</v>
      </c>
      <c r="BR750">
        <v>0</v>
      </c>
      <c r="BS750">
        <v>3</v>
      </c>
      <c r="BT750" t="s">
        <v>248</v>
      </c>
      <c r="BU750" t="s">
        <v>270</v>
      </c>
      <c r="BV750" t="b">
        <v>0</v>
      </c>
      <c r="BW750" t="s">
        <v>271</v>
      </c>
    </row>
    <row r="751" spans="1:75">
      <c r="A751" t="s">
        <v>248</v>
      </c>
      <c r="B751" t="s">
        <v>252</v>
      </c>
      <c r="C751">
        <v>633</v>
      </c>
      <c r="D751" t="s">
        <v>253</v>
      </c>
      <c r="E751" t="s">
        <v>254</v>
      </c>
      <c r="F751">
        <v>5</v>
      </c>
      <c r="G751" s="13">
        <v>46266.259629629632</v>
      </c>
      <c r="H751" s="13">
        <v>46266.263009259259</v>
      </c>
      <c r="I751">
        <v>292</v>
      </c>
      <c r="J751" t="s">
        <v>264</v>
      </c>
      <c r="K751">
        <v>1</v>
      </c>
      <c r="L751">
        <v>0.04</v>
      </c>
      <c r="M751">
        <v>0.04</v>
      </c>
      <c r="N751">
        <v>1</v>
      </c>
      <c r="O751">
        <v>0.04</v>
      </c>
      <c r="P751">
        <v>8.0399999999999991</v>
      </c>
      <c r="Q751">
        <v>3.96</v>
      </c>
      <c r="R751">
        <v>2.64</v>
      </c>
      <c r="S751" t="s">
        <v>256</v>
      </c>
      <c r="T751" t="s">
        <v>257</v>
      </c>
      <c r="U751">
        <v>11</v>
      </c>
      <c r="V751">
        <v>7479.75</v>
      </c>
      <c r="W751">
        <v>4999.32</v>
      </c>
      <c r="X751">
        <v>4991.96</v>
      </c>
      <c r="Y751">
        <v>0</v>
      </c>
      <c r="Z751">
        <v>0</v>
      </c>
      <c r="AA751">
        <v>35</v>
      </c>
      <c r="AB751">
        <v>50</v>
      </c>
      <c r="AC751">
        <v>5000</v>
      </c>
      <c r="AD751">
        <v>0</v>
      </c>
      <c r="AE751">
        <v>0</v>
      </c>
      <c r="AF751">
        <v>7482.99</v>
      </c>
      <c r="AG751">
        <v>7482.99</v>
      </c>
      <c r="AH751" s="14">
        <v>46266</v>
      </c>
      <c r="AI751" t="s">
        <v>269</v>
      </c>
      <c r="AJ751" s="13">
        <v>46265.054768518516</v>
      </c>
      <c r="AK751">
        <v>7052.98</v>
      </c>
      <c r="AL751" t="s">
        <v>259</v>
      </c>
      <c r="AM751" t="s">
        <v>260</v>
      </c>
      <c r="AN751">
        <v>1400</v>
      </c>
      <c r="AO751">
        <v>0</v>
      </c>
      <c r="AP751">
        <v>35</v>
      </c>
      <c r="AQ751">
        <v>85</v>
      </c>
      <c r="AR751">
        <v>35</v>
      </c>
      <c r="AS751">
        <v>2</v>
      </c>
      <c r="AT751">
        <v>23</v>
      </c>
      <c r="AU751">
        <v>1</v>
      </c>
      <c r="AV751">
        <v>0</v>
      </c>
      <c r="AW751">
        <v>10</v>
      </c>
      <c r="AX751">
        <v>1</v>
      </c>
      <c r="AY751">
        <v>7</v>
      </c>
      <c r="AZ751">
        <v>3</v>
      </c>
      <c r="BA751">
        <v>1</v>
      </c>
      <c r="BB751">
        <v>1440</v>
      </c>
      <c r="BC751">
        <v>0</v>
      </c>
      <c r="BD751">
        <v>0</v>
      </c>
      <c r="BE751">
        <v>14</v>
      </c>
      <c r="BF751">
        <v>25</v>
      </c>
      <c r="BG751">
        <v>3</v>
      </c>
      <c r="BH751">
        <v>8</v>
      </c>
      <c r="BI751">
        <v>3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0</v>
      </c>
      <c r="BQ751">
        <v>60</v>
      </c>
      <c r="BR751">
        <v>0</v>
      </c>
      <c r="BS751">
        <v>3</v>
      </c>
      <c r="BT751" t="s">
        <v>248</v>
      </c>
      <c r="BU751" t="s">
        <v>270</v>
      </c>
      <c r="BV751" t="b">
        <v>0</v>
      </c>
      <c r="BW751" t="s">
        <v>271</v>
      </c>
    </row>
    <row r="752" spans="1:75">
      <c r="A752" t="s">
        <v>248</v>
      </c>
      <c r="B752" t="s">
        <v>252</v>
      </c>
      <c r="C752">
        <v>634</v>
      </c>
      <c r="D752" t="s">
        <v>253</v>
      </c>
      <c r="E752" t="s">
        <v>254</v>
      </c>
      <c r="F752">
        <v>5</v>
      </c>
      <c r="G752" s="13">
        <v>46266.263738425929</v>
      </c>
      <c r="H752" s="13">
        <v>46266.264039351852</v>
      </c>
      <c r="I752">
        <v>26</v>
      </c>
      <c r="J752" t="s">
        <v>264</v>
      </c>
      <c r="K752">
        <v>1</v>
      </c>
      <c r="L752">
        <v>0.04</v>
      </c>
      <c r="M752">
        <v>0.04</v>
      </c>
      <c r="N752">
        <v>1</v>
      </c>
      <c r="O752">
        <v>0.04</v>
      </c>
      <c r="P752">
        <v>0.64</v>
      </c>
      <c r="Q752">
        <v>3.48</v>
      </c>
      <c r="R752">
        <v>2.3199999999999998</v>
      </c>
      <c r="S752" t="s">
        <v>256</v>
      </c>
      <c r="T752" t="s">
        <v>257</v>
      </c>
      <c r="U752">
        <v>11</v>
      </c>
      <c r="V752">
        <v>7482.35</v>
      </c>
      <c r="W752">
        <v>4999.3599999999997</v>
      </c>
      <c r="X752">
        <v>4999.3599999999997</v>
      </c>
      <c r="Y752">
        <v>0</v>
      </c>
      <c r="Z752">
        <v>0</v>
      </c>
      <c r="AA752">
        <v>35</v>
      </c>
      <c r="AB752">
        <v>50</v>
      </c>
      <c r="AC752">
        <v>5000</v>
      </c>
      <c r="AD752">
        <v>0</v>
      </c>
      <c r="AE752">
        <v>0</v>
      </c>
      <c r="AF752">
        <v>7485.07</v>
      </c>
      <c r="AG752">
        <v>7485.07</v>
      </c>
      <c r="AH752" s="14">
        <v>46266</v>
      </c>
      <c r="AI752" t="s">
        <v>269</v>
      </c>
      <c r="AJ752" s="13">
        <v>46265.054768518516</v>
      </c>
      <c r="AK752">
        <v>7052.98</v>
      </c>
      <c r="AL752" t="s">
        <v>259</v>
      </c>
      <c r="AM752" t="s">
        <v>260</v>
      </c>
      <c r="AN752">
        <v>1400</v>
      </c>
      <c r="AO752">
        <v>0</v>
      </c>
      <c r="AP752">
        <v>35</v>
      </c>
      <c r="AQ752">
        <v>85</v>
      </c>
      <c r="AR752">
        <v>35</v>
      </c>
      <c r="AS752">
        <v>2</v>
      </c>
      <c r="AT752">
        <v>23</v>
      </c>
      <c r="AU752">
        <v>1</v>
      </c>
      <c r="AV752">
        <v>0</v>
      </c>
      <c r="AW752">
        <v>10</v>
      </c>
      <c r="AX752">
        <v>1</v>
      </c>
      <c r="AY752">
        <v>7</v>
      </c>
      <c r="AZ752">
        <v>3</v>
      </c>
      <c r="BA752">
        <v>1</v>
      </c>
      <c r="BB752">
        <v>1440</v>
      </c>
      <c r="BC752">
        <v>0</v>
      </c>
      <c r="BD752">
        <v>0</v>
      </c>
      <c r="BE752">
        <v>14</v>
      </c>
      <c r="BF752">
        <v>25</v>
      </c>
      <c r="BG752">
        <v>3</v>
      </c>
      <c r="BH752">
        <v>8</v>
      </c>
      <c r="BI752">
        <v>3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0</v>
      </c>
      <c r="BQ752">
        <v>60</v>
      </c>
      <c r="BR752">
        <v>0</v>
      </c>
      <c r="BS752">
        <v>3</v>
      </c>
      <c r="BT752" t="s">
        <v>248</v>
      </c>
      <c r="BU752" t="s">
        <v>270</v>
      </c>
      <c r="BV752" t="b">
        <v>0</v>
      </c>
      <c r="BW752" t="s">
        <v>271</v>
      </c>
    </row>
    <row r="753" spans="1:75">
      <c r="A753" t="s">
        <v>248</v>
      </c>
      <c r="B753" t="s">
        <v>252</v>
      </c>
      <c r="C753">
        <v>635</v>
      </c>
      <c r="D753" t="s">
        <v>253</v>
      </c>
      <c r="E753" t="s">
        <v>254</v>
      </c>
      <c r="F753">
        <v>5</v>
      </c>
      <c r="G753" s="13">
        <v>46266.265428240738</v>
      </c>
      <c r="H753" s="13">
        <v>46266.267997685187</v>
      </c>
      <c r="I753">
        <v>222</v>
      </c>
      <c r="J753" t="s">
        <v>264</v>
      </c>
      <c r="K753">
        <v>1</v>
      </c>
      <c r="L753">
        <v>0.04</v>
      </c>
      <c r="M753">
        <v>0.04</v>
      </c>
      <c r="N753">
        <v>1</v>
      </c>
      <c r="O753">
        <v>0.04</v>
      </c>
      <c r="P753">
        <v>6.76</v>
      </c>
      <c r="Q753">
        <v>4.92</v>
      </c>
      <c r="R753">
        <v>3.6</v>
      </c>
      <c r="S753" t="s">
        <v>256</v>
      </c>
      <c r="T753" t="s">
        <v>257</v>
      </c>
      <c r="U753">
        <v>11</v>
      </c>
      <c r="V753">
        <v>7484.39</v>
      </c>
      <c r="W753">
        <v>4999.32</v>
      </c>
      <c r="X753">
        <v>4993.24</v>
      </c>
      <c r="Y753">
        <v>0</v>
      </c>
      <c r="Z753">
        <v>0</v>
      </c>
      <c r="AA753">
        <v>35</v>
      </c>
      <c r="AB753">
        <v>50</v>
      </c>
      <c r="AC753">
        <v>5000</v>
      </c>
      <c r="AD753">
        <v>0</v>
      </c>
      <c r="AE753">
        <v>0</v>
      </c>
      <c r="AF753">
        <v>7488.59</v>
      </c>
      <c r="AG753">
        <v>7488.59</v>
      </c>
      <c r="AH753" s="14">
        <v>46266</v>
      </c>
      <c r="AI753" t="s">
        <v>269</v>
      </c>
      <c r="AJ753" s="13">
        <v>46265.054768518516</v>
      </c>
      <c r="AK753">
        <v>7052.98</v>
      </c>
      <c r="AL753" t="s">
        <v>259</v>
      </c>
      <c r="AM753" t="s">
        <v>260</v>
      </c>
      <c r="AN753">
        <v>1400</v>
      </c>
      <c r="AO753">
        <v>0</v>
      </c>
      <c r="AP753">
        <v>35</v>
      </c>
      <c r="AQ753">
        <v>85</v>
      </c>
      <c r="AR753">
        <v>35</v>
      </c>
      <c r="AS753">
        <v>2</v>
      </c>
      <c r="AT753">
        <v>23</v>
      </c>
      <c r="AU753">
        <v>1</v>
      </c>
      <c r="AV753">
        <v>0</v>
      </c>
      <c r="AW753">
        <v>10</v>
      </c>
      <c r="AX753">
        <v>1</v>
      </c>
      <c r="AY753">
        <v>7</v>
      </c>
      <c r="AZ753">
        <v>3</v>
      </c>
      <c r="BA753">
        <v>1</v>
      </c>
      <c r="BB753">
        <v>1440</v>
      </c>
      <c r="BC753">
        <v>0</v>
      </c>
      <c r="BD753">
        <v>0</v>
      </c>
      <c r="BE753">
        <v>14</v>
      </c>
      <c r="BF753">
        <v>25</v>
      </c>
      <c r="BG753">
        <v>3</v>
      </c>
      <c r="BH753">
        <v>8</v>
      </c>
      <c r="BI753">
        <v>3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0</v>
      </c>
      <c r="BQ753">
        <v>60</v>
      </c>
      <c r="BR753">
        <v>0</v>
      </c>
      <c r="BS753">
        <v>3</v>
      </c>
      <c r="BT753" t="s">
        <v>248</v>
      </c>
      <c r="BU753" t="s">
        <v>270</v>
      </c>
      <c r="BV753" t="b">
        <v>0</v>
      </c>
      <c r="BW753" t="s">
        <v>271</v>
      </c>
    </row>
    <row r="754" spans="1:75">
      <c r="A754" t="s">
        <v>248</v>
      </c>
      <c r="B754" t="s">
        <v>252</v>
      </c>
      <c r="C754">
        <v>636</v>
      </c>
      <c r="D754" t="s">
        <v>253</v>
      </c>
      <c r="E754" t="s">
        <v>254</v>
      </c>
      <c r="F754">
        <v>5</v>
      </c>
      <c r="G754" s="13">
        <v>46266.269131944442</v>
      </c>
      <c r="H754" s="13">
        <v>46266.26934027778</v>
      </c>
      <c r="I754">
        <v>18</v>
      </c>
      <c r="J754" t="s">
        <v>255</v>
      </c>
      <c r="K754">
        <v>1</v>
      </c>
      <c r="L754">
        <v>0.04</v>
      </c>
      <c r="M754">
        <v>0.04</v>
      </c>
      <c r="N754">
        <v>1</v>
      </c>
      <c r="O754">
        <v>0.04</v>
      </c>
      <c r="P754">
        <v>0.68</v>
      </c>
      <c r="Q754">
        <v>3.28</v>
      </c>
      <c r="R754">
        <v>1.88</v>
      </c>
      <c r="S754" t="s">
        <v>256</v>
      </c>
      <c r="T754" t="s">
        <v>257</v>
      </c>
      <c r="U754">
        <v>11</v>
      </c>
      <c r="V754">
        <v>7487.91</v>
      </c>
      <c r="W754">
        <v>4999.32</v>
      </c>
      <c r="X754">
        <v>4999.32</v>
      </c>
      <c r="Y754">
        <v>0</v>
      </c>
      <c r="Z754">
        <v>0</v>
      </c>
      <c r="AA754">
        <v>35</v>
      </c>
      <c r="AB754">
        <v>50</v>
      </c>
      <c r="AC754">
        <v>5000</v>
      </c>
      <c r="AD754">
        <v>0</v>
      </c>
      <c r="AE754">
        <v>0</v>
      </c>
      <c r="AF754">
        <v>7490.47</v>
      </c>
      <c r="AG754">
        <v>7490.47</v>
      </c>
      <c r="AH754" s="14">
        <v>46266</v>
      </c>
      <c r="AI754" t="s">
        <v>269</v>
      </c>
      <c r="AJ754" s="13">
        <v>46265.054768518516</v>
      </c>
      <c r="AK754">
        <v>7052.98</v>
      </c>
      <c r="AL754" t="s">
        <v>259</v>
      </c>
      <c r="AM754" t="s">
        <v>260</v>
      </c>
      <c r="AN754">
        <v>1400</v>
      </c>
      <c r="AO754">
        <v>0</v>
      </c>
      <c r="AP754">
        <v>35</v>
      </c>
      <c r="AQ754">
        <v>85</v>
      </c>
      <c r="AR754">
        <v>35</v>
      </c>
      <c r="AS754">
        <v>2</v>
      </c>
      <c r="AT754">
        <v>23</v>
      </c>
      <c r="AU754">
        <v>1</v>
      </c>
      <c r="AV754">
        <v>0</v>
      </c>
      <c r="AW754">
        <v>10</v>
      </c>
      <c r="AX754">
        <v>1</v>
      </c>
      <c r="AY754">
        <v>7</v>
      </c>
      <c r="AZ754">
        <v>3</v>
      </c>
      <c r="BA754">
        <v>1</v>
      </c>
      <c r="BB754">
        <v>1440</v>
      </c>
      <c r="BC754">
        <v>0</v>
      </c>
      <c r="BD754">
        <v>0</v>
      </c>
      <c r="BE754">
        <v>14</v>
      </c>
      <c r="BF754">
        <v>25</v>
      </c>
      <c r="BG754">
        <v>3</v>
      </c>
      <c r="BH754">
        <v>8</v>
      </c>
      <c r="BI754">
        <v>3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0</v>
      </c>
      <c r="BQ754">
        <v>60</v>
      </c>
      <c r="BR754">
        <v>0</v>
      </c>
      <c r="BS754">
        <v>3</v>
      </c>
      <c r="BT754" t="s">
        <v>248</v>
      </c>
      <c r="BU754" t="s">
        <v>270</v>
      </c>
      <c r="BV754" t="b">
        <v>0</v>
      </c>
      <c r="BW754" t="s">
        <v>271</v>
      </c>
    </row>
    <row r="755" spans="1:75">
      <c r="A755" t="s">
        <v>248</v>
      </c>
      <c r="B755" t="s">
        <v>252</v>
      </c>
      <c r="C755">
        <v>637</v>
      </c>
      <c r="D755" t="s">
        <v>253</v>
      </c>
      <c r="E755" t="s">
        <v>254</v>
      </c>
      <c r="F755">
        <v>5</v>
      </c>
      <c r="G755" s="13">
        <v>46266.276666666665</v>
      </c>
      <c r="H755" s="13">
        <v>46266.277916666666</v>
      </c>
      <c r="I755">
        <v>108</v>
      </c>
      <c r="J755" t="s">
        <v>255</v>
      </c>
      <c r="K755">
        <v>1</v>
      </c>
      <c r="L755">
        <v>0.04</v>
      </c>
      <c r="M755">
        <v>0.04</v>
      </c>
      <c r="N755">
        <v>1</v>
      </c>
      <c r="O755">
        <v>0.04</v>
      </c>
      <c r="P755">
        <v>7.24</v>
      </c>
      <c r="Q755">
        <v>4.4800000000000004</v>
      </c>
      <c r="R755">
        <v>3.4</v>
      </c>
      <c r="S755" t="s">
        <v>256</v>
      </c>
      <c r="T755" t="s">
        <v>257</v>
      </c>
      <c r="U755">
        <v>11</v>
      </c>
      <c r="V755">
        <v>7489.79</v>
      </c>
      <c r="W755">
        <v>4999.32</v>
      </c>
      <c r="X755">
        <v>4992.76</v>
      </c>
      <c r="Y755">
        <v>0</v>
      </c>
      <c r="Z755">
        <v>0</v>
      </c>
      <c r="AA755">
        <v>35</v>
      </c>
      <c r="AB755">
        <v>50</v>
      </c>
      <c r="AC755">
        <v>5000</v>
      </c>
      <c r="AD755">
        <v>0</v>
      </c>
      <c r="AE755">
        <v>0</v>
      </c>
      <c r="AF755">
        <v>7493.55</v>
      </c>
      <c r="AG755">
        <v>7493.55</v>
      </c>
      <c r="AH755" s="14">
        <v>46266</v>
      </c>
      <c r="AI755" t="s">
        <v>269</v>
      </c>
      <c r="AJ755" s="13">
        <v>46265.054768518516</v>
      </c>
      <c r="AK755">
        <v>7052.98</v>
      </c>
      <c r="AL755" t="s">
        <v>259</v>
      </c>
      <c r="AM755" t="s">
        <v>260</v>
      </c>
      <c r="AN755">
        <v>1400</v>
      </c>
      <c r="AO755">
        <v>0</v>
      </c>
      <c r="AP755">
        <v>35</v>
      </c>
      <c r="AQ755">
        <v>85</v>
      </c>
      <c r="AR755">
        <v>35</v>
      </c>
      <c r="AS755">
        <v>2</v>
      </c>
      <c r="AT755">
        <v>23</v>
      </c>
      <c r="AU755">
        <v>1</v>
      </c>
      <c r="AV755">
        <v>0</v>
      </c>
      <c r="AW755">
        <v>10</v>
      </c>
      <c r="AX755">
        <v>1</v>
      </c>
      <c r="AY755">
        <v>7</v>
      </c>
      <c r="AZ755">
        <v>3</v>
      </c>
      <c r="BA755">
        <v>1</v>
      </c>
      <c r="BB755">
        <v>1440</v>
      </c>
      <c r="BC755">
        <v>0</v>
      </c>
      <c r="BD755">
        <v>0</v>
      </c>
      <c r="BE755">
        <v>14</v>
      </c>
      <c r="BF755">
        <v>25</v>
      </c>
      <c r="BG755">
        <v>3</v>
      </c>
      <c r="BH755">
        <v>8</v>
      </c>
      <c r="BI755">
        <v>3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0</v>
      </c>
      <c r="BQ755">
        <v>60</v>
      </c>
      <c r="BR755">
        <v>0</v>
      </c>
      <c r="BS755">
        <v>3</v>
      </c>
      <c r="BT755" t="s">
        <v>248</v>
      </c>
      <c r="BU755" t="s">
        <v>270</v>
      </c>
      <c r="BV755" t="b">
        <v>0</v>
      </c>
      <c r="BW755" t="s">
        <v>271</v>
      </c>
    </row>
    <row r="756" spans="1:75">
      <c r="A756" t="s">
        <v>248</v>
      </c>
      <c r="B756" t="s">
        <v>252</v>
      </c>
      <c r="C756">
        <v>638</v>
      </c>
      <c r="D756" t="s">
        <v>253</v>
      </c>
      <c r="E756" t="s">
        <v>254</v>
      </c>
      <c r="F756">
        <v>5</v>
      </c>
      <c r="G756" s="13">
        <v>46266.284490740742</v>
      </c>
      <c r="H756" s="13">
        <v>46266.355104166665</v>
      </c>
      <c r="I756">
        <v>6101</v>
      </c>
      <c r="J756" t="s">
        <v>255</v>
      </c>
      <c r="K756">
        <v>6</v>
      </c>
      <c r="L756">
        <v>0.24</v>
      </c>
      <c r="M756">
        <v>0.04</v>
      </c>
      <c r="N756">
        <v>6</v>
      </c>
      <c r="O756">
        <v>0.24</v>
      </c>
      <c r="P756">
        <v>168.52</v>
      </c>
      <c r="Q756">
        <v>42.48</v>
      </c>
      <c r="R756">
        <v>38.4</v>
      </c>
      <c r="S756" t="s">
        <v>263</v>
      </c>
      <c r="T756" t="s">
        <v>257</v>
      </c>
      <c r="U756">
        <v>15</v>
      </c>
      <c r="V756">
        <v>7492.91</v>
      </c>
      <c r="W756">
        <v>4999.3599999999997</v>
      </c>
      <c r="X756">
        <v>4831.4799999999996</v>
      </c>
      <c r="Y756">
        <v>0</v>
      </c>
      <c r="Z756">
        <v>0</v>
      </c>
      <c r="AA756">
        <v>35</v>
      </c>
      <c r="AB756">
        <v>50</v>
      </c>
      <c r="AC756">
        <v>5000</v>
      </c>
      <c r="AD756">
        <v>0</v>
      </c>
      <c r="AE756">
        <v>0</v>
      </c>
      <c r="AF756">
        <v>7532.51</v>
      </c>
      <c r="AG756">
        <v>7532.51</v>
      </c>
      <c r="AH756" s="14">
        <v>46266</v>
      </c>
      <c r="AI756" t="s">
        <v>269</v>
      </c>
      <c r="AJ756" s="13">
        <v>46265.054768518516</v>
      </c>
      <c r="AK756">
        <v>7052.98</v>
      </c>
      <c r="AL756" t="s">
        <v>259</v>
      </c>
      <c r="AM756" t="s">
        <v>260</v>
      </c>
      <c r="AN756">
        <v>1400</v>
      </c>
      <c r="AO756">
        <v>0</v>
      </c>
      <c r="AP756">
        <v>35</v>
      </c>
      <c r="AQ756">
        <v>85</v>
      </c>
      <c r="AR756">
        <v>35</v>
      </c>
      <c r="AS756">
        <v>2</v>
      </c>
      <c r="AT756">
        <v>23</v>
      </c>
      <c r="AU756">
        <v>1</v>
      </c>
      <c r="AV756">
        <v>0</v>
      </c>
      <c r="AW756">
        <v>10</v>
      </c>
      <c r="AX756">
        <v>1</v>
      </c>
      <c r="AY756">
        <v>7</v>
      </c>
      <c r="AZ756">
        <v>3</v>
      </c>
      <c r="BA756">
        <v>1</v>
      </c>
      <c r="BB756">
        <v>1440</v>
      </c>
      <c r="BC756">
        <v>0</v>
      </c>
      <c r="BD756">
        <v>0</v>
      </c>
      <c r="BE756">
        <v>14</v>
      </c>
      <c r="BF756">
        <v>25</v>
      </c>
      <c r="BG756">
        <v>3</v>
      </c>
      <c r="BH756">
        <v>8</v>
      </c>
      <c r="BI756">
        <v>3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0</v>
      </c>
      <c r="BQ756">
        <v>60</v>
      </c>
      <c r="BR756">
        <v>0</v>
      </c>
      <c r="BS756">
        <v>3</v>
      </c>
      <c r="BT756" t="s">
        <v>248</v>
      </c>
      <c r="BU756" t="s">
        <v>270</v>
      </c>
      <c r="BV756" t="b">
        <v>0</v>
      </c>
      <c r="BW756" t="s">
        <v>271</v>
      </c>
    </row>
    <row r="757" spans="1:75">
      <c r="A757" t="s">
        <v>248</v>
      </c>
      <c r="B757" t="s">
        <v>252</v>
      </c>
      <c r="C757">
        <v>639</v>
      </c>
      <c r="D757" t="s">
        <v>253</v>
      </c>
      <c r="E757" t="s">
        <v>254</v>
      </c>
      <c r="F757">
        <v>5</v>
      </c>
      <c r="G757" s="13">
        <v>46266.358194444445</v>
      </c>
      <c r="H757" s="13">
        <v>46266.360451388886</v>
      </c>
      <c r="I757">
        <v>195</v>
      </c>
      <c r="J757" t="s">
        <v>255</v>
      </c>
      <c r="K757">
        <v>1</v>
      </c>
      <c r="L757">
        <v>0.04</v>
      </c>
      <c r="M757">
        <v>0.04</v>
      </c>
      <c r="N757">
        <v>1</v>
      </c>
      <c r="O757">
        <v>0.04</v>
      </c>
      <c r="P757">
        <v>7.52</v>
      </c>
      <c r="Q757">
        <v>12</v>
      </c>
      <c r="R757">
        <v>11.96</v>
      </c>
      <c r="S757" t="s">
        <v>256</v>
      </c>
      <c r="T757" t="s">
        <v>257</v>
      </c>
      <c r="U757">
        <v>10</v>
      </c>
      <c r="V757">
        <v>7531.87</v>
      </c>
      <c r="W757">
        <v>4999.3599999999997</v>
      </c>
      <c r="X757">
        <v>4992.4799999999996</v>
      </c>
      <c r="Y757">
        <v>0</v>
      </c>
      <c r="Z757">
        <v>0</v>
      </c>
      <c r="AA757">
        <v>35</v>
      </c>
      <c r="AB757">
        <v>50</v>
      </c>
      <c r="AC757">
        <v>5000</v>
      </c>
      <c r="AD757">
        <v>0</v>
      </c>
      <c r="AE757">
        <v>0</v>
      </c>
      <c r="AF757">
        <v>7543.11</v>
      </c>
      <c r="AG757">
        <v>7543.11</v>
      </c>
      <c r="AH757" s="14">
        <v>46266</v>
      </c>
      <c r="AI757" t="s">
        <v>269</v>
      </c>
      <c r="AJ757" s="13">
        <v>46265.054768518516</v>
      </c>
      <c r="AK757">
        <v>7052.98</v>
      </c>
      <c r="AL757" t="s">
        <v>259</v>
      </c>
      <c r="AM757" t="s">
        <v>260</v>
      </c>
      <c r="AN757">
        <v>1400</v>
      </c>
      <c r="AO757">
        <v>0</v>
      </c>
      <c r="AP757">
        <v>35</v>
      </c>
      <c r="AQ757">
        <v>85</v>
      </c>
      <c r="AR757">
        <v>35</v>
      </c>
      <c r="AS757">
        <v>2</v>
      </c>
      <c r="AT757">
        <v>23</v>
      </c>
      <c r="AU757">
        <v>1</v>
      </c>
      <c r="AV757">
        <v>0</v>
      </c>
      <c r="AW757">
        <v>10</v>
      </c>
      <c r="AX757">
        <v>1</v>
      </c>
      <c r="AY757">
        <v>7</v>
      </c>
      <c r="AZ757">
        <v>3</v>
      </c>
      <c r="BA757">
        <v>1</v>
      </c>
      <c r="BB757">
        <v>1440</v>
      </c>
      <c r="BC757">
        <v>0</v>
      </c>
      <c r="BD757">
        <v>0</v>
      </c>
      <c r="BE757">
        <v>14</v>
      </c>
      <c r="BF757">
        <v>25</v>
      </c>
      <c r="BG757">
        <v>3</v>
      </c>
      <c r="BH757">
        <v>8</v>
      </c>
      <c r="BI757">
        <v>3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0</v>
      </c>
      <c r="BQ757">
        <v>60</v>
      </c>
      <c r="BR757">
        <v>0</v>
      </c>
      <c r="BS757">
        <v>3</v>
      </c>
      <c r="BT757" t="s">
        <v>248</v>
      </c>
      <c r="BU757" t="s">
        <v>270</v>
      </c>
      <c r="BV757" t="b">
        <v>0</v>
      </c>
      <c r="BW757" t="s">
        <v>271</v>
      </c>
    </row>
    <row r="758" spans="1:75">
      <c r="A758" t="s">
        <v>248</v>
      </c>
      <c r="B758" t="s">
        <v>252</v>
      </c>
      <c r="C758">
        <v>640</v>
      </c>
      <c r="D758" t="s">
        <v>253</v>
      </c>
      <c r="E758" t="s">
        <v>254</v>
      </c>
      <c r="F758">
        <v>5</v>
      </c>
      <c r="G758" s="13">
        <v>46266.362534722219</v>
      </c>
      <c r="H758" s="13">
        <v>46266.364537037036</v>
      </c>
      <c r="I758">
        <v>173</v>
      </c>
      <c r="J758" t="s">
        <v>255</v>
      </c>
      <c r="K758">
        <v>1</v>
      </c>
      <c r="L758">
        <v>0.04</v>
      </c>
      <c r="M758">
        <v>0.04</v>
      </c>
      <c r="N758">
        <v>1</v>
      </c>
      <c r="O758">
        <v>0.04</v>
      </c>
      <c r="P758">
        <v>8.1199999999999992</v>
      </c>
      <c r="Q758">
        <v>5.4</v>
      </c>
      <c r="R758">
        <v>3.96</v>
      </c>
      <c r="S758" t="s">
        <v>256</v>
      </c>
      <c r="T758" t="s">
        <v>257</v>
      </c>
      <c r="U758">
        <v>10</v>
      </c>
      <c r="V758">
        <v>7542.43</v>
      </c>
      <c r="W758">
        <v>4999.32</v>
      </c>
      <c r="X758">
        <v>4991.88</v>
      </c>
      <c r="Y758">
        <v>0</v>
      </c>
      <c r="Z758">
        <v>0</v>
      </c>
      <c r="AA758">
        <v>35</v>
      </c>
      <c r="AB758">
        <v>50</v>
      </c>
      <c r="AC758">
        <v>5000</v>
      </c>
      <c r="AD758">
        <v>0</v>
      </c>
      <c r="AE758">
        <v>0</v>
      </c>
      <c r="AF758">
        <v>7547.11</v>
      </c>
      <c r="AG758">
        <v>7547.11</v>
      </c>
      <c r="AH758" s="14">
        <v>46266</v>
      </c>
      <c r="AI758" t="s">
        <v>269</v>
      </c>
      <c r="AJ758" s="13">
        <v>46265.054768518516</v>
      </c>
      <c r="AK758">
        <v>7052.98</v>
      </c>
      <c r="AL758" t="s">
        <v>259</v>
      </c>
      <c r="AM758" t="s">
        <v>260</v>
      </c>
      <c r="AN758">
        <v>1400</v>
      </c>
      <c r="AO758">
        <v>0</v>
      </c>
      <c r="AP758">
        <v>35</v>
      </c>
      <c r="AQ758">
        <v>85</v>
      </c>
      <c r="AR758">
        <v>35</v>
      </c>
      <c r="AS758">
        <v>2</v>
      </c>
      <c r="AT758">
        <v>23</v>
      </c>
      <c r="AU758">
        <v>1</v>
      </c>
      <c r="AV758">
        <v>0</v>
      </c>
      <c r="AW758">
        <v>10</v>
      </c>
      <c r="AX758">
        <v>1</v>
      </c>
      <c r="AY758">
        <v>7</v>
      </c>
      <c r="AZ758">
        <v>3</v>
      </c>
      <c r="BA758">
        <v>1</v>
      </c>
      <c r="BB758">
        <v>1440</v>
      </c>
      <c r="BC758">
        <v>0</v>
      </c>
      <c r="BD758">
        <v>0</v>
      </c>
      <c r="BE758">
        <v>14</v>
      </c>
      <c r="BF758">
        <v>25</v>
      </c>
      <c r="BG758">
        <v>3</v>
      </c>
      <c r="BH758">
        <v>8</v>
      </c>
      <c r="BI758">
        <v>3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0</v>
      </c>
      <c r="BQ758">
        <v>60</v>
      </c>
      <c r="BR758">
        <v>0</v>
      </c>
      <c r="BS758">
        <v>3</v>
      </c>
      <c r="BT758" t="s">
        <v>248</v>
      </c>
      <c r="BU758" t="s">
        <v>270</v>
      </c>
      <c r="BV758" t="b">
        <v>0</v>
      </c>
      <c r="BW758" t="s">
        <v>271</v>
      </c>
    </row>
    <row r="759" spans="1:75">
      <c r="A759" t="s">
        <v>248</v>
      </c>
      <c r="B759" t="s">
        <v>252</v>
      </c>
      <c r="C759">
        <v>641</v>
      </c>
      <c r="D759" t="s">
        <v>253</v>
      </c>
      <c r="E759" t="s">
        <v>254</v>
      </c>
      <c r="F759">
        <v>5</v>
      </c>
      <c r="G759" s="13">
        <v>46266.366111111114</v>
      </c>
      <c r="H759" s="13">
        <v>46266.37462962963</v>
      </c>
      <c r="I759">
        <v>736</v>
      </c>
      <c r="J759" t="s">
        <v>264</v>
      </c>
      <c r="K759">
        <v>3</v>
      </c>
      <c r="L759">
        <v>0.12</v>
      </c>
      <c r="M759">
        <v>0.04</v>
      </c>
      <c r="N759">
        <v>3</v>
      </c>
      <c r="O759">
        <v>0.12</v>
      </c>
      <c r="P759">
        <v>33.479999999999997</v>
      </c>
      <c r="Q759">
        <v>7.2</v>
      </c>
      <c r="R759">
        <v>4.08</v>
      </c>
      <c r="S759" t="s">
        <v>263</v>
      </c>
      <c r="T759" t="s">
        <v>257</v>
      </c>
      <c r="U759">
        <v>11</v>
      </c>
      <c r="V759">
        <v>7546.27</v>
      </c>
      <c r="W759">
        <v>4999.16</v>
      </c>
      <c r="X759">
        <v>4966.5200000000004</v>
      </c>
      <c r="Y759">
        <v>0</v>
      </c>
      <c r="Z759">
        <v>0</v>
      </c>
      <c r="AA759">
        <v>35</v>
      </c>
      <c r="AB759">
        <v>50</v>
      </c>
      <c r="AC759">
        <v>5000</v>
      </c>
      <c r="AD759">
        <v>0</v>
      </c>
      <c r="AE759">
        <v>0</v>
      </c>
      <c r="AF759">
        <v>7550.71</v>
      </c>
      <c r="AG759">
        <v>7550.71</v>
      </c>
      <c r="AH759" s="14">
        <v>46266</v>
      </c>
      <c r="AI759" t="s">
        <v>269</v>
      </c>
      <c r="AJ759" s="13">
        <v>46265.054768518516</v>
      </c>
      <c r="AK759">
        <v>7052.98</v>
      </c>
      <c r="AL759" t="s">
        <v>259</v>
      </c>
      <c r="AM759" t="s">
        <v>260</v>
      </c>
      <c r="AN759">
        <v>1400</v>
      </c>
      <c r="AO759">
        <v>0</v>
      </c>
      <c r="AP759">
        <v>35</v>
      </c>
      <c r="AQ759">
        <v>85</v>
      </c>
      <c r="AR759">
        <v>35</v>
      </c>
      <c r="AS759">
        <v>2</v>
      </c>
      <c r="AT759">
        <v>23</v>
      </c>
      <c r="AU759">
        <v>1</v>
      </c>
      <c r="AV759">
        <v>0</v>
      </c>
      <c r="AW759">
        <v>10</v>
      </c>
      <c r="AX759">
        <v>1</v>
      </c>
      <c r="AY759">
        <v>7</v>
      </c>
      <c r="AZ759">
        <v>3</v>
      </c>
      <c r="BA759">
        <v>1</v>
      </c>
      <c r="BB759">
        <v>1440</v>
      </c>
      <c r="BC759">
        <v>0</v>
      </c>
      <c r="BD759">
        <v>0</v>
      </c>
      <c r="BE759">
        <v>14</v>
      </c>
      <c r="BF759">
        <v>25</v>
      </c>
      <c r="BG759">
        <v>3</v>
      </c>
      <c r="BH759">
        <v>8</v>
      </c>
      <c r="BI759">
        <v>3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0</v>
      </c>
      <c r="BQ759">
        <v>60</v>
      </c>
      <c r="BR759">
        <v>0</v>
      </c>
      <c r="BS759">
        <v>3</v>
      </c>
      <c r="BT759" t="s">
        <v>248</v>
      </c>
      <c r="BU759" t="s">
        <v>270</v>
      </c>
      <c r="BV759" t="b">
        <v>0</v>
      </c>
      <c r="BW759" t="s">
        <v>271</v>
      </c>
    </row>
    <row r="760" spans="1:75">
      <c r="A760" t="s">
        <v>248</v>
      </c>
      <c r="B760" t="s">
        <v>252</v>
      </c>
      <c r="C760">
        <v>642</v>
      </c>
      <c r="D760" t="s">
        <v>253</v>
      </c>
      <c r="E760" t="s">
        <v>254</v>
      </c>
      <c r="F760">
        <v>5</v>
      </c>
      <c r="G760" s="13">
        <v>46266.377430555556</v>
      </c>
      <c r="H760" s="13">
        <v>46266.37809027778</v>
      </c>
      <c r="I760">
        <v>57</v>
      </c>
      <c r="J760" t="s">
        <v>264</v>
      </c>
      <c r="K760">
        <v>1</v>
      </c>
      <c r="L760">
        <v>0.04</v>
      </c>
      <c r="M760">
        <v>0.04</v>
      </c>
      <c r="N760">
        <v>1</v>
      </c>
      <c r="O760">
        <v>0.04</v>
      </c>
      <c r="P760">
        <v>1.72</v>
      </c>
      <c r="Q760">
        <v>4.68</v>
      </c>
      <c r="R760">
        <v>4.08</v>
      </c>
      <c r="S760" t="s">
        <v>256</v>
      </c>
      <c r="T760" t="s">
        <v>257</v>
      </c>
      <c r="U760">
        <v>10</v>
      </c>
      <c r="V760">
        <v>7550.03</v>
      </c>
      <c r="W760">
        <v>4999.32</v>
      </c>
      <c r="X760">
        <v>4998.28</v>
      </c>
      <c r="Y760">
        <v>0</v>
      </c>
      <c r="Z760">
        <v>0</v>
      </c>
      <c r="AA760">
        <v>35</v>
      </c>
      <c r="AB760">
        <v>50</v>
      </c>
      <c r="AC760">
        <v>5000</v>
      </c>
      <c r="AD760">
        <v>0</v>
      </c>
      <c r="AE760">
        <v>0</v>
      </c>
      <c r="AF760">
        <v>7553.99</v>
      </c>
      <c r="AG760">
        <v>7553.99</v>
      </c>
      <c r="AH760" s="14">
        <v>46266</v>
      </c>
      <c r="AI760" t="s">
        <v>269</v>
      </c>
      <c r="AJ760" s="13">
        <v>46265.054768518516</v>
      </c>
      <c r="AK760">
        <v>7052.98</v>
      </c>
      <c r="AL760" t="s">
        <v>259</v>
      </c>
      <c r="AM760" t="s">
        <v>260</v>
      </c>
      <c r="AN760">
        <v>1400</v>
      </c>
      <c r="AO760">
        <v>0</v>
      </c>
      <c r="AP760">
        <v>35</v>
      </c>
      <c r="AQ760">
        <v>85</v>
      </c>
      <c r="AR760">
        <v>35</v>
      </c>
      <c r="AS760">
        <v>2</v>
      </c>
      <c r="AT760">
        <v>23</v>
      </c>
      <c r="AU760">
        <v>1</v>
      </c>
      <c r="AV760">
        <v>0</v>
      </c>
      <c r="AW760">
        <v>10</v>
      </c>
      <c r="AX760">
        <v>1</v>
      </c>
      <c r="AY760">
        <v>7</v>
      </c>
      <c r="AZ760">
        <v>3</v>
      </c>
      <c r="BA760">
        <v>1</v>
      </c>
      <c r="BB760">
        <v>1440</v>
      </c>
      <c r="BC760">
        <v>0</v>
      </c>
      <c r="BD760">
        <v>0</v>
      </c>
      <c r="BE760">
        <v>14</v>
      </c>
      <c r="BF760">
        <v>25</v>
      </c>
      <c r="BG760">
        <v>3</v>
      </c>
      <c r="BH760">
        <v>8</v>
      </c>
      <c r="BI760">
        <v>3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60</v>
      </c>
      <c r="BR760">
        <v>0</v>
      </c>
      <c r="BS760">
        <v>3</v>
      </c>
      <c r="BT760" t="s">
        <v>248</v>
      </c>
      <c r="BU760" t="s">
        <v>270</v>
      </c>
      <c r="BV760" t="b">
        <v>0</v>
      </c>
      <c r="BW760" t="s">
        <v>271</v>
      </c>
    </row>
    <row r="761" spans="1:75">
      <c r="A761" t="s">
        <v>248</v>
      </c>
      <c r="B761" t="s">
        <v>252</v>
      </c>
      <c r="C761">
        <v>643</v>
      </c>
      <c r="D761" t="s">
        <v>253</v>
      </c>
      <c r="E761" t="s">
        <v>254</v>
      </c>
      <c r="F761">
        <v>5</v>
      </c>
      <c r="G761" s="13">
        <v>46266.38486111111</v>
      </c>
      <c r="H761" s="13">
        <v>46266.384976851848</v>
      </c>
      <c r="I761">
        <v>10</v>
      </c>
      <c r="J761" t="s">
        <v>264</v>
      </c>
      <c r="K761">
        <v>1</v>
      </c>
      <c r="L761">
        <v>0.04</v>
      </c>
      <c r="M761">
        <v>0.04</v>
      </c>
      <c r="N761">
        <v>1</v>
      </c>
      <c r="O761">
        <v>0.04</v>
      </c>
      <c r="P761">
        <v>0.64</v>
      </c>
      <c r="Q761">
        <v>3.96</v>
      </c>
      <c r="R761">
        <v>3.44</v>
      </c>
      <c r="S761" t="s">
        <v>256</v>
      </c>
      <c r="T761" t="s">
        <v>257</v>
      </c>
      <c r="U761">
        <v>10</v>
      </c>
      <c r="V761">
        <v>7553.35</v>
      </c>
      <c r="W761">
        <v>4999.3599999999997</v>
      </c>
      <c r="X761">
        <v>4999.3599999999997</v>
      </c>
      <c r="Y761">
        <v>0</v>
      </c>
      <c r="Z761">
        <v>0</v>
      </c>
      <c r="AA761">
        <v>35</v>
      </c>
      <c r="AB761">
        <v>50</v>
      </c>
      <c r="AC761">
        <v>5000</v>
      </c>
      <c r="AD761">
        <v>0</v>
      </c>
      <c r="AE761">
        <v>0</v>
      </c>
      <c r="AF761">
        <v>7556.55</v>
      </c>
      <c r="AG761">
        <v>7556.55</v>
      </c>
      <c r="AH761" s="14">
        <v>46266</v>
      </c>
      <c r="AI761" t="s">
        <v>269</v>
      </c>
      <c r="AJ761" s="13">
        <v>46265.054768518516</v>
      </c>
      <c r="AK761">
        <v>7052.98</v>
      </c>
      <c r="AL761" t="s">
        <v>259</v>
      </c>
      <c r="AM761" t="s">
        <v>260</v>
      </c>
      <c r="AN761">
        <v>1400</v>
      </c>
      <c r="AO761">
        <v>0</v>
      </c>
      <c r="AP761">
        <v>35</v>
      </c>
      <c r="AQ761">
        <v>85</v>
      </c>
      <c r="AR761">
        <v>35</v>
      </c>
      <c r="AS761">
        <v>2</v>
      </c>
      <c r="AT761">
        <v>23</v>
      </c>
      <c r="AU761">
        <v>1</v>
      </c>
      <c r="AV761">
        <v>0</v>
      </c>
      <c r="AW761">
        <v>10</v>
      </c>
      <c r="AX761">
        <v>1</v>
      </c>
      <c r="AY761">
        <v>7</v>
      </c>
      <c r="AZ761">
        <v>3</v>
      </c>
      <c r="BA761">
        <v>1</v>
      </c>
      <c r="BB761">
        <v>1440</v>
      </c>
      <c r="BC761">
        <v>0</v>
      </c>
      <c r="BD761">
        <v>0</v>
      </c>
      <c r="BE761">
        <v>14</v>
      </c>
      <c r="BF761">
        <v>25</v>
      </c>
      <c r="BG761">
        <v>3</v>
      </c>
      <c r="BH761">
        <v>8</v>
      </c>
      <c r="BI761">
        <v>3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0</v>
      </c>
      <c r="BQ761">
        <v>60</v>
      </c>
      <c r="BR761">
        <v>0</v>
      </c>
      <c r="BS761">
        <v>3</v>
      </c>
      <c r="BT761" t="s">
        <v>248</v>
      </c>
      <c r="BU761" t="s">
        <v>270</v>
      </c>
      <c r="BV761" t="b">
        <v>0</v>
      </c>
      <c r="BW761" t="s">
        <v>271</v>
      </c>
    </row>
    <row r="762" spans="1:75">
      <c r="A762" t="s">
        <v>248</v>
      </c>
      <c r="B762" t="s">
        <v>252</v>
      </c>
      <c r="C762">
        <v>644</v>
      </c>
      <c r="D762" t="s">
        <v>253</v>
      </c>
      <c r="E762" t="s">
        <v>254</v>
      </c>
      <c r="F762">
        <v>5</v>
      </c>
      <c r="G762" s="13">
        <v>46266.390856481485</v>
      </c>
      <c r="H762" s="13">
        <v>46266.395069444443</v>
      </c>
      <c r="I762">
        <v>364</v>
      </c>
      <c r="J762" t="s">
        <v>264</v>
      </c>
      <c r="K762">
        <v>1</v>
      </c>
      <c r="L762">
        <v>0.04</v>
      </c>
      <c r="M762">
        <v>0.04</v>
      </c>
      <c r="N762">
        <v>2</v>
      </c>
      <c r="O762">
        <v>0.08</v>
      </c>
      <c r="P762">
        <v>8.8000000000000007</v>
      </c>
      <c r="Q762">
        <v>12.56</v>
      </c>
      <c r="R762">
        <v>-4.84</v>
      </c>
      <c r="S762" t="s">
        <v>263</v>
      </c>
      <c r="T762" t="s">
        <v>256</v>
      </c>
      <c r="U762">
        <v>10</v>
      </c>
      <c r="V762">
        <v>7555.91</v>
      </c>
      <c r="W762">
        <v>4999.3599999999997</v>
      </c>
      <c r="X762">
        <v>4991.2</v>
      </c>
      <c r="Y762">
        <v>0</v>
      </c>
      <c r="Z762">
        <v>0</v>
      </c>
      <c r="AA762">
        <v>35</v>
      </c>
      <c r="AB762">
        <v>50</v>
      </c>
      <c r="AC762">
        <v>5000</v>
      </c>
      <c r="AD762">
        <v>0</v>
      </c>
      <c r="AE762">
        <v>0</v>
      </c>
      <c r="AF762">
        <v>7556.23</v>
      </c>
      <c r="AG762">
        <v>7556.23</v>
      </c>
      <c r="AH762" s="14">
        <v>46266</v>
      </c>
      <c r="AI762" t="s">
        <v>269</v>
      </c>
      <c r="AJ762" s="13">
        <v>46265.054768518516</v>
      </c>
      <c r="AK762">
        <v>7052.98</v>
      </c>
      <c r="AL762" t="s">
        <v>259</v>
      </c>
      <c r="AM762" t="s">
        <v>260</v>
      </c>
      <c r="AN762">
        <v>1400</v>
      </c>
      <c r="AO762">
        <v>0</v>
      </c>
      <c r="AP762">
        <v>35</v>
      </c>
      <c r="AQ762">
        <v>85</v>
      </c>
      <c r="AR762">
        <v>35</v>
      </c>
      <c r="AS762">
        <v>2</v>
      </c>
      <c r="AT762">
        <v>23</v>
      </c>
      <c r="AU762">
        <v>1</v>
      </c>
      <c r="AV762">
        <v>0</v>
      </c>
      <c r="AW762">
        <v>10</v>
      </c>
      <c r="AX762">
        <v>1</v>
      </c>
      <c r="AY762">
        <v>7</v>
      </c>
      <c r="AZ762">
        <v>3</v>
      </c>
      <c r="BA762">
        <v>1</v>
      </c>
      <c r="BB762">
        <v>1440</v>
      </c>
      <c r="BC762">
        <v>0</v>
      </c>
      <c r="BD762">
        <v>0</v>
      </c>
      <c r="BE762">
        <v>14</v>
      </c>
      <c r="BF762">
        <v>25</v>
      </c>
      <c r="BG762">
        <v>3</v>
      </c>
      <c r="BH762">
        <v>8</v>
      </c>
      <c r="BI762">
        <v>3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0</v>
      </c>
      <c r="BQ762">
        <v>60</v>
      </c>
      <c r="BR762">
        <v>0</v>
      </c>
      <c r="BS762">
        <v>3</v>
      </c>
      <c r="BT762" t="s">
        <v>248</v>
      </c>
      <c r="BU762" t="s">
        <v>270</v>
      </c>
      <c r="BV762" t="b">
        <v>0</v>
      </c>
      <c r="BW762" t="s">
        <v>271</v>
      </c>
    </row>
    <row r="763" spans="1:75">
      <c r="A763" t="s">
        <v>248</v>
      </c>
      <c r="B763" t="s">
        <v>252</v>
      </c>
      <c r="C763">
        <v>645</v>
      </c>
      <c r="D763" t="s">
        <v>253</v>
      </c>
      <c r="E763" t="s">
        <v>254</v>
      </c>
      <c r="F763">
        <v>5</v>
      </c>
      <c r="G763" s="13">
        <v>46266.401736111111</v>
      </c>
      <c r="H763" s="13">
        <v>46266.402731481481</v>
      </c>
      <c r="I763">
        <v>86</v>
      </c>
      <c r="J763" t="s">
        <v>255</v>
      </c>
      <c r="K763">
        <v>1</v>
      </c>
      <c r="L763">
        <v>0.04</v>
      </c>
      <c r="M763">
        <v>0.04</v>
      </c>
      <c r="N763">
        <v>1</v>
      </c>
      <c r="O763">
        <v>0.04</v>
      </c>
      <c r="P763">
        <v>0.92</v>
      </c>
      <c r="Q763">
        <v>3.68</v>
      </c>
      <c r="R763">
        <v>2.76</v>
      </c>
      <c r="S763" t="s">
        <v>256</v>
      </c>
      <c r="T763" t="s">
        <v>257</v>
      </c>
      <c r="U763">
        <v>10</v>
      </c>
      <c r="V763">
        <v>7555.59</v>
      </c>
      <c r="W763">
        <v>4999.3599999999997</v>
      </c>
      <c r="X763">
        <v>4999.08</v>
      </c>
      <c r="Y763">
        <v>0</v>
      </c>
      <c r="Z763">
        <v>0</v>
      </c>
      <c r="AA763">
        <v>35</v>
      </c>
      <c r="AB763">
        <v>50</v>
      </c>
      <c r="AC763">
        <v>5000</v>
      </c>
      <c r="AD763">
        <v>0</v>
      </c>
      <c r="AE763">
        <v>0</v>
      </c>
      <c r="AF763">
        <v>7558.47</v>
      </c>
      <c r="AG763">
        <v>7558.47</v>
      </c>
      <c r="AH763" s="14">
        <v>46266</v>
      </c>
      <c r="AI763" t="s">
        <v>269</v>
      </c>
      <c r="AJ763" s="13">
        <v>46265.054768518516</v>
      </c>
      <c r="AK763">
        <v>7052.98</v>
      </c>
      <c r="AL763" t="s">
        <v>259</v>
      </c>
      <c r="AM763" t="s">
        <v>260</v>
      </c>
      <c r="AN763">
        <v>1400</v>
      </c>
      <c r="AO763">
        <v>0</v>
      </c>
      <c r="AP763">
        <v>35</v>
      </c>
      <c r="AQ763">
        <v>85</v>
      </c>
      <c r="AR763">
        <v>35</v>
      </c>
      <c r="AS763">
        <v>2</v>
      </c>
      <c r="AT763">
        <v>23</v>
      </c>
      <c r="AU763">
        <v>1</v>
      </c>
      <c r="AV763">
        <v>0</v>
      </c>
      <c r="AW763">
        <v>10</v>
      </c>
      <c r="AX763">
        <v>1</v>
      </c>
      <c r="AY763">
        <v>7</v>
      </c>
      <c r="AZ763">
        <v>3</v>
      </c>
      <c r="BA763">
        <v>1</v>
      </c>
      <c r="BB763">
        <v>1440</v>
      </c>
      <c r="BC763">
        <v>0</v>
      </c>
      <c r="BD763">
        <v>0</v>
      </c>
      <c r="BE763">
        <v>14</v>
      </c>
      <c r="BF763">
        <v>25</v>
      </c>
      <c r="BG763">
        <v>3</v>
      </c>
      <c r="BH763">
        <v>8</v>
      </c>
      <c r="BI763">
        <v>3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0</v>
      </c>
      <c r="BQ763">
        <v>60</v>
      </c>
      <c r="BR763">
        <v>0</v>
      </c>
      <c r="BS763">
        <v>3</v>
      </c>
      <c r="BT763" t="s">
        <v>248</v>
      </c>
      <c r="BU763" t="s">
        <v>270</v>
      </c>
      <c r="BV763" t="b">
        <v>0</v>
      </c>
      <c r="BW763" t="s">
        <v>271</v>
      </c>
    </row>
    <row r="764" spans="1:75">
      <c r="A764" t="s">
        <v>248</v>
      </c>
      <c r="B764" t="s">
        <v>252</v>
      </c>
      <c r="C764">
        <v>646</v>
      </c>
      <c r="D764" t="s">
        <v>253</v>
      </c>
      <c r="E764" t="s">
        <v>254</v>
      </c>
      <c r="F764">
        <v>5</v>
      </c>
      <c r="G764" s="13">
        <v>46266.40730324074</v>
      </c>
      <c r="H764" s="13">
        <v>46266.408194444448</v>
      </c>
      <c r="I764">
        <v>77</v>
      </c>
      <c r="J764" t="s">
        <v>264</v>
      </c>
      <c r="K764">
        <v>1</v>
      </c>
      <c r="L764">
        <v>0.04</v>
      </c>
      <c r="M764">
        <v>0.04</v>
      </c>
      <c r="N764">
        <v>1</v>
      </c>
      <c r="O764">
        <v>0.04</v>
      </c>
      <c r="P764">
        <v>1.48</v>
      </c>
      <c r="Q764">
        <v>9.8800000000000008</v>
      </c>
      <c r="R764">
        <v>8.8000000000000007</v>
      </c>
      <c r="S764" t="s">
        <v>256</v>
      </c>
      <c r="T764" t="s">
        <v>257</v>
      </c>
      <c r="U764">
        <v>10</v>
      </c>
      <c r="V764">
        <v>7557.79</v>
      </c>
      <c r="W764">
        <v>4999.32</v>
      </c>
      <c r="X764">
        <v>4998.5200000000004</v>
      </c>
      <c r="Y764">
        <v>0</v>
      </c>
      <c r="Z764">
        <v>0</v>
      </c>
      <c r="AA764">
        <v>35</v>
      </c>
      <c r="AB764">
        <v>50</v>
      </c>
      <c r="AC764">
        <v>5000</v>
      </c>
      <c r="AD764">
        <v>0</v>
      </c>
      <c r="AE764">
        <v>0</v>
      </c>
      <c r="AF764">
        <v>7566.95</v>
      </c>
      <c r="AG764">
        <v>7566.95</v>
      </c>
      <c r="AH764" s="14">
        <v>46266</v>
      </c>
      <c r="AI764" t="s">
        <v>269</v>
      </c>
      <c r="AJ764" s="13">
        <v>46265.054768518516</v>
      </c>
      <c r="AK764">
        <v>7052.98</v>
      </c>
      <c r="AL764" t="s">
        <v>259</v>
      </c>
      <c r="AM764" t="s">
        <v>260</v>
      </c>
      <c r="AN764">
        <v>1400</v>
      </c>
      <c r="AO764">
        <v>0</v>
      </c>
      <c r="AP764">
        <v>35</v>
      </c>
      <c r="AQ764">
        <v>85</v>
      </c>
      <c r="AR764">
        <v>35</v>
      </c>
      <c r="AS764">
        <v>2</v>
      </c>
      <c r="AT764">
        <v>23</v>
      </c>
      <c r="AU764">
        <v>1</v>
      </c>
      <c r="AV764">
        <v>0</v>
      </c>
      <c r="AW764">
        <v>10</v>
      </c>
      <c r="AX764">
        <v>1</v>
      </c>
      <c r="AY764">
        <v>7</v>
      </c>
      <c r="AZ764">
        <v>3</v>
      </c>
      <c r="BA764">
        <v>1</v>
      </c>
      <c r="BB764">
        <v>1440</v>
      </c>
      <c r="BC764">
        <v>0</v>
      </c>
      <c r="BD764">
        <v>0</v>
      </c>
      <c r="BE764">
        <v>14</v>
      </c>
      <c r="BF764">
        <v>25</v>
      </c>
      <c r="BG764">
        <v>3</v>
      </c>
      <c r="BH764">
        <v>8</v>
      </c>
      <c r="BI764">
        <v>3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0</v>
      </c>
      <c r="BQ764">
        <v>60</v>
      </c>
      <c r="BR764">
        <v>0</v>
      </c>
      <c r="BS764">
        <v>3</v>
      </c>
      <c r="BT764" t="s">
        <v>248</v>
      </c>
      <c r="BU764" t="s">
        <v>270</v>
      </c>
      <c r="BV764" t="b">
        <v>0</v>
      </c>
      <c r="BW764" t="s">
        <v>271</v>
      </c>
    </row>
    <row r="765" spans="1:75">
      <c r="A765" t="s">
        <v>248</v>
      </c>
      <c r="B765" t="s">
        <v>252</v>
      </c>
      <c r="C765">
        <v>647</v>
      </c>
      <c r="D765" t="s">
        <v>253</v>
      </c>
      <c r="E765" t="s">
        <v>254</v>
      </c>
      <c r="F765">
        <v>5</v>
      </c>
      <c r="G765" s="13">
        <v>46266.418194444443</v>
      </c>
      <c r="H765" s="13">
        <v>46266.418634259258</v>
      </c>
      <c r="I765">
        <v>38</v>
      </c>
      <c r="J765" t="s">
        <v>255</v>
      </c>
      <c r="K765">
        <v>1</v>
      </c>
      <c r="L765">
        <v>0.04</v>
      </c>
      <c r="M765">
        <v>0.04</v>
      </c>
      <c r="N765">
        <v>1</v>
      </c>
      <c r="O765">
        <v>0.04</v>
      </c>
      <c r="P765">
        <v>1.28</v>
      </c>
      <c r="Q765">
        <v>7.16</v>
      </c>
      <c r="R765">
        <v>7.16</v>
      </c>
      <c r="S765" t="s">
        <v>256</v>
      </c>
      <c r="T765" t="s">
        <v>257</v>
      </c>
      <c r="U765">
        <v>11</v>
      </c>
      <c r="V765">
        <v>7566.27</v>
      </c>
      <c r="W765">
        <v>4999.32</v>
      </c>
      <c r="X765">
        <v>4998.72</v>
      </c>
      <c r="Y765">
        <v>0</v>
      </c>
      <c r="Z765">
        <v>0</v>
      </c>
      <c r="AA765">
        <v>35</v>
      </c>
      <c r="AB765">
        <v>50</v>
      </c>
      <c r="AC765">
        <v>5000</v>
      </c>
      <c r="AD765">
        <v>0</v>
      </c>
      <c r="AE765">
        <v>0</v>
      </c>
      <c r="AF765">
        <v>7572.71</v>
      </c>
      <c r="AG765">
        <v>7572.71</v>
      </c>
      <c r="AH765" s="14">
        <v>46266</v>
      </c>
      <c r="AI765" t="s">
        <v>269</v>
      </c>
      <c r="AJ765" s="13">
        <v>46265.054768518516</v>
      </c>
      <c r="AK765">
        <v>7052.98</v>
      </c>
      <c r="AL765" t="s">
        <v>259</v>
      </c>
      <c r="AM765" t="s">
        <v>260</v>
      </c>
      <c r="AN765">
        <v>1400</v>
      </c>
      <c r="AO765">
        <v>0</v>
      </c>
      <c r="AP765">
        <v>35</v>
      </c>
      <c r="AQ765">
        <v>85</v>
      </c>
      <c r="AR765">
        <v>35</v>
      </c>
      <c r="AS765">
        <v>2</v>
      </c>
      <c r="AT765">
        <v>23</v>
      </c>
      <c r="AU765">
        <v>1</v>
      </c>
      <c r="AV765">
        <v>0</v>
      </c>
      <c r="AW765">
        <v>10</v>
      </c>
      <c r="AX765">
        <v>1</v>
      </c>
      <c r="AY765">
        <v>7</v>
      </c>
      <c r="AZ765">
        <v>3</v>
      </c>
      <c r="BA765">
        <v>1</v>
      </c>
      <c r="BB765">
        <v>1440</v>
      </c>
      <c r="BC765">
        <v>0</v>
      </c>
      <c r="BD765">
        <v>0</v>
      </c>
      <c r="BE765">
        <v>14</v>
      </c>
      <c r="BF765">
        <v>25</v>
      </c>
      <c r="BG765">
        <v>3</v>
      </c>
      <c r="BH765">
        <v>8</v>
      </c>
      <c r="BI765">
        <v>3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0</v>
      </c>
      <c r="BQ765">
        <v>60</v>
      </c>
      <c r="BR765">
        <v>0</v>
      </c>
      <c r="BS765">
        <v>3</v>
      </c>
      <c r="BT765" t="s">
        <v>248</v>
      </c>
      <c r="BU765" t="s">
        <v>270</v>
      </c>
      <c r="BV765" t="b">
        <v>0</v>
      </c>
      <c r="BW765" t="s">
        <v>271</v>
      </c>
    </row>
    <row r="766" spans="1:75">
      <c r="A766" t="s">
        <v>248</v>
      </c>
      <c r="B766" t="s">
        <v>252</v>
      </c>
      <c r="C766">
        <v>648</v>
      </c>
      <c r="D766" t="s">
        <v>253</v>
      </c>
      <c r="E766" t="s">
        <v>254</v>
      </c>
      <c r="F766">
        <v>5</v>
      </c>
      <c r="G766" s="13">
        <v>46266.421435185184</v>
      </c>
      <c r="H766" s="13">
        <v>46266.423391203702</v>
      </c>
      <c r="I766">
        <v>169</v>
      </c>
      <c r="J766" t="s">
        <v>264</v>
      </c>
      <c r="K766">
        <v>1</v>
      </c>
      <c r="L766">
        <v>0.04</v>
      </c>
      <c r="M766">
        <v>0.04</v>
      </c>
      <c r="N766">
        <v>1</v>
      </c>
      <c r="O766">
        <v>0.04</v>
      </c>
      <c r="P766">
        <v>7.32</v>
      </c>
      <c r="Q766">
        <v>3.48</v>
      </c>
      <c r="R766">
        <v>2.68</v>
      </c>
      <c r="S766" t="s">
        <v>256</v>
      </c>
      <c r="T766" t="s">
        <v>257</v>
      </c>
      <c r="U766">
        <v>11</v>
      </c>
      <c r="V766">
        <v>7572.07</v>
      </c>
      <c r="W766">
        <v>4999.3599999999997</v>
      </c>
      <c r="X766">
        <v>4992.68</v>
      </c>
      <c r="Y766">
        <v>0</v>
      </c>
      <c r="Z766">
        <v>0</v>
      </c>
      <c r="AA766">
        <v>35</v>
      </c>
      <c r="AB766">
        <v>50</v>
      </c>
      <c r="AC766">
        <v>5000</v>
      </c>
      <c r="AD766">
        <v>0</v>
      </c>
      <c r="AE766">
        <v>0</v>
      </c>
      <c r="AF766">
        <v>7574.79</v>
      </c>
      <c r="AG766">
        <v>7574.79</v>
      </c>
      <c r="AH766" s="14">
        <v>46266</v>
      </c>
      <c r="AI766" t="s">
        <v>269</v>
      </c>
      <c r="AJ766" s="13">
        <v>46265.054768518516</v>
      </c>
      <c r="AK766">
        <v>7052.98</v>
      </c>
      <c r="AL766" t="s">
        <v>259</v>
      </c>
      <c r="AM766" t="s">
        <v>260</v>
      </c>
      <c r="AN766">
        <v>1400</v>
      </c>
      <c r="AO766">
        <v>0</v>
      </c>
      <c r="AP766">
        <v>35</v>
      </c>
      <c r="AQ766">
        <v>85</v>
      </c>
      <c r="AR766">
        <v>35</v>
      </c>
      <c r="AS766">
        <v>2</v>
      </c>
      <c r="AT766">
        <v>23</v>
      </c>
      <c r="AU766">
        <v>1</v>
      </c>
      <c r="AV766">
        <v>0</v>
      </c>
      <c r="AW766">
        <v>10</v>
      </c>
      <c r="AX766">
        <v>1</v>
      </c>
      <c r="AY766">
        <v>7</v>
      </c>
      <c r="AZ766">
        <v>3</v>
      </c>
      <c r="BA766">
        <v>1</v>
      </c>
      <c r="BB766">
        <v>1440</v>
      </c>
      <c r="BC766">
        <v>0</v>
      </c>
      <c r="BD766">
        <v>0</v>
      </c>
      <c r="BE766">
        <v>14</v>
      </c>
      <c r="BF766">
        <v>25</v>
      </c>
      <c r="BG766">
        <v>3</v>
      </c>
      <c r="BH766">
        <v>8</v>
      </c>
      <c r="BI766">
        <v>3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0</v>
      </c>
      <c r="BQ766">
        <v>60</v>
      </c>
      <c r="BR766">
        <v>0</v>
      </c>
      <c r="BS766">
        <v>3</v>
      </c>
      <c r="BT766" t="s">
        <v>248</v>
      </c>
      <c r="BU766" t="s">
        <v>270</v>
      </c>
      <c r="BV766" t="b">
        <v>0</v>
      </c>
      <c r="BW766" t="s">
        <v>271</v>
      </c>
    </row>
    <row r="767" spans="1:75">
      <c r="A767" t="s">
        <v>248</v>
      </c>
      <c r="B767" t="s">
        <v>252</v>
      </c>
      <c r="C767">
        <v>649</v>
      </c>
      <c r="D767" t="s">
        <v>253</v>
      </c>
      <c r="E767" t="s">
        <v>254</v>
      </c>
      <c r="F767">
        <v>5</v>
      </c>
      <c r="G767" s="13">
        <v>46266.427048611113</v>
      </c>
      <c r="H767" s="13">
        <v>46266.615810185183</v>
      </c>
      <c r="I767">
        <v>16309</v>
      </c>
      <c r="J767" t="s">
        <v>255</v>
      </c>
      <c r="K767">
        <v>31</v>
      </c>
      <c r="L767">
        <v>1.24</v>
      </c>
      <c r="M767">
        <v>0.04</v>
      </c>
      <c r="N767">
        <v>31</v>
      </c>
      <c r="O767">
        <v>1.24</v>
      </c>
      <c r="P767">
        <v>2007.2</v>
      </c>
      <c r="Q767">
        <v>42.6</v>
      </c>
      <c r="R767">
        <v>2.92</v>
      </c>
      <c r="S767" t="s">
        <v>263</v>
      </c>
      <c r="T767" t="s">
        <v>257</v>
      </c>
      <c r="U767">
        <v>11</v>
      </c>
      <c r="V767">
        <v>7574.11</v>
      </c>
      <c r="W767">
        <v>4999.32</v>
      </c>
      <c r="X767">
        <v>2992.8</v>
      </c>
      <c r="Y767">
        <v>0</v>
      </c>
      <c r="Z767">
        <v>0</v>
      </c>
      <c r="AA767">
        <v>35</v>
      </c>
      <c r="AB767">
        <v>50</v>
      </c>
      <c r="AC767">
        <v>5000</v>
      </c>
      <c r="AD767">
        <v>0</v>
      </c>
      <c r="AE767">
        <v>0</v>
      </c>
      <c r="AF767">
        <v>7545.11</v>
      </c>
      <c r="AG767">
        <v>7545.11</v>
      </c>
      <c r="AH767" s="14">
        <v>46266</v>
      </c>
      <c r="AI767" t="s">
        <v>269</v>
      </c>
      <c r="AJ767" s="13">
        <v>46265.054768518516</v>
      </c>
      <c r="AK767">
        <v>7052.98</v>
      </c>
      <c r="AL767" t="s">
        <v>259</v>
      </c>
      <c r="AM767" t="s">
        <v>260</v>
      </c>
      <c r="AN767">
        <v>1400</v>
      </c>
      <c r="AO767">
        <v>0</v>
      </c>
      <c r="AP767">
        <v>35</v>
      </c>
      <c r="AQ767">
        <v>85</v>
      </c>
      <c r="AR767">
        <v>35</v>
      </c>
      <c r="AS767">
        <v>2</v>
      </c>
      <c r="AT767">
        <v>23</v>
      </c>
      <c r="AU767">
        <v>1</v>
      </c>
      <c r="AV767">
        <v>0</v>
      </c>
      <c r="AW767">
        <v>10</v>
      </c>
      <c r="AX767">
        <v>1</v>
      </c>
      <c r="AY767">
        <v>7</v>
      </c>
      <c r="AZ767">
        <v>3</v>
      </c>
      <c r="BA767">
        <v>1</v>
      </c>
      <c r="BB767">
        <v>1440</v>
      </c>
      <c r="BC767">
        <v>0</v>
      </c>
      <c r="BD767">
        <v>0</v>
      </c>
      <c r="BE767">
        <v>14</v>
      </c>
      <c r="BF767">
        <v>25</v>
      </c>
      <c r="BG767">
        <v>3</v>
      </c>
      <c r="BH767">
        <v>8</v>
      </c>
      <c r="BI767">
        <v>3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0</v>
      </c>
      <c r="BQ767">
        <v>60</v>
      </c>
      <c r="BR767">
        <v>0</v>
      </c>
      <c r="BS767">
        <v>3</v>
      </c>
      <c r="BT767" t="s">
        <v>248</v>
      </c>
      <c r="BU767" t="s">
        <v>270</v>
      </c>
      <c r="BV767" t="b">
        <v>0</v>
      </c>
      <c r="BW767" t="s">
        <v>271</v>
      </c>
    </row>
    <row r="768" spans="1:75">
      <c r="A768" t="s">
        <v>248</v>
      </c>
      <c r="B768" t="s">
        <v>252</v>
      </c>
      <c r="C768">
        <v>650</v>
      </c>
      <c r="D768" t="s">
        <v>253</v>
      </c>
      <c r="E768" t="s">
        <v>254</v>
      </c>
      <c r="F768">
        <v>5</v>
      </c>
      <c r="G768" s="13">
        <v>46266.6171412037</v>
      </c>
      <c r="H768" s="13">
        <v>46266.643773148149</v>
      </c>
      <c r="I768">
        <v>2301</v>
      </c>
      <c r="J768" t="s">
        <v>255</v>
      </c>
      <c r="K768">
        <v>5</v>
      </c>
      <c r="L768">
        <v>0.2</v>
      </c>
      <c r="M768">
        <v>0.04</v>
      </c>
      <c r="N768">
        <v>5</v>
      </c>
      <c r="O768">
        <v>0.2</v>
      </c>
      <c r="P768">
        <v>150.56</v>
      </c>
      <c r="Q768">
        <v>23.72</v>
      </c>
      <c r="R768">
        <v>19.72</v>
      </c>
      <c r="S768" t="s">
        <v>263</v>
      </c>
      <c r="T768" t="s">
        <v>257</v>
      </c>
      <c r="U768">
        <v>11</v>
      </c>
      <c r="V768">
        <v>7544.47</v>
      </c>
      <c r="W768">
        <v>4999.3599999999997</v>
      </c>
      <c r="X768">
        <v>4849.4399999999996</v>
      </c>
      <c r="Y768">
        <v>0</v>
      </c>
      <c r="Z768">
        <v>0</v>
      </c>
      <c r="AA768">
        <v>35</v>
      </c>
      <c r="AB768">
        <v>50</v>
      </c>
      <c r="AC768">
        <v>5000</v>
      </c>
      <c r="AD768">
        <v>0</v>
      </c>
      <c r="AE768">
        <v>0</v>
      </c>
      <c r="AF768">
        <v>7564.39</v>
      </c>
      <c r="AG768">
        <v>7564.39</v>
      </c>
      <c r="AH768" s="14">
        <v>46266</v>
      </c>
      <c r="AI768" t="s">
        <v>269</v>
      </c>
      <c r="AJ768" s="13">
        <v>46265.054768518516</v>
      </c>
      <c r="AK768">
        <v>7052.98</v>
      </c>
      <c r="AL768" t="s">
        <v>259</v>
      </c>
      <c r="AM768" t="s">
        <v>260</v>
      </c>
      <c r="AN768">
        <v>1400</v>
      </c>
      <c r="AO768">
        <v>0</v>
      </c>
      <c r="AP768">
        <v>35</v>
      </c>
      <c r="AQ768">
        <v>85</v>
      </c>
      <c r="AR768">
        <v>35</v>
      </c>
      <c r="AS768">
        <v>2</v>
      </c>
      <c r="AT768">
        <v>23</v>
      </c>
      <c r="AU768">
        <v>1</v>
      </c>
      <c r="AV768">
        <v>0</v>
      </c>
      <c r="AW768">
        <v>10</v>
      </c>
      <c r="AX768">
        <v>1</v>
      </c>
      <c r="AY768">
        <v>7</v>
      </c>
      <c r="AZ768">
        <v>3</v>
      </c>
      <c r="BA768">
        <v>1</v>
      </c>
      <c r="BB768">
        <v>1440</v>
      </c>
      <c r="BC768">
        <v>0</v>
      </c>
      <c r="BD768">
        <v>0</v>
      </c>
      <c r="BE768">
        <v>14</v>
      </c>
      <c r="BF768">
        <v>25</v>
      </c>
      <c r="BG768">
        <v>3</v>
      </c>
      <c r="BH768">
        <v>8</v>
      </c>
      <c r="BI768">
        <v>3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0</v>
      </c>
      <c r="BQ768">
        <v>60</v>
      </c>
      <c r="BR768">
        <v>0</v>
      </c>
      <c r="BS768">
        <v>3</v>
      </c>
      <c r="BT768" t="s">
        <v>248</v>
      </c>
      <c r="BU768" t="s">
        <v>270</v>
      </c>
      <c r="BV768" t="b">
        <v>0</v>
      </c>
      <c r="BW768" t="s">
        <v>271</v>
      </c>
    </row>
    <row r="769" spans="1:75">
      <c r="A769" t="s">
        <v>248</v>
      </c>
      <c r="B769" t="s">
        <v>252</v>
      </c>
      <c r="C769">
        <v>651</v>
      </c>
      <c r="D769" t="s">
        <v>253</v>
      </c>
      <c r="E769" t="s">
        <v>254</v>
      </c>
      <c r="F769">
        <v>5</v>
      </c>
      <c r="G769" s="13">
        <v>46266.647731481484</v>
      </c>
      <c r="H769" s="13">
        <v>46266.649351851855</v>
      </c>
      <c r="I769">
        <v>140</v>
      </c>
      <c r="J769" t="s">
        <v>264</v>
      </c>
      <c r="K769">
        <v>1</v>
      </c>
      <c r="L769">
        <v>0.04</v>
      </c>
      <c r="M769">
        <v>0.04</v>
      </c>
      <c r="N769">
        <v>1</v>
      </c>
      <c r="O769">
        <v>0.04</v>
      </c>
      <c r="P769">
        <v>9.16</v>
      </c>
      <c r="Q769">
        <v>11.4</v>
      </c>
      <c r="R769">
        <v>11.4</v>
      </c>
      <c r="S769" t="s">
        <v>256</v>
      </c>
      <c r="T769" t="s">
        <v>257</v>
      </c>
      <c r="U769">
        <v>11</v>
      </c>
      <c r="V769">
        <v>7563.71</v>
      </c>
      <c r="W769">
        <v>4999.32</v>
      </c>
      <c r="X769">
        <v>4990.84</v>
      </c>
      <c r="Y769">
        <v>0</v>
      </c>
      <c r="Z769">
        <v>0</v>
      </c>
      <c r="AA769">
        <v>35</v>
      </c>
      <c r="AB769">
        <v>50</v>
      </c>
      <c r="AC769">
        <v>5000</v>
      </c>
      <c r="AD769">
        <v>0</v>
      </c>
      <c r="AE769">
        <v>0</v>
      </c>
      <c r="AF769">
        <v>7574.39</v>
      </c>
      <c r="AG769">
        <v>7574.39</v>
      </c>
      <c r="AH769" s="14">
        <v>46266</v>
      </c>
      <c r="AI769" t="s">
        <v>269</v>
      </c>
      <c r="AJ769" s="13">
        <v>46265.054768518516</v>
      </c>
      <c r="AK769">
        <v>7052.98</v>
      </c>
      <c r="AL769" t="s">
        <v>259</v>
      </c>
      <c r="AM769" t="s">
        <v>260</v>
      </c>
      <c r="AN769">
        <v>1400</v>
      </c>
      <c r="AO769">
        <v>0</v>
      </c>
      <c r="AP769">
        <v>35</v>
      </c>
      <c r="AQ769">
        <v>85</v>
      </c>
      <c r="AR769">
        <v>35</v>
      </c>
      <c r="AS769">
        <v>2</v>
      </c>
      <c r="AT769">
        <v>23</v>
      </c>
      <c r="AU769">
        <v>1</v>
      </c>
      <c r="AV769">
        <v>0</v>
      </c>
      <c r="AW769">
        <v>10</v>
      </c>
      <c r="AX769">
        <v>1</v>
      </c>
      <c r="AY769">
        <v>7</v>
      </c>
      <c r="AZ769">
        <v>3</v>
      </c>
      <c r="BA769">
        <v>1</v>
      </c>
      <c r="BB769">
        <v>1440</v>
      </c>
      <c r="BC769">
        <v>0</v>
      </c>
      <c r="BD769">
        <v>0</v>
      </c>
      <c r="BE769">
        <v>14</v>
      </c>
      <c r="BF769">
        <v>25</v>
      </c>
      <c r="BG769">
        <v>3</v>
      </c>
      <c r="BH769">
        <v>8</v>
      </c>
      <c r="BI769">
        <v>3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0</v>
      </c>
      <c r="BQ769">
        <v>60</v>
      </c>
      <c r="BR769">
        <v>0</v>
      </c>
      <c r="BS769">
        <v>3</v>
      </c>
      <c r="BT769" t="s">
        <v>248</v>
      </c>
      <c r="BU769" t="s">
        <v>270</v>
      </c>
      <c r="BV769" t="b">
        <v>0</v>
      </c>
      <c r="BW769" t="s">
        <v>271</v>
      </c>
    </row>
    <row r="770" spans="1:75">
      <c r="A770" t="s">
        <v>248</v>
      </c>
      <c r="B770" t="s">
        <v>252</v>
      </c>
      <c r="C770">
        <v>652</v>
      </c>
      <c r="D770" t="s">
        <v>253</v>
      </c>
      <c r="E770" t="s">
        <v>254</v>
      </c>
      <c r="F770">
        <v>5</v>
      </c>
      <c r="G770" s="13">
        <v>46266.650057870371</v>
      </c>
      <c r="H770" s="13">
        <v>46266.650763888887</v>
      </c>
      <c r="I770">
        <v>61</v>
      </c>
      <c r="J770" t="s">
        <v>264</v>
      </c>
      <c r="K770">
        <v>1</v>
      </c>
      <c r="L770">
        <v>0.04</v>
      </c>
      <c r="M770">
        <v>0.04</v>
      </c>
      <c r="N770">
        <v>1</v>
      </c>
      <c r="O770">
        <v>0.04</v>
      </c>
      <c r="P770">
        <v>8.36</v>
      </c>
      <c r="Q770">
        <v>7.88</v>
      </c>
      <c r="R770">
        <v>7.4</v>
      </c>
      <c r="S770" t="s">
        <v>256</v>
      </c>
      <c r="T770" t="s">
        <v>257</v>
      </c>
      <c r="U770">
        <v>11</v>
      </c>
      <c r="V770">
        <v>7573.71</v>
      </c>
      <c r="W770">
        <v>4999.32</v>
      </c>
      <c r="X770">
        <v>4991.6400000000003</v>
      </c>
      <c r="Y770">
        <v>0</v>
      </c>
      <c r="Z770">
        <v>0</v>
      </c>
      <c r="AA770">
        <v>35</v>
      </c>
      <c r="AB770">
        <v>50</v>
      </c>
      <c r="AC770">
        <v>5000</v>
      </c>
      <c r="AD770">
        <v>0</v>
      </c>
      <c r="AE770">
        <v>0</v>
      </c>
      <c r="AF770">
        <v>7580.87</v>
      </c>
      <c r="AG770">
        <v>7580.87</v>
      </c>
      <c r="AH770" s="14">
        <v>46266</v>
      </c>
      <c r="AI770" t="s">
        <v>269</v>
      </c>
      <c r="AJ770" s="13">
        <v>46265.054768518516</v>
      </c>
      <c r="AK770">
        <v>7052.98</v>
      </c>
      <c r="AL770" t="s">
        <v>259</v>
      </c>
      <c r="AM770" t="s">
        <v>260</v>
      </c>
      <c r="AN770">
        <v>1400</v>
      </c>
      <c r="AO770">
        <v>0</v>
      </c>
      <c r="AP770">
        <v>35</v>
      </c>
      <c r="AQ770">
        <v>85</v>
      </c>
      <c r="AR770">
        <v>35</v>
      </c>
      <c r="AS770">
        <v>2</v>
      </c>
      <c r="AT770">
        <v>23</v>
      </c>
      <c r="AU770">
        <v>1</v>
      </c>
      <c r="AV770">
        <v>0</v>
      </c>
      <c r="AW770">
        <v>10</v>
      </c>
      <c r="AX770">
        <v>1</v>
      </c>
      <c r="AY770">
        <v>7</v>
      </c>
      <c r="AZ770">
        <v>3</v>
      </c>
      <c r="BA770">
        <v>1</v>
      </c>
      <c r="BB770">
        <v>1440</v>
      </c>
      <c r="BC770">
        <v>0</v>
      </c>
      <c r="BD770">
        <v>0</v>
      </c>
      <c r="BE770">
        <v>14</v>
      </c>
      <c r="BF770">
        <v>25</v>
      </c>
      <c r="BG770">
        <v>3</v>
      </c>
      <c r="BH770">
        <v>8</v>
      </c>
      <c r="BI770">
        <v>3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0</v>
      </c>
      <c r="BQ770">
        <v>60</v>
      </c>
      <c r="BR770">
        <v>0</v>
      </c>
      <c r="BS770">
        <v>3</v>
      </c>
      <c r="BT770" t="s">
        <v>248</v>
      </c>
      <c r="BU770" t="s">
        <v>270</v>
      </c>
      <c r="BV770" t="b">
        <v>0</v>
      </c>
      <c r="BW770" t="s">
        <v>271</v>
      </c>
    </row>
    <row r="771" spans="1:75">
      <c r="A771" t="s">
        <v>248</v>
      </c>
      <c r="B771" t="s">
        <v>252</v>
      </c>
      <c r="C771">
        <v>653</v>
      </c>
      <c r="D771" t="s">
        <v>253</v>
      </c>
      <c r="E771" t="s">
        <v>254</v>
      </c>
      <c r="F771">
        <v>5</v>
      </c>
      <c r="G771" s="13">
        <v>46266.655046296299</v>
      </c>
      <c r="H771" s="13">
        <v>46266.655428240738</v>
      </c>
      <c r="I771">
        <v>33</v>
      </c>
      <c r="J771" t="s">
        <v>255</v>
      </c>
      <c r="K771">
        <v>1</v>
      </c>
      <c r="L771">
        <v>0.04</v>
      </c>
      <c r="M771">
        <v>0.04</v>
      </c>
      <c r="N771">
        <v>1</v>
      </c>
      <c r="O771">
        <v>0.04</v>
      </c>
      <c r="P771">
        <v>7.36</v>
      </c>
      <c r="Q771">
        <v>5.56</v>
      </c>
      <c r="R771">
        <v>5.56</v>
      </c>
      <c r="S771" t="s">
        <v>256</v>
      </c>
      <c r="T771" t="s">
        <v>257</v>
      </c>
      <c r="U771">
        <v>10</v>
      </c>
      <c r="V771">
        <v>7580.23</v>
      </c>
      <c r="W771">
        <v>4999.3599999999997</v>
      </c>
      <c r="X771">
        <v>4992.6400000000003</v>
      </c>
      <c r="Y771">
        <v>0</v>
      </c>
      <c r="Z771">
        <v>0</v>
      </c>
      <c r="AA771">
        <v>35</v>
      </c>
      <c r="AB771">
        <v>50</v>
      </c>
      <c r="AC771">
        <v>5000</v>
      </c>
      <c r="AD771">
        <v>0</v>
      </c>
      <c r="AE771">
        <v>0</v>
      </c>
      <c r="AF771">
        <v>7585.03</v>
      </c>
      <c r="AG771">
        <v>7585.03</v>
      </c>
      <c r="AH771" s="14">
        <v>46266</v>
      </c>
      <c r="AI771" t="s">
        <v>269</v>
      </c>
      <c r="AJ771" s="13">
        <v>46265.054768518516</v>
      </c>
      <c r="AK771">
        <v>7052.98</v>
      </c>
      <c r="AL771" t="s">
        <v>259</v>
      </c>
      <c r="AM771" t="s">
        <v>260</v>
      </c>
      <c r="AN771">
        <v>1400</v>
      </c>
      <c r="AO771">
        <v>0</v>
      </c>
      <c r="AP771">
        <v>35</v>
      </c>
      <c r="AQ771">
        <v>85</v>
      </c>
      <c r="AR771">
        <v>35</v>
      </c>
      <c r="AS771">
        <v>2</v>
      </c>
      <c r="AT771">
        <v>23</v>
      </c>
      <c r="AU771">
        <v>1</v>
      </c>
      <c r="AV771">
        <v>0</v>
      </c>
      <c r="AW771">
        <v>10</v>
      </c>
      <c r="AX771">
        <v>1</v>
      </c>
      <c r="AY771">
        <v>7</v>
      </c>
      <c r="AZ771">
        <v>3</v>
      </c>
      <c r="BA771">
        <v>1</v>
      </c>
      <c r="BB771">
        <v>1440</v>
      </c>
      <c r="BC771">
        <v>0</v>
      </c>
      <c r="BD771">
        <v>0</v>
      </c>
      <c r="BE771">
        <v>14</v>
      </c>
      <c r="BF771">
        <v>25</v>
      </c>
      <c r="BG771">
        <v>3</v>
      </c>
      <c r="BH771">
        <v>8</v>
      </c>
      <c r="BI771">
        <v>3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0</v>
      </c>
      <c r="BQ771">
        <v>60</v>
      </c>
      <c r="BR771">
        <v>0</v>
      </c>
      <c r="BS771">
        <v>3</v>
      </c>
      <c r="BT771" t="s">
        <v>248</v>
      </c>
      <c r="BU771" t="s">
        <v>270</v>
      </c>
      <c r="BV771" t="b">
        <v>0</v>
      </c>
      <c r="BW771" t="s">
        <v>271</v>
      </c>
    </row>
    <row r="772" spans="1:75">
      <c r="A772" t="s">
        <v>248</v>
      </c>
      <c r="B772" t="s">
        <v>252</v>
      </c>
      <c r="C772">
        <v>654</v>
      </c>
      <c r="D772" t="s">
        <v>253</v>
      </c>
      <c r="E772" t="s">
        <v>254</v>
      </c>
      <c r="F772">
        <v>5</v>
      </c>
      <c r="G772" s="13">
        <v>46266.658125000002</v>
      </c>
      <c r="H772" s="13">
        <v>46266.658252314817</v>
      </c>
      <c r="I772">
        <v>11</v>
      </c>
      <c r="J772" t="s">
        <v>255</v>
      </c>
      <c r="K772">
        <v>1</v>
      </c>
      <c r="L772">
        <v>0.04</v>
      </c>
      <c r="M772">
        <v>0.04</v>
      </c>
      <c r="N772">
        <v>1</v>
      </c>
      <c r="O772">
        <v>0.04</v>
      </c>
      <c r="P772">
        <v>1.08</v>
      </c>
      <c r="Q772">
        <v>3.56</v>
      </c>
      <c r="R772">
        <v>3.56</v>
      </c>
      <c r="S772" t="s">
        <v>256</v>
      </c>
      <c r="T772" t="s">
        <v>257</v>
      </c>
      <c r="U772">
        <v>11</v>
      </c>
      <c r="V772">
        <v>7584.35</v>
      </c>
      <c r="W772">
        <v>4999.32</v>
      </c>
      <c r="X772">
        <v>4998.92</v>
      </c>
      <c r="Y772">
        <v>0</v>
      </c>
      <c r="Z772">
        <v>0</v>
      </c>
      <c r="AA772">
        <v>35</v>
      </c>
      <c r="AB772">
        <v>50</v>
      </c>
      <c r="AC772">
        <v>5000</v>
      </c>
      <c r="AD772">
        <v>0</v>
      </c>
      <c r="AE772">
        <v>0</v>
      </c>
      <c r="AF772">
        <v>7587.19</v>
      </c>
      <c r="AG772">
        <v>7587.19</v>
      </c>
      <c r="AH772" s="14">
        <v>46266</v>
      </c>
      <c r="AI772" t="s">
        <v>269</v>
      </c>
      <c r="AJ772" s="13">
        <v>46265.054768518516</v>
      </c>
      <c r="AK772">
        <v>7052.98</v>
      </c>
      <c r="AL772" t="s">
        <v>259</v>
      </c>
      <c r="AM772" t="s">
        <v>260</v>
      </c>
      <c r="AN772">
        <v>1400</v>
      </c>
      <c r="AO772">
        <v>0</v>
      </c>
      <c r="AP772">
        <v>35</v>
      </c>
      <c r="AQ772">
        <v>85</v>
      </c>
      <c r="AR772">
        <v>35</v>
      </c>
      <c r="AS772">
        <v>2</v>
      </c>
      <c r="AT772">
        <v>23</v>
      </c>
      <c r="AU772">
        <v>1</v>
      </c>
      <c r="AV772">
        <v>0</v>
      </c>
      <c r="AW772">
        <v>10</v>
      </c>
      <c r="AX772">
        <v>1</v>
      </c>
      <c r="AY772">
        <v>7</v>
      </c>
      <c r="AZ772">
        <v>3</v>
      </c>
      <c r="BA772">
        <v>1</v>
      </c>
      <c r="BB772">
        <v>1440</v>
      </c>
      <c r="BC772">
        <v>0</v>
      </c>
      <c r="BD772">
        <v>0</v>
      </c>
      <c r="BE772">
        <v>14</v>
      </c>
      <c r="BF772">
        <v>25</v>
      </c>
      <c r="BG772">
        <v>3</v>
      </c>
      <c r="BH772">
        <v>8</v>
      </c>
      <c r="BI772">
        <v>3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0</v>
      </c>
      <c r="BQ772">
        <v>60</v>
      </c>
      <c r="BR772">
        <v>0</v>
      </c>
      <c r="BS772">
        <v>3</v>
      </c>
      <c r="BT772" t="s">
        <v>248</v>
      </c>
      <c r="BU772" t="s">
        <v>270</v>
      </c>
      <c r="BV772" t="b">
        <v>0</v>
      </c>
      <c r="BW772" t="s">
        <v>271</v>
      </c>
    </row>
    <row r="773" spans="1:75">
      <c r="A773" t="s">
        <v>248</v>
      </c>
      <c r="B773" t="s">
        <v>252</v>
      </c>
      <c r="C773">
        <v>655</v>
      </c>
      <c r="D773" t="s">
        <v>253</v>
      </c>
      <c r="E773" t="s">
        <v>254</v>
      </c>
      <c r="F773">
        <v>5</v>
      </c>
      <c r="G773" s="13">
        <v>46266.664027777777</v>
      </c>
      <c r="H773" s="13">
        <v>46266.66611111111</v>
      </c>
      <c r="I773">
        <v>180</v>
      </c>
      <c r="J773" t="s">
        <v>264</v>
      </c>
      <c r="K773">
        <v>1</v>
      </c>
      <c r="L773">
        <v>0.04</v>
      </c>
      <c r="M773">
        <v>0.04</v>
      </c>
      <c r="N773">
        <v>1</v>
      </c>
      <c r="O773">
        <v>0.04</v>
      </c>
      <c r="P773">
        <v>12.08</v>
      </c>
      <c r="Q773">
        <v>8.2799999999999994</v>
      </c>
      <c r="R773">
        <v>7.08</v>
      </c>
      <c r="S773" t="s">
        <v>256</v>
      </c>
      <c r="T773" t="s">
        <v>257</v>
      </c>
      <c r="U773">
        <v>11</v>
      </c>
      <c r="V773">
        <v>7586.55</v>
      </c>
      <c r="W773">
        <v>4999.3599999999997</v>
      </c>
      <c r="X773">
        <v>4987.92</v>
      </c>
      <c r="Y773">
        <v>0</v>
      </c>
      <c r="Z773">
        <v>0</v>
      </c>
      <c r="AA773">
        <v>35</v>
      </c>
      <c r="AB773">
        <v>50</v>
      </c>
      <c r="AC773">
        <v>5000</v>
      </c>
      <c r="AD773">
        <v>0</v>
      </c>
      <c r="AE773">
        <v>0</v>
      </c>
      <c r="AF773">
        <v>7594.07</v>
      </c>
      <c r="AG773">
        <v>7594.07</v>
      </c>
      <c r="AH773" s="14">
        <v>46266</v>
      </c>
      <c r="AI773" t="s">
        <v>269</v>
      </c>
      <c r="AJ773" s="13">
        <v>46265.054768518516</v>
      </c>
      <c r="AK773">
        <v>7052.98</v>
      </c>
      <c r="AL773" t="s">
        <v>259</v>
      </c>
      <c r="AM773" t="s">
        <v>260</v>
      </c>
      <c r="AN773">
        <v>1400</v>
      </c>
      <c r="AO773">
        <v>0</v>
      </c>
      <c r="AP773">
        <v>35</v>
      </c>
      <c r="AQ773">
        <v>85</v>
      </c>
      <c r="AR773">
        <v>35</v>
      </c>
      <c r="AS773">
        <v>2</v>
      </c>
      <c r="AT773">
        <v>23</v>
      </c>
      <c r="AU773">
        <v>1</v>
      </c>
      <c r="AV773">
        <v>0</v>
      </c>
      <c r="AW773">
        <v>10</v>
      </c>
      <c r="AX773">
        <v>1</v>
      </c>
      <c r="AY773">
        <v>7</v>
      </c>
      <c r="AZ773">
        <v>3</v>
      </c>
      <c r="BA773">
        <v>1</v>
      </c>
      <c r="BB773">
        <v>1440</v>
      </c>
      <c r="BC773">
        <v>0</v>
      </c>
      <c r="BD773">
        <v>0</v>
      </c>
      <c r="BE773">
        <v>14</v>
      </c>
      <c r="BF773">
        <v>25</v>
      </c>
      <c r="BG773">
        <v>3</v>
      </c>
      <c r="BH773">
        <v>8</v>
      </c>
      <c r="BI773">
        <v>3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0</v>
      </c>
      <c r="BQ773">
        <v>60</v>
      </c>
      <c r="BR773">
        <v>0</v>
      </c>
      <c r="BS773">
        <v>3</v>
      </c>
      <c r="BT773" t="s">
        <v>248</v>
      </c>
      <c r="BU773" t="s">
        <v>270</v>
      </c>
      <c r="BV773" t="b">
        <v>0</v>
      </c>
      <c r="BW773" t="s">
        <v>271</v>
      </c>
    </row>
    <row r="774" spans="1:75">
      <c r="A774" t="s">
        <v>248</v>
      </c>
      <c r="B774" t="s">
        <v>252</v>
      </c>
      <c r="C774">
        <v>656</v>
      </c>
      <c r="D774" t="s">
        <v>253</v>
      </c>
      <c r="E774" t="s">
        <v>254</v>
      </c>
      <c r="F774">
        <v>5</v>
      </c>
      <c r="G774" s="13">
        <v>46266.667118055557</v>
      </c>
      <c r="H774" s="13">
        <v>46266.667604166665</v>
      </c>
      <c r="I774">
        <v>42</v>
      </c>
      <c r="J774" t="s">
        <v>264</v>
      </c>
      <c r="K774">
        <v>1</v>
      </c>
      <c r="L774">
        <v>0.04</v>
      </c>
      <c r="M774">
        <v>0.04</v>
      </c>
      <c r="N774">
        <v>1</v>
      </c>
      <c r="O774">
        <v>0.04</v>
      </c>
      <c r="P774">
        <v>0.68</v>
      </c>
      <c r="Q774">
        <v>17.12</v>
      </c>
      <c r="R774">
        <v>17.12</v>
      </c>
      <c r="S774" t="s">
        <v>256</v>
      </c>
      <c r="T774" t="s">
        <v>257</v>
      </c>
      <c r="U774">
        <v>10</v>
      </c>
      <c r="V774">
        <v>7593.39</v>
      </c>
      <c r="W774">
        <v>4999.32</v>
      </c>
      <c r="X774">
        <v>4999.32</v>
      </c>
      <c r="Y774">
        <v>0</v>
      </c>
      <c r="Z774">
        <v>0</v>
      </c>
      <c r="AA774">
        <v>35</v>
      </c>
      <c r="AB774">
        <v>50</v>
      </c>
      <c r="AC774">
        <v>5000</v>
      </c>
      <c r="AD774">
        <v>0</v>
      </c>
      <c r="AE774">
        <v>0</v>
      </c>
      <c r="AF774">
        <v>7609.79</v>
      </c>
      <c r="AG774">
        <v>7609.79</v>
      </c>
      <c r="AH774" s="14">
        <v>46266</v>
      </c>
      <c r="AI774" t="s">
        <v>269</v>
      </c>
      <c r="AJ774" s="13">
        <v>46265.054768518516</v>
      </c>
      <c r="AK774">
        <v>7052.98</v>
      </c>
      <c r="AL774" t="s">
        <v>259</v>
      </c>
      <c r="AM774" t="s">
        <v>260</v>
      </c>
      <c r="AN774">
        <v>1400</v>
      </c>
      <c r="AO774">
        <v>0</v>
      </c>
      <c r="AP774">
        <v>35</v>
      </c>
      <c r="AQ774">
        <v>85</v>
      </c>
      <c r="AR774">
        <v>35</v>
      </c>
      <c r="AS774">
        <v>2</v>
      </c>
      <c r="AT774">
        <v>23</v>
      </c>
      <c r="AU774">
        <v>1</v>
      </c>
      <c r="AV774">
        <v>0</v>
      </c>
      <c r="AW774">
        <v>10</v>
      </c>
      <c r="AX774">
        <v>1</v>
      </c>
      <c r="AY774">
        <v>7</v>
      </c>
      <c r="AZ774">
        <v>3</v>
      </c>
      <c r="BA774">
        <v>1</v>
      </c>
      <c r="BB774">
        <v>1440</v>
      </c>
      <c r="BC774">
        <v>0</v>
      </c>
      <c r="BD774">
        <v>0</v>
      </c>
      <c r="BE774">
        <v>14</v>
      </c>
      <c r="BF774">
        <v>25</v>
      </c>
      <c r="BG774">
        <v>3</v>
      </c>
      <c r="BH774">
        <v>8</v>
      </c>
      <c r="BI774">
        <v>3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0</v>
      </c>
      <c r="BQ774">
        <v>60</v>
      </c>
      <c r="BR774">
        <v>0</v>
      </c>
      <c r="BS774">
        <v>3</v>
      </c>
      <c r="BT774" t="s">
        <v>248</v>
      </c>
      <c r="BU774" t="s">
        <v>270</v>
      </c>
      <c r="BV774" t="b">
        <v>0</v>
      </c>
      <c r="BW774" t="s">
        <v>271</v>
      </c>
    </row>
    <row r="775" spans="1:75">
      <c r="A775" t="s">
        <v>248</v>
      </c>
      <c r="B775" t="s">
        <v>252</v>
      </c>
      <c r="C775">
        <v>657</v>
      </c>
      <c r="D775" t="s">
        <v>253</v>
      </c>
      <c r="E775" t="s">
        <v>254</v>
      </c>
      <c r="F775">
        <v>5</v>
      </c>
      <c r="G775" s="13">
        <v>46266.670532407406</v>
      </c>
      <c r="H775" s="13">
        <v>46266.670671296299</v>
      </c>
      <c r="I775">
        <v>12</v>
      </c>
      <c r="J775" t="s">
        <v>264</v>
      </c>
      <c r="K775">
        <v>1</v>
      </c>
      <c r="L775">
        <v>0.04</v>
      </c>
      <c r="M775">
        <v>0.04</v>
      </c>
      <c r="N775">
        <v>1</v>
      </c>
      <c r="O775">
        <v>0.04</v>
      </c>
      <c r="P775">
        <v>1.36</v>
      </c>
      <c r="Q775">
        <v>3.48</v>
      </c>
      <c r="R775">
        <v>2.88</v>
      </c>
      <c r="S775" t="s">
        <v>256</v>
      </c>
      <c r="T775" t="s">
        <v>257</v>
      </c>
      <c r="U775">
        <v>10</v>
      </c>
      <c r="V775">
        <v>7608.43</v>
      </c>
      <c r="W775">
        <v>4998.6400000000003</v>
      </c>
      <c r="X775">
        <v>4998.6400000000003</v>
      </c>
      <c r="Y775">
        <v>0</v>
      </c>
      <c r="Z775">
        <v>0</v>
      </c>
      <c r="AA775">
        <v>35</v>
      </c>
      <c r="AB775">
        <v>50</v>
      </c>
      <c r="AC775">
        <v>5000</v>
      </c>
      <c r="AD775">
        <v>0</v>
      </c>
      <c r="AE775">
        <v>0</v>
      </c>
      <c r="AF775">
        <v>7611.87</v>
      </c>
      <c r="AG775">
        <v>7611.87</v>
      </c>
      <c r="AH775" s="14">
        <v>46266</v>
      </c>
      <c r="AI775" t="s">
        <v>269</v>
      </c>
      <c r="AJ775" s="13">
        <v>46265.054768518516</v>
      </c>
      <c r="AK775">
        <v>7052.98</v>
      </c>
      <c r="AL775" t="s">
        <v>259</v>
      </c>
      <c r="AM775" t="s">
        <v>260</v>
      </c>
      <c r="AN775">
        <v>1400</v>
      </c>
      <c r="AO775">
        <v>0</v>
      </c>
      <c r="AP775">
        <v>35</v>
      </c>
      <c r="AQ775">
        <v>85</v>
      </c>
      <c r="AR775">
        <v>35</v>
      </c>
      <c r="AS775">
        <v>2</v>
      </c>
      <c r="AT775">
        <v>23</v>
      </c>
      <c r="AU775">
        <v>1</v>
      </c>
      <c r="AV775">
        <v>0</v>
      </c>
      <c r="AW775">
        <v>10</v>
      </c>
      <c r="AX775">
        <v>1</v>
      </c>
      <c r="AY775">
        <v>7</v>
      </c>
      <c r="AZ775">
        <v>3</v>
      </c>
      <c r="BA775">
        <v>1</v>
      </c>
      <c r="BB775">
        <v>1440</v>
      </c>
      <c r="BC775">
        <v>0</v>
      </c>
      <c r="BD775">
        <v>0</v>
      </c>
      <c r="BE775">
        <v>14</v>
      </c>
      <c r="BF775">
        <v>25</v>
      </c>
      <c r="BG775">
        <v>3</v>
      </c>
      <c r="BH775">
        <v>8</v>
      </c>
      <c r="BI775">
        <v>3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0</v>
      </c>
      <c r="BQ775">
        <v>60</v>
      </c>
      <c r="BR775">
        <v>0</v>
      </c>
      <c r="BS775">
        <v>3</v>
      </c>
      <c r="BT775" t="s">
        <v>248</v>
      </c>
      <c r="BU775" t="s">
        <v>270</v>
      </c>
      <c r="BV775" t="b">
        <v>0</v>
      </c>
      <c r="BW775" t="s">
        <v>271</v>
      </c>
    </row>
    <row r="776" spans="1:75">
      <c r="A776" t="s">
        <v>248</v>
      </c>
      <c r="B776" t="s">
        <v>252</v>
      </c>
      <c r="C776">
        <v>658</v>
      </c>
      <c r="D776" t="s">
        <v>253</v>
      </c>
      <c r="E776" t="s">
        <v>254</v>
      </c>
      <c r="F776">
        <v>5</v>
      </c>
      <c r="G776" s="13">
        <v>46266.674803240741</v>
      </c>
      <c r="H776" s="13">
        <v>46266.675150462965</v>
      </c>
      <c r="I776">
        <v>30</v>
      </c>
      <c r="J776" t="s">
        <v>264</v>
      </c>
      <c r="K776">
        <v>1</v>
      </c>
      <c r="L776">
        <v>0.04</v>
      </c>
      <c r="M776">
        <v>0.04</v>
      </c>
      <c r="N776">
        <v>1</v>
      </c>
      <c r="O776">
        <v>0.04</v>
      </c>
      <c r="P776">
        <v>2</v>
      </c>
      <c r="Q776">
        <v>8.84</v>
      </c>
      <c r="R776">
        <v>8.84</v>
      </c>
      <c r="S776" t="s">
        <v>256</v>
      </c>
      <c r="T776" t="s">
        <v>257</v>
      </c>
      <c r="U776">
        <v>11</v>
      </c>
      <c r="V776">
        <v>7611.23</v>
      </c>
      <c r="W776">
        <v>4999.3599999999997</v>
      </c>
      <c r="X776">
        <v>4998</v>
      </c>
      <c r="Y776">
        <v>0</v>
      </c>
      <c r="Z776">
        <v>0</v>
      </c>
      <c r="AA776">
        <v>35</v>
      </c>
      <c r="AB776">
        <v>50</v>
      </c>
      <c r="AC776">
        <v>5000</v>
      </c>
      <c r="AD776">
        <v>0</v>
      </c>
      <c r="AE776">
        <v>0</v>
      </c>
      <c r="AF776">
        <v>7619.31</v>
      </c>
      <c r="AG776">
        <v>7619.31</v>
      </c>
      <c r="AH776" s="14">
        <v>46266</v>
      </c>
      <c r="AI776" t="s">
        <v>269</v>
      </c>
      <c r="AJ776" s="13">
        <v>46265.054768518516</v>
      </c>
      <c r="AK776">
        <v>7052.98</v>
      </c>
      <c r="AL776" t="s">
        <v>259</v>
      </c>
      <c r="AM776" t="s">
        <v>260</v>
      </c>
      <c r="AN776">
        <v>1400</v>
      </c>
      <c r="AO776">
        <v>0</v>
      </c>
      <c r="AP776">
        <v>35</v>
      </c>
      <c r="AQ776">
        <v>85</v>
      </c>
      <c r="AR776">
        <v>35</v>
      </c>
      <c r="AS776">
        <v>2</v>
      </c>
      <c r="AT776">
        <v>23</v>
      </c>
      <c r="AU776">
        <v>1</v>
      </c>
      <c r="AV776">
        <v>0</v>
      </c>
      <c r="AW776">
        <v>10</v>
      </c>
      <c r="AX776">
        <v>1</v>
      </c>
      <c r="AY776">
        <v>7</v>
      </c>
      <c r="AZ776">
        <v>3</v>
      </c>
      <c r="BA776">
        <v>1</v>
      </c>
      <c r="BB776">
        <v>1440</v>
      </c>
      <c r="BC776">
        <v>0</v>
      </c>
      <c r="BD776">
        <v>0</v>
      </c>
      <c r="BE776">
        <v>14</v>
      </c>
      <c r="BF776">
        <v>25</v>
      </c>
      <c r="BG776">
        <v>3</v>
      </c>
      <c r="BH776">
        <v>8</v>
      </c>
      <c r="BI776">
        <v>3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0</v>
      </c>
      <c r="BQ776">
        <v>60</v>
      </c>
      <c r="BR776">
        <v>0</v>
      </c>
      <c r="BS776">
        <v>3</v>
      </c>
      <c r="BT776" t="s">
        <v>248</v>
      </c>
      <c r="BU776" t="s">
        <v>270</v>
      </c>
      <c r="BV776" t="b">
        <v>0</v>
      </c>
      <c r="BW776" t="s">
        <v>271</v>
      </c>
    </row>
    <row r="777" spans="1:75">
      <c r="A777" t="s">
        <v>248</v>
      </c>
      <c r="B777" t="s">
        <v>252</v>
      </c>
      <c r="C777">
        <v>659</v>
      </c>
      <c r="D777" t="s">
        <v>253</v>
      </c>
      <c r="E777" t="s">
        <v>254</v>
      </c>
      <c r="F777">
        <v>5</v>
      </c>
      <c r="G777" s="13">
        <v>46266.677569444444</v>
      </c>
      <c r="H777" s="13">
        <v>46266.680590277778</v>
      </c>
      <c r="I777">
        <v>261</v>
      </c>
      <c r="J777" t="s">
        <v>255</v>
      </c>
      <c r="K777">
        <v>1</v>
      </c>
      <c r="L777">
        <v>0.04</v>
      </c>
      <c r="M777">
        <v>0.04</v>
      </c>
      <c r="N777">
        <v>1</v>
      </c>
      <c r="O777">
        <v>0.04</v>
      </c>
      <c r="P777">
        <v>22.92</v>
      </c>
      <c r="Q777">
        <v>5.64</v>
      </c>
      <c r="R777">
        <v>4.6399999999999997</v>
      </c>
      <c r="S777" t="s">
        <v>256</v>
      </c>
      <c r="T777" t="s">
        <v>257</v>
      </c>
      <c r="U777">
        <v>10</v>
      </c>
      <c r="V777">
        <v>7618.63</v>
      </c>
      <c r="W777">
        <v>4999.32</v>
      </c>
      <c r="X777">
        <v>4977.08</v>
      </c>
      <c r="Y777">
        <v>0</v>
      </c>
      <c r="Z777">
        <v>0</v>
      </c>
      <c r="AA777">
        <v>35</v>
      </c>
      <c r="AB777">
        <v>50</v>
      </c>
      <c r="AC777">
        <v>5000</v>
      </c>
      <c r="AD777">
        <v>0</v>
      </c>
      <c r="AE777">
        <v>0</v>
      </c>
      <c r="AF777">
        <v>7623.55</v>
      </c>
      <c r="AG777">
        <v>7623.55</v>
      </c>
      <c r="AH777" s="14">
        <v>46266</v>
      </c>
      <c r="AI777" t="s">
        <v>269</v>
      </c>
      <c r="AJ777" s="13">
        <v>46265.054768518516</v>
      </c>
      <c r="AK777">
        <v>7052.98</v>
      </c>
      <c r="AL777" t="s">
        <v>259</v>
      </c>
      <c r="AM777" t="s">
        <v>260</v>
      </c>
      <c r="AN777">
        <v>1400</v>
      </c>
      <c r="AO777">
        <v>0</v>
      </c>
      <c r="AP777">
        <v>35</v>
      </c>
      <c r="AQ777">
        <v>85</v>
      </c>
      <c r="AR777">
        <v>35</v>
      </c>
      <c r="AS777">
        <v>2</v>
      </c>
      <c r="AT777">
        <v>23</v>
      </c>
      <c r="AU777">
        <v>1</v>
      </c>
      <c r="AV777">
        <v>0</v>
      </c>
      <c r="AW777">
        <v>10</v>
      </c>
      <c r="AX777">
        <v>1</v>
      </c>
      <c r="AY777">
        <v>7</v>
      </c>
      <c r="AZ777">
        <v>3</v>
      </c>
      <c r="BA777">
        <v>1</v>
      </c>
      <c r="BB777">
        <v>1440</v>
      </c>
      <c r="BC777">
        <v>0</v>
      </c>
      <c r="BD777">
        <v>0</v>
      </c>
      <c r="BE777">
        <v>14</v>
      </c>
      <c r="BF777">
        <v>25</v>
      </c>
      <c r="BG777">
        <v>3</v>
      </c>
      <c r="BH777">
        <v>8</v>
      </c>
      <c r="BI777">
        <v>3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0</v>
      </c>
      <c r="BQ777">
        <v>60</v>
      </c>
      <c r="BR777">
        <v>0</v>
      </c>
      <c r="BS777">
        <v>3</v>
      </c>
      <c r="BT777" t="s">
        <v>248</v>
      </c>
      <c r="BU777" t="s">
        <v>270</v>
      </c>
      <c r="BV777" t="b">
        <v>0</v>
      </c>
      <c r="BW777" t="s">
        <v>271</v>
      </c>
    </row>
    <row r="778" spans="1:75">
      <c r="A778" t="s">
        <v>248</v>
      </c>
      <c r="B778" t="s">
        <v>252</v>
      </c>
      <c r="C778">
        <v>660</v>
      </c>
      <c r="D778" t="s">
        <v>253</v>
      </c>
      <c r="E778" t="s">
        <v>254</v>
      </c>
      <c r="F778">
        <v>5</v>
      </c>
      <c r="G778" s="13">
        <v>46266.681643518517</v>
      </c>
      <c r="H778" s="13">
        <v>46266.683217592596</v>
      </c>
      <c r="I778">
        <v>136</v>
      </c>
      <c r="J778" t="s">
        <v>255</v>
      </c>
      <c r="K778">
        <v>1</v>
      </c>
      <c r="L778">
        <v>0.04</v>
      </c>
      <c r="M778">
        <v>0.04</v>
      </c>
      <c r="N778">
        <v>1</v>
      </c>
      <c r="O778">
        <v>0.04</v>
      </c>
      <c r="P778">
        <v>11.84</v>
      </c>
      <c r="Q778">
        <v>4</v>
      </c>
      <c r="R778">
        <v>2.68</v>
      </c>
      <c r="S778" t="s">
        <v>256</v>
      </c>
      <c r="T778" t="s">
        <v>257</v>
      </c>
      <c r="U778">
        <v>11</v>
      </c>
      <c r="V778">
        <v>7622.91</v>
      </c>
      <c r="W778">
        <v>4999.3599999999997</v>
      </c>
      <c r="X778">
        <v>4988.16</v>
      </c>
      <c r="Y778">
        <v>0</v>
      </c>
      <c r="Z778">
        <v>0</v>
      </c>
      <c r="AA778">
        <v>35</v>
      </c>
      <c r="AB778">
        <v>50</v>
      </c>
      <c r="AC778">
        <v>5000</v>
      </c>
      <c r="AD778">
        <v>0</v>
      </c>
      <c r="AE778">
        <v>0</v>
      </c>
      <c r="AF778">
        <v>7626.15</v>
      </c>
      <c r="AG778">
        <v>7626.15</v>
      </c>
      <c r="AH778" s="14">
        <v>46266</v>
      </c>
      <c r="AI778" t="s">
        <v>269</v>
      </c>
      <c r="AJ778" s="13">
        <v>46265.054768518516</v>
      </c>
      <c r="AK778">
        <v>7052.98</v>
      </c>
      <c r="AL778" t="s">
        <v>259</v>
      </c>
      <c r="AM778" t="s">
        <v>260</v>
      </c>
      <c r="AN778">
        <v>1400</v>
      </c>
      <c r="AO778">
        <v>0</v>
      </c>
      <c r="AP778">
        <v>35</v>
      </c>
      <c r="AQ778">
        <v>85</v>
      </c>
      <c r="AR778">
        <v>35</v>
      </c>
      <c r="AS778">
        <v>2</v>
      </c>
      <c r="AT778">
        <v>23</v>
      </c>
      <c r="AU778">
        <v>1</v>
      </c>
      <c r="AV778">
        <v>0</v>
      </c>
      <c r="AW778">
        <v>10</v>
      </c>
      <c r="AX778">
        <v>1</v>
      </c>
      <c r="AY778">
        <v>7</v>
      </c>
      <c r="AZ778">
        <v>3</v>
      </c>
      <c r="BA778">
        <v>1</v>
      </c>
      <c r="BB778">
        <v>1440</v>
      </c>
      <c r="BC778">
        <v>0</v>
      </c>
      <c r="BD778">
        <v>0</v>
      </c>
      <c r="BE778">
        <v>14</v>
      </c>
      <c r="BF778">
        <v>25</v>
      </c>
      <c r="BG778">
        <v>3</v>
      </c>
      <c r="BH778">
        <v>8</v>
      </c>
      <c r="BI778">
        <v>3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0</v>
      </c>
      <c r="BQ778">
        <v>60</v>
      </c>
      <c r="BR778">
        <v>0</v>
      </c>
      <c r="BS778">
        <v>3</v>
      </c>
      <c r="BT778" t="s">
        <v>248</v>
      </c>
      <c r="BU778" t="s">
        <v>270</v>
      </c>
      <c r="BV778" t="b">
        <v>0</v>
      </c>
      <c r="BW778" t="s">
        <v>271</v>
      </c>
    </row>
    <row r="779" spans="1:75">
      <c r="A779" t="s">
        <v>248</v>
      </c>
      <c r="B779" t="s">
        <v>252</v>
      </c>
      <c r="C779">
        <v>661</v>
      </c>
      <c r="D779" t="s">
        <v>253</v>
      </c>
      <c r="E779" t="s">
        <v>254</v>
      </c>
      <c r="F779">
        <v>5</v>
      </c>
      <c r="G779" s="13">
        <v>46266.684699074074</v>
      </c>
      <c r="H779" s="13">
        <v>46266.68482638889</v>
      </c>
      <c r="I779">
        <v>11</v>
      </c>
      <c r="J779" t="s">
        <v>255</v>
      </c>
      <c r="K779">
        <v>1</v>
      </c>
      <c r="L779">
        <v>0.04</v>
      </c>
      <c r="M779">
        <v>0.04</v>
      </c>
      <c r="N779">
        <v>1</v>
      </c>
      <c r="O779">
        <v>0.04</v>
      </c>
      <c r="P779">
        <v>0.64</v>
      </c>
      <c r="Q779">
        <v>4.04</v>
      </c>
      <c r="R779">
        <v>4.04</v>
      </c>
      <c r="S779" t="s">
        <v>256</v>
      </c>
      <c r="T779" t="s">
        <v>257</v>
      </c>
      <c r="U779">
        <v>10</v>
      </c>
      <c r="V779">
        <v>7625.51</v>
      </c>
      <c r="W779">
        <v>4999.3599999999997</v>
      </c>
      <c r="X779">
        <v>4999.3599999999997</v>
      </c>
      <c r="Y779">
        <v>0</v>
      </c>
      <c r="Z779">
        <v>0</v>
      </c>
      <c r="AA779">
        <v>35</v>
      </c>
      <c r="AB779">
        <v>50</v>
      </c>
      <c r="AC779">
        <v>5000</v>
      </c>
      <c r="AD779">
        <v>0</v>
      </c>
      <c r="AE779">
        <v>0</v>
      </c>
      <c r="AF779">
        <v>7628.79</v>
      </c>
      <c r="AG779">
        <v>7628.79</v>
      </c>
      <c r="AH779" s="14">
        <v>46266</v>
      </c>
      <c r="AI779" t="s">
        <v>269</v>
      </c>
      <c r="AJ779" s="13">
        <v>46265.054768518516</v>
      </c>
      <c r="AK779">
        <v>7052.98</v>
      </c>
      <c r="AL779" t="s">
        <v>259</v>
      </c>
      <c r="AM779" t="s">
        <v>260</v>
      </c>
      <c r="AN779">
        <v>1400</v>
      </c>
      <c r="AO779">
        <v>0</v>
      </c>
      <c r="AP779">
        <v>35</v>
      </c>
      <c r="AQ779">
        <v>85</v>
      </c>
      <c r="AR779">
        <v>35</v>
      </c>
      <c r="AS779">
        <v>2</v>
      </c>
      <c r="AT779">
        <v>23</v>
      </c>
      <c r="AU779">
        <v>1</v>
      </c>
      <c r="AV779">
        <v>0</v>
      </c>
      <c r="AW779">
        <v>10</v>
      </c>
      <c r="AX779">
        <v>1</v>
      </c>
      <c r="AY779">
        <v>7</v>
      </c>
      <c r="AZ779">
        <v>3</v>
      </c>
      <c r="BA779">
        <v>1</v>
      </c>
      <c r="BB779">
        <v>1440</v>
      </c>
      <c r="BC779">
        <v>0</v>
      </c>
      <c r="BD779">
        <v>0</v>
      </c>
      <c r="BE779">
        <v>14</v>
      </c>
      <c r="BF779">
        <v>25</v>
      </c>
      <c r="BG779">
        <v>3</v>
      </c>
      <c r="BH779">
        <v>8</v>
      </c>
      <c r="BI779">
        <v>3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0</v>
      </c>
      <c r="BQ779">
        <v>60</v>
      </c>
      <c r="BR779">
        <v>0</v>
      </c>
      <c r="BS779">
        <v>3</v>
      </c>
      <c r="BT779" t="s">
        <v>248</v>
      </c>
      <c r="BU779" t="s">
        <v>270</v>
      </c>
      <c r="BV779" t="b">
        <v>0</v>
      </c>
      <c r="BW779" t="s">
        <v>271</v>
      </c>
    </row>
    <row r="780" spans="1:75">
      <c r="A780" t="s">
        <v>248</v>
      </c>
      <c r="B780" t="s">
        <v>252</v>
      </c>
      <c r="C780">
        <v>662</v>
      </c>
      <c r="D780" t="s">
        <v>253</v>
      </c>
      <c r="E780" t="s">
        <v>254</v>
      </c>
      <c r="F780">
        <v>5</v>
      </c>
      <c r="G780" s="13">
        <v>46266.689282407409</v>
      </c>
      <c r="H780" s="13">
        <v>46266.691307870373</v>
      </c>
      <c r="I780">
        <v>175</v>
      </c>
      <c r="J780" t="s">
        <v>255</v>
      </c>
      <c r="K780">
        <v>1</v>
      </c>
      <c r="L780">
        <v>0.04</v>
      </c>
      <c r="M780">
        <v>0.04</v>
      </c>
      <c r="N780">
        <v>1</v>
      </c>
      <c r="O780">
        <v>0.04</v>
      </c>
      <c r="P780">
        <v>0.68</v>
      </c>
      <c r="Q780">
        <v>8.56</v>
      </c>
      <c r="R780">
        <v>8.48</v>
      </c>
      <c r="S780" t="s">
        <v>256</v>
      </c>
      <c r="T780" t="s">
        <v>257</v>
      </c>
      <c r="U780">
        <v>10</v>
      </c>
      <c r="V780">
        <v>7628.11</v>
      </c>
      <c r="W780">
        <v>4999.32</v>
      </c>
      <c r="X780">
        <v>4999.32</v>
      </c>
      <c r="Y780">
        <v>0</v>
      </c>
      <c r="Z780">
        <v>0</v>
      </c>
      <c r="AA780">
        <v>35</v>
      </c>
      <c r="AB780">
        <v>50</v>
      </c>
      <c r="AC780">
        <v>5000</v>
      </c>
      <c r="AD780">
        <v>0</v>
      </c>
      <c r="AE780">
        <v>0</v>
      </c>
      <c r="AF780">
        <v>7635.95</v>
      </c>
      <c r="AG780">
        <v>7635.95</v>
      </c>
      <c r="AH780" s="14">
        <v>46266</v>
      </c>
      <c r="AI780" t="s">
        <v>269</v>
      </c>
      <c r="AJ780" s="13">
        <v>46265.054768518516</v>
      </c>
      <c r="AK780">
        <v>7052.98</v>
      </c>
      <c r="AL780" t="s">
        <v>259</v>
      </c>
      <c r="AM780" t="s">
        <v>260</v>
      </c>
      <c r="AN780">
        <v>1400</v>
      </c>
      <c r="AO780">
        <v>0</v>
      </c>
      <c r="AP780">
        <v>35</v>
      </c>
      <c r="AQ780">
        <v>85</v>
      </c>
      <c r="AR780">
        <v>35</v>
      </c>
      <c r="AS780">
        <v>2</v>
      </c>
      <c r="AT780">
        <v>23</v>
      </c>
      <c r="AU780">
        <v>1</v>
      </c>
      <c r="AV780">
        <v>0</v>
      </c>
      <c r="AW780">
        <v>10</v>
      </c>
      <c r="AX780">
        <v>1</v>
      </c>
      <c r="AY780">
        <v>7</v>
      </c>
      <c r="AZ780">
        <v>3</v>
      </c>
      <c r="BA780">
        <v>1</v>
      </c>
      <c r="BB780">
        <v>1440</v>
      </c>
      <c r="BC780">
        <v>0</v>
      </c>
      <c r="BD780">
        <v>0</v>
      </c>
      <c r="BE780">
        <v>14</v>
      </c>
      <c r="BF780">
        <v>25</v>
      </c>
      <c r="BG780">
        <v>3</v>
      </c>
      <c r="BH780">
        <v>8</v>
      </c>
      <c r="BI780">
        <v>3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0</v>
      </c>
      <c r="BQ780">
        <v>60</v>
      </c>
      <c r="BR780">
        <v>0</v>
      </c>
      <c r="BS780">
        <v>3</v>
      </c>
      <c r="BT780" t="s">
        <v>248</v>
      </c>
      <c r="BU780" t="s">
        <v>270</v>
      </c>
      <c r="BV780" t="b">
        <v>0</v>
      </c>
      <c r="BW780" t="s">
        <v>271</v>
      </c>
    </row>
    <row r="781" spans="1:75">
      <c r="A781" t="s">
        <v>248</v>
      </c>
      <c r="B781" t="s">
        <v>252</v>
      </c>
      <c r="C781">
        <v>663</v>
      </c>
      <c r="D781" t="s">
        <v>253</v>
      </c>
      <c r="E781" t="s">
        <v>254</v>
      </c>
      <c r="F781">
        <v>5</v>
      </c>
      <c r="G781" s="13">
        <v>46266.691377314812</v>
      </c>
      <c r="H781" s="13">
        <v>46266.692523148151</v>
      </c>
      <c r="I781">
        <v>99</v>
      </c>
      <c r="J781" t="s">
        <v>264</v>
      </c>
      <c r="K781">
        <v>1</v>
      </c>
      <c r="L781">
        <v>0.04</v>
      </c>
      <c r="M781">
        <v>0.04</v>
      </c>
      <c r="N781">
        <v>1</v>
      </c>
      <c r="O781">
        <v>0.04</v>
      </c>
      <c r="P781">
        <v>0.64</v>
      </c>
      <c r="Q781">
        <v>15.12</v>
      </c>
      <c r="R781">
        <v>15.12</v>
      </c>
      <c r="S781" t="s">
        <v>256</v>
      </c>
      <c r="T781" t="s">
        <v>257</v>
      </c>
      <c r="U781">
        <v>10</v>
      </c>
      <c r="V781">
        <v>7635.31</v>
      </c>
      <c r="W781">
        <v>4999.3599999999997</v>
      </c>
      <c r="X781">
        <v>4999.3599999999997</v>
      </c>
      <c r="Y781">
        <v>0</v>
      </c>
      <c r="Z781">
        <v>0</v>
      </c>
      <c r="AA781">
        <v>35</v>
      </c>
      <c r="AB781">
        <v>50</v>
      </c>
      <c r="AC781">
        <v>5000</v>
      </c>
      <c r="AD781">
        <v>0</v>
      </c>
      <c r="AE781">
        <v>0</v>
      </c>
      <c r="AF781">
        <v>7649.67</v>
      </c>
      <c r="AG781">
        <v>7649.67</v>
      </c>
      <c r="AH781" s="14">
        <v>46266</v>
      </c>
      <c r="AI781" t="s">
        <v>269</v>
      </c>
      <c r="AJ781" s="13">
        <v>46265.054768518516</v>
      </c>
      <c r="AK781">
        <v>7052.98</v>
      </c>
      <c r="AL781" t="s">
        <v>259</v>
      </c>
      <c r="AM781" t="s">
        <v>260</v>
      </c>
      <c r="AN781">
        <v>1400</v>
      </c>
      <c r="AO781">
        <v>0</v>
      </c>
      <c r="AP781">
        <v>35</v>
      </c>
      <c r="AQ781">
        <v>85</v>
      </c>
      <c r="AR781">
        <v>35</v>
      </c>
      <c r="AS781">
        <v>2</v>
      </c>
      <c r="AT781">
        <v>23</v>
      </c>
      <c r="AU781">
        <v>1</v>
      </c>
      <c r="AV781">
        <v>0</v>
      </c>
      <c r="AW781">
        <v>10</v>
      </c>
      <c r="AX781">
        <v>1</v>
      </c>
      <c r="AY781">
        <v>7</v>
      </c>
      <c r="AZ781">
        <v>3</v>
      </c>
      <c r="BA781">
        <v>1</v>
      </c>
      <c r="BB781">
        <v>1440</v>
      </c>
      <c r="BC781">
        <v>0</v>
      </c>
      <c r="BD781">
        <v>0</v>
      </c>
      <c r="BE781">
        <v>14</v>
      </c>
      <c r="BF781">
        <v>25</v>
      </c>
      <c r="BG781">
        <v>3</v>
      </c>
      <c r="BH781">
        <v>8</v>
      </c>
      <c r="BI781">
        <v>3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0</v>
      </c>
      <c r="BQ781">
        <v>60</v>
      </c>
      <c r="BR781">
        <v>0</v>
      </c>
      <c r="BS781">
        <v>3</v>
      </c>
      <c r="BT781" t="s">
        <v>248</v>
      </c>
      <c r="BU781" t="s">
        <v>270</v>
      </c>
      <c r="BV781" t="b">
        <v>0</v>
      </c>
      <c r="BW781" t="s">
        <v>271</v>
      </c>
    </row>
    <row r="782" spans="1:75">
      <c r="A782" t="s">
        <v>248</v>
      </c>
      <c r="B782" t="s">
        <v>252</v>
      </c>
      <c r="C782">
        <v>664</v>
      </c>
      <c r="D782" t="s">
        <v>253</v>
      </c>
      <c r="E782" t="s">
        <v>254</v>
      </c>
      <c r="F782">
        <v>5</v>
      </c>
      <c r="G782" s="13">
        <v>46266.697453703702</v>
      </c>
      <c r="H782" s="13">
        <v>46266.706412037034</v>
      </c>
      <c r="I782">
        <v>774</v>
      </c>
      <c r="J782" t="s">
        <v>255</v>
      </c>
      <c r="K782">
        <v>3</v>
      </c>
      <c r="L782">
        <v>0.12</v>
      </c>
      <c r="M782">
        <v>0.04</v>
      </c>
      <c r="N782">
        <v>3</v>
      </c>
      <c r="O782">
        <v>0.12</v>
      </c>
      <c r="P782">
        <v>4.04</v>
      </c>
      <c r="Q782">
        <v>23.32</v>
      </c>
      <c r="R782">
        <v>6.8</v>
      </c>
      <c r="S782" t="s">
        <v>263</v>
      </c>
      <c r="T782" t="s">
        <v>257</v>
      </c>
      <c r="U782">
        <v>11</v>
      </c>
      <c r="V782">
        <v>7648.99</v>
      </c>
      <c r="W782">
        <v>4999.32</v>
      </c>
      <c r="X782">
        <v>4995.96</v>
      </c>
      <c r="Y782">
        <v>0</v>
      </c>
      <c r="Z782">
        <v>0</v>
      </c>
      <c r="AA782">
        <v>35</v>
      </c>
      <c r="AB782">
        <v>50</v>
      </c>
      <c r="AC782">
        <v>5000</v>
      </c>
      <c r="AD782">
        <v>0</v>
      </c>
      <c r="AE782">
        <v>0</v>
      </c>
      <c r="AF782">
        <v>7664.71</v>
      </c>
      <c r="AG782">
        <v>7664.71</v>
      </c>
      <c r="AH782" s="14">
        <v>46266</v>
      </c>
      <c r="AI782" t="s">
        <v>269</v>
      </c>
      <c r="AJ782" s="13">
        <v>46265.054768518516</v>
      </c>
      <c r="AK782">
        <v>7052.98</v>
      </c>
      <c r="AL782" t="s">
        <v>259</v>
      </c>
      <c r="AM782" t="s">
        <v>260</v>
      </c>
      <c r="AN782">
        <v>1400</v>
      </c>
      <c r="AO782">
        <v>0</v>
      </c>
      <c r="AP782">
        <v>35</v>
      </c>
      <c r="AQ782">
        <v>85</v>
      </c>
      <c r="AR782">
        <v>35</v>
      </c>
      <c r="AS782">
        <v>2</v>
      </c>
      <c r="AT782">
        <v>23</v>
      </c>
      <c r="AU782">
        <v>1</v>
      </c>
      <c r="AV782">
        <v>0</v>
      </c>
      <c r="AW782">
        <v>10</v>
      </c>
      <c r="AX782">
        <v>1</v>
      </c>
      <c r="AY782">
        <v>7</v>
      </c>
      <c r="AZ782">
        <v>3</v>
      </c>
      <c r="BA782">
        <v>1</v>
      </c>
      <c r="BB782">
        <v>1440</v>
      </c>
      <c r="BC782">
        <v>0</v>
      </c>
      <c r="BD782">
        <v>0</v>
      </c>
      <c r="BE782">
        <v>14</v>
      </c>
      <c r="BF782">
        <v>25</v>
      </c>
      <c r="BG782">
        <v>3</v>
      </c>
      <c r="BH782">
        <v>8</v>
      </c>
      <c r="BI782">
        <v>3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0</v>
      </c>
      <c r="BQ782">
        <v>60</v>
      </c>
      <c r="BR782">
        <v>0</v>
      </c>
      <c r="BS782">
        <v>3</v>
      </c>
      <c r="BT782" t="s">
        <v>248</v>
      </c>
      <c r="BU782" t="s">
        <v>270</v>
      </c>
      <c r="BV782" t="b">
        <v>0</v>
      </c>
      <c r="BW782" t="s">
        <v>271</v>
      </c>
    </row>
    <row r="783" spans="1:75">
      <c r="A783" t="s">
        <v>248</v>
      </c>
      <c r="B783" t="s">
        <v>252</v>
      </c>
      <c r="C783">
        <v>665</v>
      </c>
      <c r="D783" t="s">
        <v>253</v>
      </c>
      <c r="E783" t="s">
        <v>254</v>
      </c>
      <c r="F783">
        <v>5</v>
      </c>
      <c r="G783" s="13">
        <v>46266.710381944446</v>
      </c>
      <c r="H783" s="13">
        <v>46266.737384259257</v>
      </c>
      <c r="I783">
        <v>2333</v>
      </c>
      <c r="J783" t="s">
        <v>264</v>
      </c>
      <c r="K783">
        <v>4</v>
      </c>
      <c r="L783">
        <v>0.16</v>
      </c>
      <c r="M783">
        <v>0.04</v>
      </c>
      <c r="N783">
        <v>4</v>
      </c>
      <c r="O783">
        <v>0.16</v>
      </c>
      <c r="P783">
        <v>114.56</v>
      </c>
      <c r="Q783">
        <v>11.88</v>
      </c>
      <c r="R783">
        <v>8.84</v>
      </c>
      <c r="S783" t="s">
        <v>263</v>
      </c>
      <c r="T783" t="s">
        <v>257</v>
      </c>
      <c r="U783">
        <v>11</v>
      </c>
      <c r="V783">
        <v>7664.03</v>
      </c>
      <c r="W783">
        <v>4999.32</v>
      </c>
      <c r="X783">
        <v>4885.4399999999996</v>
      </c>
      <c r="Y783">
        <v>0</v>
      </c>
      <c r="Z783">
        <v>0</v>
      </c>
      <c r="AA783">
        <v>35</v>
      </c>
      <c r="AB783">
        <v>50</v>
      </c>
      <c r="AC783">
        <v>5000</v>
      </c>
      <c r="AD783">
        <v>0</v>
      </c>
      <c r="AE783">
        <v>0</v>
      </c>
      <c r="AF783">
        <v>7673.27</v>
      </c>
      <c r="AG783">
        <v>7673.27</v>
      </c>
      <c r="AH783" s="14">
        <v>46266</v>
      </c>
      <c r="AI783" t="s">
        <v>269</v>
      </c>
      <c r="AJ783" s="13">
        <v>46265.054768518516</v>
      </c>
      <c r="AK783">
        <v>7052.98</v>
      </c>
      <c r="AL783" t="s">
        <v>259</v>
      </c>
      <c r="AM783" t="s">
        <v>260</v>
      </c>
      <c r="AN783">
        <v>1400</v>
      </c>
      <c r="AO783">
        <v>0</v>
      </c>
      <c r="AP783">
        <v>35</v>
      </c>
      <c r="AQ783">
        <v>85</v>
      </c>
      <c r="AR783">
        <v>35</v>
      </c>
      <c r="AS783">
        <v>2</v>
      </c>
      <c r="AT783">
        <v>23</v>
      </c>
      <c r="AU783">
        <v>1</v>
      </c>
      <c r="AV783">
        <v>0</v>
      </c>
      <c r="AW783">
        <v>10</v>
      </c>
      <c r="AX783">
        <v>1</v>
      </c>
      <c r="AY783">
        <v>7</v>
      </c>
      <c r="AZ783">
        <v>3</v>
      </c>
      <c r="BA783">
        <v>1</v>
      </c>
      <c r="BB783">
        <v>1440</v>
      </c>
      <c r="BC783">
        <v>0</v>
      </c>
      <c r="BD783">
        <v>0</v>
      </c>
      <c r="BE783">
        <v>14</v>
      </c>
      <c r="BF783">
        <v>25</v>
      </c>
      <c r="BG783">
        <v>3</v>
      </c>
      <c r="BH783">
        <v>8</v>
      </c>
      <c r="BI783">
        <v>3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0</v>
      </c>
      <c r="BQ783">
        <v>60</v>
      </c>
      <c r="BR783">
        <v>0</v>
      </c>
      <c r="BS783">
        <v>3</v>
      </c>
      <c r="BT783" t="s">
        <v>248</v>
      </c>
      <c r="BU783" t="s">
        <v>270</v>
      </c>
      <c r="BV783" t="b">
        <v>0</v>
      </c>
      <c r="BW783" t="s">
        <v>271</v>
      </c>
    </row>
    <row r="784" spans="1:75">
      <c r="A784" t="s">
        <v>248</v>
      </c>
      <c r="B784" t="s">
        <v>252</v>
      </c>
      <c r="C784">
        <v>666</v>
      </c>
      <c r="D784" t="s">
        <v>253</v>
      </c>
      <c r="E784" t="s">
        <v>254</v>
      </c>
      <c r="F784">
        <v>5</v>
      </c>
      <c r="G784" s="13">
        <v>46266.740474537037</v>
      </c>
      <c r="H784" s="13">
        <v>46266.74291666667</v>
      </c>
      <c r="I784">
        <v>211</v>
      </c>
      <c r="J784" t="s">
        <v>264</v>
      </c>
      <c r="K784">
        <v>1</v>
      </c>
      <c r="L784">
        <v>0.04</v>
      </c>
      <c r="M784">
        <v>0.04</v>
      </c>
      <c r="N784">
        <v>1</v>
      </c>
      <c r="O784">
        <v>0.04</v>
      </c>
      <c r="P784">
        <v>19.52</v>
      </c>
      <c r="Q784">
        <v>12.84</v>
      </c>
      <c r="R784">
        <v>12.84</v>
      </c>
      <c r="S784" t="s">
        <v>256</v>
      </c>
      <c r="T784" t="s">
        <v>257</v>
      </c>
      <c r="U784">
        <v>11</v>
      </c>
      <c r="V784">
        <v>7672.59</v>
      </c>
      <c r="W784">
        <v>4999.32</v>
      </c>
      <c r="X784">
        <v>4980.4799999999996</v>
      </c>
      <c r="Y784">
        <v>0</v>
      </c>
      <c r="Z784">
        <v>0</v>
      </c>
      <c r="AA784">
        <v>35</v>
      </c>
      <c r="AB784">
        <v>50</v>
      </c>
      <c r="AC784">
        <v>5000</v>
      </c>
      <c r="AD784">
        <v>0</v>
      </c>
      <c r="AE784">
        <v>0</v>
      </c>
      <c r="AF784">
        <v>7684.71</v>
      </c>
      <c r="AG784">
        <v>7684.71</v>
      </c>
      <c r="AH784" s="14">
        <v>46266</v>
      </c>
      <c r="AI784" t="s">
        <v>269</v>
      </c>
      <c r="AJ784" s="13">
        <v>46265.054768518516</v>
      </c>
      <c r="AK784">
        <v>7052.98</v>
      </c>
      <c r="AL784" t="s">
        <v>259</v>
      </c>
      <c r="AM784" t="s">
        <v>260</v>
      </c>
      <c r="AN784">
        <v>1400</v>
      </c>
      <c r="AO784">
        <v>0</v>
      </c>
      <c r="AP784">
        <v>35</v>
      </c>
      <c r="AQ784">
        <v>85</v>
      </c>
      <c r="AR784">
        <v>35</v>
      </c>
      <c r="AS784">
        <v>2</v>
      </c>
      <c r="AT784">
        <v>23</v>
      </c>
      <c r="AU784">
        <v>1</v>
      </c>
      <c r="AV784">
        <v>0</v>
      </c>
      <c r="AW784">
        <v>10</v>
      </c>
      <c r="AX784">
        <v>1</v>
      </c>
      <c r="AY784">
        <v>7</v>
      </c>
      <c r="AZ784">
        <v>3</v>
      </c>
      <c r="BA784">
        <v>1</v>
      </c>
      <c r="BB784">
        <v>1440</v>
      </c>
      <c r="BC784">
        <v>0</v>
      </c>
      <c r="BD784">
        <v>0</v>
      </c>
      <c r="BE784">
        <v>14</v>
      </c>
      <c r="BF784">
        <v>25</v>
      </c>
      <c r="BG784">
        <v>3</v>
      </c>
      <c r="BH784">
        <v>8</v>
      </c>
      <c r="BI784">
        <v>3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0</v>
      </c>
      <c r="BQ784">
        <v>60</v>
      </c>
      <c r="BR784">
        <v>0</v>
      </c>
      <c r="BS784">
        <v>3</v>
      </c>
      <c r="BT784" t="s">
        <v>248</v>
      </c>
      <c r="BU784" t="s">
        <v>270</v>
      </c>
      <c r="BV784" t="b">
        <v>0</v>
      </c>
      <c r="BW784" t="s">
        <v>271</v>
      </c>
    </row>
    <row r="785" spans="1:75">
      <c r="A785" t="s">
        <v>248</v>
      </c>
      <c r="B785" t="s">
        <v>252</v>
      </c>
      <c r="C785">
        <v>667</v>
      </c>
      <c r="D785" t="s">
        <v>253</v>
      </c>
      <c r="E785" t="s">
        <v>254</v>
      </c>
      <c r="F785">
        <v>5</v>
      </c>
      <c r="G785" s="13">
        <v>46266.743993055556</v>
      </c>
      <c r="H785" s="13">
        <v>46266.763287037036</v>
      </c>
      <c r="I785">
        <v>1667</v>
      </c>
      <c r="J785" t="s">
        <v>255</v>
      </c>
      <c r="K785">
        <v>6</v>
      </c>
      <c r="L785">
        <v>0.24</v>
      </c>
      <c r="M785">
        <v>0.04</v>
      </c>
      <c r="N785">
        <v>6</v>
      </c>
      <c r="O785">
        <v>0.24</v>
      </c>
      <c r="P785">
        <v>128.63999999999999</v>
      </c>
      <c r="Q785">
        <v>32.36</v>
      </c>
      <c r="R785">
        <v>27.56</v>
      </c>
      <c r="S785" t="s">
        <v>263</v>
      </c>
      <c r="T785" t="s">
        <v>257</v>
      </c>
      <c r="U785">
        <v>11</v>
      </c>
      <c r="V785">
        <v>7684.07</v>
      </c>
      <c r="W785">
        <v>4999.3599999999997</v>
      </c>
      <c r="X785">
        <v>4871.3599999999997</v>
      </c>
      <c r="Y785">
        <v>0</v>
      </c>
      <c r="Z785">
        <v>0</v>
      </c>
      <c r="AA785">
        <v>35</v>
      </c>
      <c r="AB785">
        <v>50</v>
      </c>
      <c r="AC785">
        <v>5000</v>
      </c>
      <c r="AD785">
        <v>0</v>
      </c>
      <c r="AE785">
        <v>0</v>
      </c>
      <c r="AF785">
        <v>7711.87</v>
      </c>
      <c r="AG785">
        <v>7711.87</v>
      </c>
      <c r="AH785" s="14">
        <v>46266</v>
      </c>
      <c r="AI785" t="s">
        <v>269</v>
      </c>
      <c r="AJ785" s="13">
        <v>46265.054768518516</v>
      </c>
      <c r="AK785">
        <v>7052.98</v>
      </c>
      <c r="AL785" t="s">
        <v>259</v>
      </c>
      <c r="AM785" t="s">
        <v>260</v>
      </c>
      <c r="AN785">
        <v>1400</v>
      </c>
      <c r="AO785">
        <v>0</v>
      </c>
      <c r="AP785">
        <v>35</v>
      </c>
      <c r="AQ785">
        <v>85</v>
      </c>
      <c r="AR785">
        <v>35</v>
      </c>
      <c r="AS785">
        <v>2</v>
      </c>
      <c r="AT785">
        <v>23</v>
      </c>
      <c r="AU785">
        <v>1</v>
      </c>
      <c r="AV785">
        <v>0</v>
      </c>
      <c r="AW785">
        <v>10</v>
      </c>
      <c r="AX785">
        <v>1</v>
      </c>
      <c r="AY785">
        <v>7</v>
      </c>
      <c r="AZ785">
        <v>3</v>
      </c>
      <c r="BA785">
        <v>1</v>
      </c>
      <c r="BB785">
        <v>1440</v>
      </c>
      <c r="BC785">
        <v>0</v>
      </c>
      <c r="BD785">
        <v>0</v>
      </c>
      <c r="BE785">
        <v>14</v>
      </c>
      <c r="BF785">
        <v>25</v>
      </c>
      <c r="BG785">
        <v>3</v>
      </c>
      <c r="BH785">
        <v>8</v>
      </c>
      <c r="BI785">
        <v>3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0</v>
      </c>
      <c r="BQ785">
        <v>60</v>
      </c>
      <c r="BR785">
        <v>0</v>
      </c>
      <c r="BS785">
        <v>3</v>
      </c>
      <c r="BT785" t="s">
        <v>248</v>
      </c>
      <c r="BU785" t="s">
        <v>270</v>
      </c>
      <c r="BV785" t="b">
        <v>0</v>
      </c>
      <c r="BW785" t="s">
        <v>271</v>
      </c>
    </row>
    <row r="786" spans="1:75">
      <c r="A786" t="s">
        <v>248</v>
      </c>
      <c r="B786" t="s">
        <v>252</v>
      </c>
      <c r="C786">
        <v>668</v>
      </c>
      <c r="D786" t="s">
        <v>253</v>
      </c>
      <c r="E786" t="s">
        <v>254</v>
      </c>
      <c r="F786">
        <v>5</v>
      </c>
      <c r="G786" s="13">
        <v>46266.767141203702</v>
      </c>
      <c r="H786" s="13">
        <v>46266.767592592594</v>
      </c>
      <c r="I786">
        <v>39</v>
      </c>
      <c r="J786" t="s">
        <v>264</v>
      </c>
      <c r="K786">
        <v>1</v>
      </c>
      <c r="L786">
        <v>0.04</v>
      </c>
      <c r="M786">
        <v>0.04</v>
      </c>
      <c r="N786">
        <v>1</v>
      </c>
      <c r="O786">
        <v>0.04</v>
      </c>
      <c r="P786">
        <v>2.96</v>
      </c>
      <c r="Q786">
        <v>8.7200000000000006</v>
      </c>
      <c r="R786">
        <v>8.68</v>
      </c>
      <c r="S786" t="s">
        <v>256</v>
      </c>
      <c r="T786" t="s">
        <v>257</v>
      </c>
      <c r="U786">
        <v>10</v>
      </c>
      <c r="V786">
        <v>7711.23</v>
      </c>
      <c r="W786">
        <v>4999.3599999999997</v>
      </c>
      <c r="X786">
        <v>4997.04</v>
      </c>
      <c r="Y786">
        <v>0</v>
      </c>
      <c r="Z786">
        <v>0</v>
      </c>
      <c r="AA786">
        <v>35</v>
      </c>
      <c r="AB786">
        <v>50</v>
      </c>
      <c r="AC786">
        <v>5000</v>
      </c>
      <c r="AD786">
        <v>0</v>
      </c>
      <c r="AE786">
        <v>0</v>
      </c>
      <c r="AF786">
        <v>7719.19</v>
      </c>
      <c r="AG786">
        <v>7719.19</v>
      </c>
      <c r="AH786" s="14">
        <v>46266</v>
      </c>
      <c r="AI786" t="s">
        <v>269</v>
      </c>
      <c r="AJ786" s="13">
        <v>46265.054768518516</v>
      </c>
      <c r="AK786">
        <v>7052.98</v>
      </c>
      <c r="AL786" t="s">
        <v>259</v>
      </c>
      <c r="AM786" t="s">
        <v>260</v>
      </c>
      <c r="AN786">
        <v>1400</v>
      </c>
      <c r="AO786">
        <v>0</v>
      </c>
      <c r="AP786">
        <v>35</v>
      </c>
      <c r="AQ786">
        <v>85</v>
      </c>
      <c r="AR786">
        <v>35</v>
      </c>
      <c r="AS786">
        <v>2</v>
      </c>
      <c r="AT786">
        <v>23</v>
      </c>
      <c r="AU786">
        <v>1</v>
      </c>
      <c r="AV786">
        <v>0</v>
      </c>
      <c r="AW786">
        <v>10</v>
      </c>
      <c r="AX786">
        <v>1</v>
      </c>
      <c r="AY786">
        <v>7</v>
      </c>
      <c r="AZ786">
        <v>3</v>
      </c>
      <c r="BA786">
        <v>1</v>
      </c>
      <c r="BB786">
        <v>1440</v>
      </c>
      <c r="BC786">
        <v>0</v>
      </c>
      <c r="BD786">
        <v>0</v>
      </c>
      <c r="BE786">
        <v>14</v>
      </c>
      <c r="BF786">
        <v>25</v>
      </c>
      <c r="BG786">
        <v>3</v>
      </c>
      <c r="BH786">
        <v>8</v>
      </c>
      <c r="BI786">
        <v>3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0</v>
      </c>
      <c r="BQ786">
        <v>60</v>
      </c>
      <c r="BR786">
        <v>0</v>
      </c>
      <c r="BS786">
        <v>3</v>
      </c>
      <c r="BT786" t="s">
        <v>248</v>
      </c>
      <c r="BU786" t="s">
        <v>270</v>
      </c>
      <c r="BV786" t="b">
        <v>0</v>
      </c>
      <c r="BW786" t="s">
        <v>271</v>
      </c>
    </row>
    <row r="787" spans="1:75">
      <c r="A787" t="s">
        <v>248</v>
      </c>
      <c r="B787" t="s">
        <v>252</v>
      </c>
      <c r="C787">
        <v>669</v>
      </c>
      <c r="D787" t="s">
        <v>253</v>
      </c>
      <c r="E787" t="s">
        <v>254</v>
      </c>
      <c r="F787">
        <v>5</v>
      </c>
      <c r="G787" s="13">
        <v>46266.769953703704</v>
      </c>
      <c r="H787" s="13">
        <v>46266.770277777781</v>
      </c>
      <c r="I787">
        <v>28</v>
      </c>
      <c r="J787" t="s">
        <v>255</v>
      </c>
      <c r="K787">
        <v>1</v>
      </c>
      <c r="L787">
        <v>0.04</v>
      </c>
      <c r="M787">
        <v>0.04</v>
      </c>
      <c r="N787">
        <v>1</v>
      </c>
      <c r="O787">
        <v>0.04</v>
      </c>
      <c r="P787">
        <v>0.64</v>
      </c>
      <c r="Q787">
        <v>5.72</v>
      </c>
      <c r="R787">
        <v>5.72</v>
      </c>
      <c r="S787" t="s">
        <v>256</v>
      </c>
      <c r="T787" t="s">
        <v>257</v>
      </c>
      <c r="U787">
        <v>11</v>
      </c>
      <c r="V787">
        <v>7718.55</v>
      </c>
      <c r="W787">
        <v>4999.3599999999997</v>
      </c>
      <c r="X787">
        <v>4999.3599999999997</v>
      </c>
      <c r="Y787">
        <v>0</v>
      </c>
      <c r="Z787">
        <v>0</v>
      </c>
      <c r="AA787">
        <v>35</v>
      </c>
      <c r="AB787">
        <v>50</v>
      </c>
      <c r="AC787">
        <v>5000</v>
      </c>
      <c r="AD787">
        <v>0</v>
      </c>
      <c r="AE787">
        <v>0</v>
      </c>
      <c r="AF787">
        <v>7723.51</v>
      </c>
      <c r="AG787">
        <v>7723.51</v>
      </c>
      <c r="AH787" s="14">
        <v>46266</v>
      </c>
      <c r="AI787" t="s">
        <v>269</v>
      </c>
      <c r="AJ787" s="13">
        <v>46265.054768518516</v>
      </c>
      <c r="AK787">
        <v>7052.98</v>
      </c>
      <c r="AL787" t="s">
        <v>259</v>
      </c>
      <c r="AM787" t="s">
        <v>260</v>
      </c>
      <c r="AN787">
        <v>1400</v>
      </c>
      <c r="AO787">
        <v>0</v>
      </c>
      <c r="AP787">
        <v>35</v>
      </c>
      <c r="AQ787">
        <v>85</v>
      </c>
      <c r="AR787">
        <v>35</v>
      </c>
      <c r="AS787">
        <v>2</v>
      </c>
      <c r="AT787">
        <v>23</v>
      </c>
      <c r="AU787">
        <v>1</v>
      </c>
      <c r="AV787">
        <v>0</v>
      </c>
      <c r="AW787">
        <v>10</v>
      </c>
      <c r="AX787">
        <v>1</v>
      </c>
      <c r="AY787">
        <v>7</v>
      </c>
      <c r="AZ787">
        <v>3</v>
      </c>
      <c r="BA787">
        <v>1</v>
      </c>
      <c r="BB787">
        <v>1440</v>
      </c>
      <c r="BC787">
        <v>0</v>
      </c>
      <c r="BD787">
        <v>0</v>
      </c>
      <c r="BE787">
        <v>14</v>
      </c>
      <c r="BF787">
        <v>25</v>
      </c>
      <c r="BG787">
        <v>3</v>
      </c>
      <c r="BH787">
        <v>8</v>
      </c>
      <c r="BI787">
        <v>3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0</v>
      </c>
      <c r="BQ787">
        <v>60</v>
      </c>
      <c r="BR787">
        <v>0</v>
      </c>
      <c r="BS787">
        <v>3</v>
      </c>
      <c r="BT787" t="s">
        <v>248</v>
      </c>
      <c r="BU787" t="s">
        <v>270</v>
      </c>
      <c r="BV787" t="b">
        <v>0</v>
      </c>
      <c r="BW787" t="s">
        <v>271</v>
      </c>
    </row>
    <row r="788" spans="1:75">
      <c r="A788" t="s">
        <v>248</v>
      </c>
      <c r="B788" t="s">
        <v>252</v>
      </c>
      <c r="C788">
        <v>670</v>
      </c>
      <c r="D788" t="s">
        <v>253</v>
      </c>
      <c r="E788" t="s">
        <v>254</v>
      </c>
      <c r="F788">
        <v>5</v>
      </c>
      <c r="G788" s="13">
        <v>46266.77202546296</v>
      </c>
      <c r="H788" s="13">
        <v>46266.774629629632</v>
      </c>
      <c r="I788">
        <v>225</v>
      </c>
      <c r="J788" t="s">
        <v>264</v>
      </c>
      <c r="K788">
        <v>1</v>
      </c>
      <c r="L788">
        <v>0.04</v>
      </c>
      <c r="M788">
        <v>0.04</v>
      </c>
      <c r="N788">
        <v>1</v>
      </c>
      <c r="O788">
        <v>0.04</v>
      </c>
      <c r="P788">
        <v>11</v>
      </c>
      <c r="Q788">
        <v>3.76</v>
      </c>
      <c r="R788">
        <v>3.76</v>
      </c>
      <c r="S788" t="s">
        <v>256</v>
      </c>
      <c r="T788" t="s">
        <v>257</v>
      </c>
      <c r="U788">
        <v>10</v>
      </c>
      <c r="V788">
        <v>7722.83</v>
      </c>
      <c r="W788">
        <v>4999.32</v>
      </c>
      <c r="X788">
        <v>4989</v>
      </c>
      <c r="Y788">
        <v>0</v>
      </c>
      <c r="Z788">
        <v>0</v>
      </c>
      <c r="AA788">
        <v>35</v>
      </c>
      <c r="AB788">
        <v>50</v>
      </c>
      <c r="AC788">
        <v>5000</v>
      </c>
      <c r="AD788">
        <v>0</v>
      </c>
      <c r="AE788">
        <v>0</v>
      </c>
      <c r="AF788">
        <v>7725.87</v>
      </c>
      <c r="AG788">
        <v>7725.87</v>
      </c>
      <c r="AH788" s="14">
        <v>46266</v>
      </c>
      <c r="AI788" t="s">
        <v>269</v>
      </c>
      <c r="AJ788" s="13">
        <v>46265.054768518516</v>
      </c>
      <c r="AK788">
        <v>7052.98</v>
      </c>
      <c r="AL788" t="s">
        <v>259</v>
      </c>
      <c r="AM788" t="s">
        <v>260</v>
      </c>
      <c r="AN788">
        <v>1400</v>
      </c>
      <c r="AO788">
        <v>0</v>
      </c>
      <c r="AP788">
        <v>35</v>
      </c>
      <c r="AQ788">
        <v>85</v>
      </c>
      <c r="AR788">
        <v>35</v>
      </c>
      <c r="AS788">
        <v>2</v>
      </c>
      <c r="AT788">
        <v>23</v>
      </c>
      <c r="AU788">
        <v>1</v>
      </c>
      <c r="AV788">
        <v>0</v>
      </c>
      <c r="AW788">
        <v>10</v>
      </c>
      <c r="AX788">
        <v>1</v>
      </c>
      <c r="AY788">
        <v>7</v>
      </c>
      <c r="AZ788">
        <v>3</v>
      </c>
      <c r="BA788">
        <v>1</v>
      </c>
      <c r="BB788">
        <v>1440</v>
      </c>
      <c r="BC788">
        <v>0</v>
      </c>
      <c r="BD788">
        <v>0</v>
      </c>
      <c r="BE788">
        <v>14</v>
      </c>
      <c r="BF788">
        <v>25</v>
      </c>
      <c r="BG788">
        <v>3</v>
      </c>
      <c r="BH788">
        <v>8</v>
      </c>
      <c r="BI788">
        <v>3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0</v>
      </c>
      <c r="BQ788">
        <v>60</v>
      </c>
      <c r="BR788">
        <v>0</v>
      </c>
      <c r="BS788">
        <v>3</v>
      </c>
      <c r="BT788" t="s">
        <v>248</v>
      </c>
      <c r="BU788" t="s">
        <v>270</v>
      </c>
      <c r="BV788" t="b">
        <v>0</v>
      </c>
      <c r="BW788" t="s">
        <v>271</v>
      </c>
    </row>
    <row r="789" spans="1:75">
      <c r="A789" t="s">
        <v>248</v>
      </c>
      <c r="B789" t="s">
        <v>252</v>
      </c>
      <c r="C789">
        <v>671</v>
      </c>
      <c r="D789" t="s">
        <v>253</v>
      </c>
      <c r="E789" t="s">
        <v>254</v>
      </c>
      <c r="F789">
        <v>5</v>
      </c>
      <c r="G789" s="13">
        <v>46266.776423611111</v>
      </c>
      <c r="H789" s="13">
        <v>46266.776770833334</v>
      </c>
      <c r="I789">
        <v>30</v>
      </c>
      <c r="J789" t="s">
        <v>255</v>
      </c>
      <c r="K789">
        <v>1</v>
      </c>
      <c r="L789">
        <v>0.04</v>
      </c>
      <c r="M789">
        <v>0.04</v>
      </c>
      <c r="N789">
        <v>1</v>
      </c>
      <c r="O789">
        <v>0.04</v>
      </c>
      <c r="P789">
        <v>0.68</v>
      </c>
      <c r="Q789">
        <v>4</v>
      </c>
      <c r="R789">
        <v>3.84</v>
      </c>
      <c r="S789" t="s">
        <v>256</v>
      </c>
      <c r="T789" t="s">
        <v>257</v>
      </c>
      <c r="U789">
        <v>10</v>
      </c>
      <c r="V789">
        <v>7725.23</v>
      </c>
      <c r="W789">
        <v>4999.3599999999997</v>
      </c>
      <c r="X789">
        <v>4999.32</v>
      </c>
      <c r="Y789">
        <v>0</v>
      </c>
      <c r="Z789">
        <v>0</v>
      </c>
      <c r="AA789">
        <v>35</v>
      </c>
      <c r="AB789">
        <v>50</v>
      </c>
      <c r="AC789">
        <v>5000</v>
      </c>
      <c r="AD789">
        <v>0</v>
      </c>
      <c r="AE789">
        <v>0</v>
      </c>
      <c r="AF789">
        <v>7728.47</v>
      </c>
      <c r="AG789">
        <v>7728.47</v>
      </c>
      <c r="AH789" s="14">
        <v>46266</v>
      </c>
      <c r="AI789" t="s">
        <v>269</v>
      </c>
      <c r="AJ789" s="13">
        <v>46265.054768518516</v>
      </c>
      <c r="AK789">
        <v>7052.98</v>
      </c>
      <c r="AL789" t="s">
        <v>259</v>
      </c>
      <c r="AM789" t="s">
        <v>260</v>
      </c>
      <c r="AN789">
        <v>1400</v>
      </c>
      <c r="AO789">
        <v>0</v>
      </c>
      <c r="AP789">
        <v>35</v>
      </c>
      <c r="AQ789">
        <v>85</v>
      </c>
      <c r="AR789">
        <v>35</v>
      </c>
      <c r="AS789">
        <v>2</v>
      </c>
      <c r="AT789">
        <v>23</v>
      </c>
      <c r="AU789">
        <v>1</v>
      </c>
      <c r="AV789">
        <v>0</v>
      </c>
      <c r="AW789">
        <v>10</v>
      </c>
      <c r="AX789">
        <v>1</v>
      </c>
      <c r="AY789">
        <v>7</v>
      </c>
      <c r="AZ789">
        <v>3</v>
      </c>
      <c r="BA789">
        <v>1</v>
      </c>
      <c r="BB789">
        <v>1440</v>
      </c>
      <c r="BC789">
        <v>0</v>
      </c>
      <c r="BD789">
        <v>0</v>
      </c>
      <c r="BE789">
        <v>14</v>
      </c>
      <c r="BF789">
        <v>25</v>
      </c>
      <c r="BG789">
        <v>3</v>
      </c>
      <c r="BH789">
        <v>8</v>
      </c>
      <c r="BI789">
        <v>3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0</v>
      </c>
      <c r="BQ789">
        <v>60</v>
      </c>
      <c r="BR789">
        <v>0</v>
      </c>
      <c r="BS789">
        <v>3</v>
      </c>
      <c r="BT789" t="s">
        <v>248</v>
      </c>
      <c r="BU789" t="s">
        <v>270</v>
      </c>
      <c r="BV789" t="b">
        <v>0</v>
      </c>
      <c r="BW789" t="s">
        <v>271</v>
      </c>
    </row>
    <row r="790" spans="1:75">
      <c r="A790" t="s">
        <v>248</v>
      </c>
      <c r="B790" t="s">
        <v>252</v>
      </c>
      <c r="C790">
        <v>672</v>
      </c>
      <c r="D790" t="s">
        <v>253</v>
      </c>
      <c r="E790" t="s">
        <v>254</v>
      </c>
      <c r="F790">
        <v>5</v>
      </c>
      <c r="G790" s="13">
        <v>46266.778796296298</v>
      </c>
      <c r="H790" s="13">
        <v>46266.780370370368</v>
      </c>
      <c r="I790">
        <v>136</v>
      </c>
      <c r="J790" t="s">
        <v>255</v>
      </c>
      <c r="K790">
        <v>1</v>
      </c>
      <c r="L790">
        <v>0.04</v>
      </c>
      <c r="M790">
        <v>0.04</v>
      </c>
      <c r="N790">
        <v>1</v>
      </c>
      <c r="O790">
        <v>0.04</v>
      </c>
      <c r="P790">
        <v>8.44</v>
      </c>
      <c r="Q790">
        <v>4.5199999999999996</v>
      </c>
      <c r="R790">
        <v>4.5199999999999996</v>
      </c>
      <c r="S790" t="s">
        <v>256</v>
      </c>
      <c r="T790" t="s">
        <v>257</v>
      </c>
      <c r="U790">
        <v>11</v>
      </c>
      <c r="V790">
        <v>7727.83</v>
      </c>
      <c r="W790">
        <v>4999.3599999999997</v>
      </c>
      <c r="X790">
        <v>4991.5600000000004</v>
      </c>
      <c r="Y790">
        <v>0</v>
      </c>
      <c r="Z790">
        <v>0</v>
      </c>
      <c r="AA790">
        <v>35</v>
      </c>
      <c r="AB790">
        <v>50</v>
      </c>
      <c r="AC790">
        <v>5000</v>
      </c>
      <c r="AD790">
        <v>0</v>
      </c>
      <c r="AE790">
        <v>0</v>
      </c>
      <c r="AF790">
        <v>7731.59</v>
      </c>
      <c r="AG790">
        <v>7731.59</v>
      </c>
      <c r="AH790" s="14">
        <v>46266</v>
      </c>
      <c r="AI790" t="s">
        <v>269</v>
      </c>
      <c r="AJ790" s="13">
        <v>46265.054768518516</v>
      </c>
      <c r="AK790">
        <v>7052.98</v>
      </c>
      <c r="AL790" t="s">
        <v>259</v>
      </c>
      <c r="AM790" t="s">
        <v>260</v>
      </c>
      <c r="AN790">
        <v>1400</v>
      </c>
      <c r="AO790">
        <v>0</v>
      </c>
      <c r="AP790">
        <v>35</v>
      </c>
      <c r="AQ790">
        <v>85</v>
      </c>
      <c r="AR790">
        <v>35</v>
      </c>
      <c r="AS790">
        <v>2</v>
      </c>
      <c r="AT790">
        <v>23</v>
      </c>
      <c r="AU790">
        <v>1</v>
      </c>
      <c r="AV790">
        <v>0</v>
      </c>
      <c r="AW790">
        <v>10</v>
      </c>
      <c r="AX790">
        <v>1</v>
      </c>
      <c r="AY790">
        <v>7</v>
      </c>
      <c r="AZ790">
        <v>3</v>
      </c>
      <c r="BA790">
        <v>1</v>
      </c>
      <c r="BB790">
        <v>1440</v>
      </c>
      <c r="BC790">
        <v>0</v>
      </c>
      <c r="BD790">
        <v>0</v>
      </c>
      <c r="BE790">
        <v>14</v>
      </c>
      <c r="BF790">
        <v>25</v>
      </c>
      <c r="BG790">
        <v>3</v>
      </c>
      <c r="BH790">
        <v>8</v>
      </c>
      <c r="BI790">
        <v>3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0</v>
      </c>
      <c r="BQ790">
        <v>60</v>
      </c>
      <c r="BR790">
        <v>0</v>
      </c>
      <c r="BS790">
        <v>3</v>
      </c>
      <c r="BT790" t="s">
        <v>248</v>
      </c>
      <c r="BU790" t="s">
        <v>270</v>
      </c>
      <c r="BV790" t="b">
        <v>0</v>
      </c>
      <c r="BW790" t="s">
        <v>271</v>
      </c>
    </row>
    <row r="791" spans="1:75">
      <c r="A791" t="s">
        <v>248</v>
      </c>
      <c r="B791" t="s">
        <v>252</v>
      </c>
      <c r="C791">
        <v>673</v>
      </c>
      <c r="D791" t="s">
        <v>253</v>
      </c>
      <c r="E791" t="s">
        <v>254</v>
      </c>
      <c r="F791">
        <v>5</v>
      </c>
      <c r="G791" s="13">
        <v>46266.788090277776</v>
      </c>
      <c r="H791" s="13">
        <v>46266.792291666665</v>
      </c>
      <c r="I791">
        <v>363</v>
      </c>
      <c r="J791" t="s">
        <v>255</v>
      </c>
      <c r="K791">
        <v>1</v>
      </c>
      <c r="L791">
        <v>0.04</v>
      </c>
      <c r="M791">
        <v>0.04</v>
      </c>
      <c r="N791">
        <v>1</v>
      </c>
      <c r="O791">
        <v>0.04</v>
      </c>
      <c r="P791">
        <v>10.56</v>
      </c>
      <c r="Q791">
        <v>6.48</v>
      </c>
      <c r="R791">
        <v>5.88</v>
      </c>
      <c r="S791" t="s">
        <v>256</v>
      </c>
      <c r="T791" t="s">
        <v>257</v>
      </c>
      <c r="U791">
        <v>11</v>
      </c>
      <c r="V791">
        <v>7730.95</v>
      </c>
      <c r="W791">
        <v>4999.3599999999997</v>
      </c>
      <c r="X791">
        <v>4989.4399999999996</v>
      </c>
      <c r="Y791">
        <v>0</v>
      </c>
      <c r="Z791">
        <v>0</v>
      </c>
      <c r="AA791">
        <v>35</v>
      </c>
      <c r="AB791">
        <v>50</v>
      </c>
      <c r="AC791">
        <v>5000</v>
      </c>
      <c r="AD791">
        <v>0</v>
      </c>
      <c r="AE791">
        <v>0</v>
      </c>
      <c r="AF791">
        <v>7736.67</v>
      </c>
      <c r="AG791">
        <v>7736.67</v>
      </c>
      <c r="AH791" s="14">
        <v>46266</v>
      </c>
      <c r="AI791" t="s">
        <v>269</v>
      </c>
      <c r="AJ791" s="13">
        <v>46265.054768518516</v>
      </c>
      <c r="AK791">
        <v>7052.98</v>
      </c>
      <c r="AL791" t="s">
        <v>259</v>
      </c>
      <c r="AM791" t="s">
        <v>260</v>
      </c>
      <c r="AN791">
        <v>1400</v>
      </c>
      <c r="AO791">
        <v>0</v>
      </c>
      <c r="AP791">
        <v>35</v>
      </c>
      <c r="AQ791">
        <v>85</v>
      </c>
      <c r="AR791">
        <v>35</v>
      </c>
      <c r="AS791">
        <v>2</v>
      </c>
      <c r="AT791">
        <v>23</v>
      </c>
      <c r="AU791">
        <v>1</v>
      </c>
      <c r="AV791">
        <v>0</v>
      </c>
      <c r="AW791">
        <v>10</v>
      </c>
      <c r="AX791">
        <v>1</v>
      </c>
      <c r="AY791">
        <v>7</v>
      </c>
      <c r="AZ791">
        <v>3</v>
      </c>
      <c r="BA791">
        <v>1</v>
      </c>
      <c r="BB791">
        <v>1440</v>
      </c>
      <c r="BC791">
        <v>0</v>
      </c>
      <c r="BD791">
        <v>0</v>
      </c>
      <c r="BE791">
        <v>14</v>
      </c>
      <c r="BF791">
        <v>25</v>
      </c>
      <c r="BG791">
        <v>3</v>
      </c>
      <c r="BH791">
        <v>8</v>
      </c>
      <c r="BI791">
        <v>3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0</v>
      </c>
      <c r="BQ791">
        <v>60</v>
      </c>
      <c r="BR791">
        <v>0</v>
      </c>
      <c r="BS791">
        <v>3</v>
      </c>
      <c r="BT791" t="s">
        <v>248</v>
      </c>
      <c r="BU791" t="s">
        <v>270</v>
      </c>
      <c r="BV791" t="b">
        <v>0</v>
      </c>
      <c r="BW791" t="s">
        <v>271</v>
      </c>
    </row>
    <row r="792" spans="1:75">
      <c r="A792" t="s">
        <v>248</v>
      </c>
      <c r="B792" t="s">
        <v>252</v>
      </c>
      <c r="C792">
        <v>674</v>
      </c>
      <c r="D792" t="s">
        <v>253</v>
      </c>
      <c r="E792" t="s">
        <v>254</v>
      </c>
      <c r="F792">
        <v>5</v>
      </c>
      <c r="G792" s="13">
        <v>46266.7965625</v>
      </c>
      <c r="H792" s="13">
        <v>46266.79892361111</v>
      </c>
      <c r="I792">
        <v>204</v>
      </c>
      <c r="J792" t="s">
        <v>264</v>
      </c>
      <c r="K792">
        <v>1</v>
      </c>
      <c r="L792">
        <v>0.04</v>
      </c>
      <c r="M792">
        <v>0.04</v>
      </c>
      <c r="N792">
        <v>1</v>
      </c>
      <c r="O792">
        <v>0.04</v>
      </c>
      <c r="P792">
        <v>6.92</v>
      </c>
      <c r="Q792">
        <v>7.8</v>
      </c>
      <c r="R792">
        <v>7.8</v>
      </c>
      <c r="S792" t="s">
        <v>256</v>
      </c>
      <c r="T792" t="s">
        <v>257</v>
      </c>
      <c r="U792">
        <v>11</v>
      </c>
      <c r="V792">
        <v>7736.03</v>
      </c>
      <c r="W792">
        <v>4999.3599999999997</v>
      </c>
      <c r="X792">
        <v>4993.08</v>
      </c>
      <c r="Y792">
        <v>0</v>
      </c>
      <c r="Z792">
        <v>0</v>
      </c>
      <c r="AA792">
        <v>35</v>
      </c>
      <c r="AB792">
        <v>50</v>
      </c>
      <c r="AC792">
        <v>5000</v>
      </c>
      <c r="AD792">
        <v>0</v>
      </c>
      <c r="AE792">
        <v>0</v>
      </c>
      <c r="AF792">
        <v>7743.07</v>
      </c>
      <c r="AG792">
        <v>7743.07</v>
      </c>
      <c r="AH792" s="14">
        <v>46266</v>
      </c>
      <c r="AI792" t="s">
        <v>269</v>
      </c>
      <c r="AJ792" s="13">
        <v>46265.054768518516</v>
      </c>
      <c r="AK792">
        <v>7052.98</v>
      </c>
      <c r="AL792" t="s">
        <v>259</v>
      </c>
      <c r="AM792" t="s">
        <v>260</v>
      </c>
      <c r="AN792">
        <v>1400</v>
      </c>
      <c r="AO792">
        <v>0</v>
      </c>
      <c r="AP792">
        <v>35</v>
      </c>
      <c r="AQ792">
        <v>85</v>
      </c>
      <c r="AR792">
        <v>35</v>
      </c>
      <c r="AS792">
        <v>2</v>
      </c>
      <c r="AT792">
        <v>23</v>
      </c>
      <c r="AU792">
        <v>1</v>
      </c>
      <c r="AV792">
        <v>0</v>
      </c>
      <c r="AW792">
        <v>10</v>
      </c>
      <c r="AX792">
        <v>1</v>
      </c>
      <c r="AY792">
        <v>7</v>
      </c>
      <c r="AZ792">
        <v>3</v>
      </c>
      <c r="BA792">
        <v>1</v>
      </c>
      <c r="BB792">
        <v>1440</v>
      </c>
      <c r="BC792">
        <v>0</v>
      </c>
      <c r="BD792">
        <v>0</v>
      </c>
      <c r="BE792">
        <v>14</v>
      </c>
      <c r="BF792">
        <v>25</v>
      </c>
      <c r="BG792">
        <v>3</v>
      </c>
      <c r="BH792">
        <v>8</v>
      </c>
      <c r="BI792">
        <v>3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0</v>
      </c>
      <c r="BQ792">
        <v>60</v>
      </c>
      <c r="BR792">
        <v>0</v>
      </c>
      <c r="BS792">
        <v>3</v>
      </c>
      <c r="BT792" t="s">
        <v>248</v>
      </c>
      <c r="BU792" t="s">
        <v>270</v>
      </c>
      <c r="BV792" t="b">
        <v>0</v>
      </c>
      <c r="BW792" t="s">
        <v>271</v>
      </c>
    </row>
    <row r="793" spans="1:75">
      <c r="A793" t="s">
        <v>248</v>
      </c>
      <c r="B793" t="s">
        <v>252</v>
      </c>
      <c r="C793">
        <v>675</v>
      </c>
      <c r="D793" t="s">
        <v>253</v>
      </c>
      <c r="E793" t="s">
        <v>254</v>
      </c>
      <c r="F793">
        <v>5</v>
      </c>
      <c r="G793" s="13">
        <v>46266.799976851849</v>
      </c>
      <c r="H793" s="13">
        <v>46266.802291666667</v>
      </c>
      <c r="I793">
        <v>200</v>
      </c>
      <c r="J793" t="s">
        <v>264</v>
      </c>
      <c r="K793">
        <v>1</v>
      </c>
      <c r="L793">
        <v>0.04</v>
      </c>
      <c r="M793">
        <v>0.04</v>
      </c>
      <c r="N793">
        <v>1</v>
      </c>
      <c r="O793">
        <v>0.04</v>
      </c>
      <c r="P793">
        <v>6.92</v>
      </c>
      <c r="Q793">
        <v>8.32</v>
      </c>
      <c r="R793">
        <v>8.32</v>
      </c>
      <c r="S793" t="s">
        <v>256</v>
      </c>
      <c r="T793" t="s">
        <v>257</v>
      </c>
      <c r="U793">
        <v>10</v>
      </c>
      <c r="V793">
        <v>7742.43</v>
      </c>
      <c r="W793">
        <v>4999.3599999999997</v>
      </c>
      <c r="X793">
        <v>4993.08</v>
      </c>
      <c r="Y793">
        <v>0</v>
      </c>
      <c r="Z793">
        <v>0</v>
      </c>
      <c r="AA793">
        <v>35</v>
      </c>
      <c r="AB793">
        <v>50</v>
      </c>
      <c r="AC793">
        <v>5000</v>
      </c>
      <c r="AD793">
        <v>0</v>
      </c>
      <c r="AE793">
        <v>0</v>
      </c>
      <c r="AF793">
        <v>7749.99</v>
      </c>
      <c r="AG793">
        <v>7749.99</v>
      </c>
      <c r="AH793" s="14">
        <v>46266</v>
      </c>
      <c r="AI793" t="s">
        <v>269</v>
      </c>
      <c r="AJ793" s="13">
        <v>46265.054768518516</v>
      </c>
      <c r="AK793">
        <v>7052.98</v>
      </c>
      <c r="AL793" t="s">
        <v>259</v>
      </c>
      <c r="AM793" t="s">
        <v>260</v>
      </c>
      <c r="AN793">
        <v>1400</v>
      </c>
      <c r="AO793">
        <v>0</v>
      </c>
      <c r="AP793">
        <v>35</v>
      </c>
      <c r="AQ793">
        <v>85</v>
      </c>
      <c r="AR793">
        <v>35</v>
      </c>
      <c r="AS793">
        <v>2</v>
      </c>
      <c r="AT793">
        <v>23</v>
      </c>
      <c r="AU793">
        <v>1</v>
      </c>
      <c r="AV793">
        <v>0</v>
      </c>
      <c r="AW793">
        <v>10</v>
      </c>
      <c r="AX793">
        <v>1</v>
      </c>
      <c r="AY793">
        <v>7</v>
      </c>
      <c r="AZ793">
        <v>3</v>
      </c>
      <c r="BA793">
        <v>1</v>
      </c>
      <c r="BB793">
        <v>1440</v>
      </c>
      <c r="BC793">
        <v>0</v>
      </c>
      <c r="BD793">
        <v>0</v>
      </c>
      <c r="BE793">
        <v>14</v>
      </c>
      <c r="BF793">
        <v>25</v>
      </c>
      <c r="BG793">
        <v>3</v>
      </c>
      <c r="BH793">
        <v>8</v>
      </c>
      <c r="BI793">
        <v>3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0</v>
      </c>
      <c r="BQ793">
        <v>60</v>
      </c>
      <c r="BR793">
        <v>0</v>
      </c>
      <c r="BS793">
        <v>3</v>
      </c>
      <c r="BT793" t="s">
        <v>248</v>
      </c>
      <c r="BU793" t="s">
        <v>270</v>
      </c>
      <c r="BV793" t="b">
        <v>0</v>
      </c>
      <c r="BW793" t="s">
        <v>271</v>
      </c>
    </row>
    <row r="794" spans="1:75">
      <c r="A794" t="s">
        <v>248</v>
      </c>
      <c r="B794" t="s">
        <v>252</v>
      </c>
      <c r="C794">
        <v>676</v>
      </c>
      <c r="D794" t="s">
        <v>253</v>
      </c>
      <c r="E794" t="s">
        <v>254</v>
      </c>
      <c r="F794">
        <v>5</v>
      </c>
      <c r="G794" s="13">
        <v>46266.803842592592</v>
      </c>
      <c r="H794" s="13">
        <v>46266.804606481484</v>
      </c>
      <c r="I794">
        <v>66</v>
      </c>
      <c r="J794" t="s">
        <v>264</v>
      </c>
      <c r="K794">
        <v>1</v>
      </c>
      <c r="L794">
        <v>0.04</v>
      </c>
      <c r="M794">
        <v>0.04</v>
      </c>
      <c r="N794">
        <v>1</v>
      </c>
      <c r="O794">
        <v>0.04</v>
      </c>
      <c r="P794">
        <v>0.68</v>
      </c>
      <c r="Q794">
        <v>4.4400000000000004</v>
      </c>
      <c r="R794">
        <v>4.3600000000000003</v>
      </c>
      <c r="S794" t="s">
        <v>256</v>
      </c>
      <c r="T794" t="s">
        <v>257</v>
      </c>
      <c r="U794">
        <v>11</v>
      </c>
      <c r="V794">
        <v>7749.31</v>
      </c>
      <c r="W794">
        <v>4999.32</v>
      </c>
      <c r="X794">
        <v>4999.32</v>
      </c>
      <c r="Y794">
        <v>0</v>
      </c>
      <c r="Z794">
        <v>0</v>
      </c>
      <c r="AA794">
        <v>35</v>
      </c>
      <c r="AB794">
        <v>50</v>
      </c>
      <c r="AC794">
        <v>5000</v>
      </c>
      <c r="AD794">
        <v>0</v>
      </c>
      <c r="AE794">
        <v>0</v>
      </c>
      <c r="AF794">
        <v>7752.99</v>
      </c>
      <c r="AG794">
        <v>7752.99</v>
      </c>
      <c r="AH794" s="14">
        <v>46266</v>
      </c>
      <c r="AI794" t="s">
        <v>269</v>
      </c>
      <c r="AJ794" s="13">
        <v>46265.054768518516</v>
      </c>
      <c r="AK794">
        <v>7052.98</v>
      </c>
      <c r="AL794" t="s">
        <v>259</v>
      </c>
      <c r="AM794" t="s">
        <v>260</v>
      </c>
      <c r="AN794">
        <v>1400</v>
      </c>
      <c r="AO794">
        <v>0</v>
      </c>
      <c r="AP794">
        <v>35</v>
      </c>
      <c r="AQ794">
        <v>85</v>
      </c>
      <c r="AR794">
        <v>35</v>
      </c>
      <c r="AS794">
        <v>2</v>
      </c>
      <c r="AT794">
        <v>23</v>
      </c>
      <c r="AU794">
        <v>1</v>
      </c>
      <c r="AV794">
        <v>0</v>
      </c>
      <c r="AW794">
        <v>10</v>
      </c>
      <c r="AX794">
        <v>1</v>
      </c>
      <c r="AY794">
        <v>7</v>
      </c>
      <c r="AZ794">
        <v>3</v>
      </c>
      <c r="BA794">
        <v>1</v>
      </c>
      <c r="BB794">
        <v>1440</v>
      </c>
      <c r="BC794">
        <v>0</v>
      </c>
      <c r="BD794">
        <v>0</v>
      </c>
      <c r="BE794">
        <v>14</v>
      </c>
      <c r="BF794">
        <v>25</v>
      </c>
      <c r="BG794">
        <v>3</v>
      </c>
      <c r="BH794">
        <v>8</v>
      </c>
      <c r="BI794">
        <v>3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0</v>
      </c>
      <c r="BQ794">
        <v>60</v>
      </c>
      <c r="BR794">
        <v>0</v>
      </c>
      <c r="BS794">
        <v>3</v>
      </c>
      <c r="BT794" t="s">
        <v>248</v>
      </c>
      <c r="BU794" t="s">
        <v>270</v>
      </c>
      <c r="BV794" t="b">
        <v>0</v>
      </c>
      <c r="BW794" t="s">
        <v>271</v>
      </c>
    </row>
    <row r="795" spans="1:75">
      <c r="A795" t="s">
        <v>248</v>
      </c>
      <c r="B795" t="s">
        <v>252</v>
      </c>
      <c r="C795">
        <v>677</v>
      </c>
      <c r="D795" t="s">
        <v>253</v>
      </c>
      <c r="E795" t="s">
        <v>254</v>
      </c>
      <c r="F795">
        <v>5</v>
      </c>
      <c r="G795" s="13">
        <v>46266.810729166667</v>
      </c>
      <c r="H795" s="13">
        <v>46266.811967592592</v>
      </c>
      <c r="I795">
        <v>107</v>
      </c>
      <c r="J795" t="s">
        <v>264</v>
      </c>
      <c r="K795">
        <v>1</v>
      </c>
      <c r="L795">
        <v>0.04</v>
      </c>
      <c r="M795">
        <v>0.04</v>
      </c>
      <c r="N795">
        <v>1</v>
      </c>
      <c r="O795">
        <v>0.04</v>
      </c>
      <c r="P795">
        <v>3.24</v>
      </c>
      <c r="Q795">
        <v>4.4000000000000004</v>
      </c>
      <c r="R795">
        <v>4.28</v>
      </c>
      <c r="S795" t="s">
        <v>256</v>
      </c>
      <c r="T795" t="s">
        <v>257</v>
      </c>
      <c r="U795">
        <v>11</v>
      </c>
      <c r="V795">
        <v>7752.35</v>
      </c>
      <c r="W795">
        <v>4999.3599999999997</v>
      </c>
      <c r="X795">
        <v>4996.76</v>
      </c>
      <c r="Y795">
        <v>0</v>
      </c>
      <c r="Z795">
        <v>0</v>
      </c>
      <c r="AA795">
        <v>35</v>
      </c>
      <c r="AB795">
        <v>50</v>
      </c>
      <c r="AC795">
        <v>5000</v>
      </c>
      <c r="AD795">
        <v>0</v>
      </c>
      <c r="AE795">
        <v>0</v>
      </c>
      <c r="AF795">
        <v>7755.99</v>
      </c>
      <c r="AG795">
        <v>7755.99</v>
      </c>
      <c r="AH795" s="14">
        <v>46266</v>
      </c>
      <c r="AI795" t="s">
        <v>269</v>
      </c>
      <c r="AJ795" s="13">
        <v>46265.054768518516</v>
      </c>
      <c r="AK795">
        <v>7052.98</v>
      </c>
      <c r="AL795" t="s">
        <v>259</v>
      </c>
      <c r="AM795" t="s">
        <v>260</v>
      </c>
      <c r="AN795">
        <v>1400</v>
      </c>
      <c r="AO795">
        <v>0</v>
      </c>
      <c r="AP795">
        <v>35</v>
      </c>
      <c r="AQ795">
        <v>85</v>
      </c>
      <c r="AR795">
        <v>35</v>
      </c>
      <c r="AS795">
        <v>2</v>
      </c>
      <c r="AT795">
        <v>23</v>
      </c>
      <c r="AU795">
        <v>1</v>
      </c>
      <c r="AV795">
        <v>0</v>
      </c>
      <c r="AW795">
        <v>10</v>
      </c>
      <c r="AX795">
        <v>1</v>
      </c>
      <c r="AY795">
        <v>7</v>
      </c>
      <c r="AZ795">
        <v>3</v>
      </c>
      <c r="BA795">
        <v>1</v>
      </c>
      <c r="BB795">
        <v>1440</v>
      </c>
      <c r="BC795">
        <v>0</v>
      </c>
      <c r="BD795">
        <v>0</v>
      </c>
      <c r="BE795">
        <v>14</v>
      </c>
      <c r="BF795">
        <v>25</v>
      </c>
      <c r="BG795">
        <v>3</v>
      </c>
      <c r="BH795">
        <v>8</v>
      </c>
      <c r="BI795">
        <v>3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0</v>
      </c>
      <c r="BQ795">
        <v>60</v>
      </c>
      <c r="BR795">
        <v>0</v>
      </c>
      <c r="BS795">
        <v>3</v>
      </c>
      <c r="BT795" t="s">
        <v>248</v>
      </c>
      <c r="BU795" t="s">
        <v>270</v>
      </c>
      <c r="BV795" t="b">
        <v>0</v>
      </c>
      <c r="BW795" t="s">
        <v>271</v>
      </c>
    </row>
    <row r="796" spans="1:75">
      <c r="A796" t="s">
        <v>248</v>
      </c>
      <c r="B796" t="s">
        <v>252</v>
      </c>
      <c r="C796">
        <v>678</v>
      </c>
      <c r="D796" t="s">
        <v>253</v>
      </c>
      <c r="E796" t="s">
        <v>254</v>
      </c>
      <c r="F796">
        <v>5</v>
      </c>
      <c r="G796" s="13">
        <v>46266.813425925924</v>
      </c>
      <c r="H796" s="13">
        <v>46266.814039351855</v>
      </c>
      <c r="I796">
        <v>53</v>
      </c>
      <c r="J796" t="s">
        <v>264</v>
      </c>
      <c r="K796">
        <v>1</v>
      </c>
      <c r="L796">
        <v>0.04</v>
      </c>
      <c r="M796">
        <v>0.04</v>
      </c>
      <c r="N796">
        <v>1</v>
      </c>
      <c r="O796">
        <v>0.04</v>
      </c>
      <c r="P796">
        <v>1.44</v>
      </c>
      <c r="Q796">
        <v>4.5599999999999996</v>
      </c>
      <c r="R796">
        <v>4.5199999999999996</v>
      </c>
      <c r="S796" t="s">
        <v>256</v>
      </c>
      <c r="T796" t="s">
        <v>257</v>
      </c>
      <c r="U796">
        <v>10</v>
      </c>
      <c r="V796">
        <v>7755.35</v>
      </c>
      <c r="W796">
        <v>4999.3599999999997</v>
      </c>
      <c r="X796">
        <v>4998.5600000000004</v>
      </c>
      <c r="Y796">
        <v>0</v>
      </c>
      <c r="Z796">
        <v>0</v>
      </c>
      <c r="AA796">
        <v>35</v>
      </c>
      <c r="AB796">
        <v>50</v>
      </c>
      <c r="AC796">
        <v>5000</v>
      </c>
      <c r="AD796">
        <v>0</v>
      </c>
      <c r="AE796">
        <v>0</v>
      </c>
      <c r="AF796">
        <v>7759.15</v>
      </c>
      <c r="AG796">
        <v>7759.15</v>
      </c>
      <c r="AH796" s="14">
        <v>46266</v>
      </c>
      <c r="AI796" t="s">
        <v>269</v>
      </c>
      <c r="AJ796" s="13">
        <v>46265.054768518516</v>
      </c>
      <c r="AK796">
        <v>7052.98</v>
      </c>
      <c r="AL796" t="s">
        <v>259</v>
      </c>
      <c r="AM796" t="s">
        <v>260</v>
      </c>
      <c r="AN796">
        <v>1400</v>
      </c>
      <c r="AO796">
        <v>0</v>
      </c>
      <c r="AP796">
        <v>35</v>
      </c>
      <c r="AQ796">
        <v>85</v>
      </c>
      <c r="AR796">
        <v>35</v>
      </c>
      <c r="AS796">
        <v>2</v>
      </c>
      <c r="AT796">
        <v>23</v>
      </c>
      <c r="AU796">
        <v>1</v>
      </c>
      <c r="AV796">
        <v>0</v>
      </c>
      <c r="AW796">
        <v>10</v>
      </c>
      <c r="AX796">
        <v>1</v>
      </c>
      <c r="AY796">
        <v>7</v>
      </c>
      <c r="AZ796">
        <v>3</v>
      </c>
      <c r="BA796">
        <v>1</v>
      </c>
      <c r="BB796">
        <v>1440</v>
      </c>
      <c r="BC796">
        <v>0</v>
      </c>
      <c r="BD796">
        <v>0</v>
      </c>
      <c r="BE796">
        <v>14</v>
      </c>
      <c r="BF796">
        <v>25</v>
      </c>
      <c r="BG796">
        <v>3</v>
      </c>
      <c r="BH796">
        <v>8</v>
      </c>
      <c r="BI796">
        <v>3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0</v>
      </c>
      <c r="BQ796">
        <v>60</v>
      </c>
      <c r="BR796">
        <v>0</v>
      </c>
      <c r="BS796">
        <v>3</v>
      </c>
      <c r="BT796" t="s">
        <v>248</v>
      </c>
      <c r="BU796" t="s">
        <v>270</v>
      </c>
      <c r="BV796" t="b">
        <v>0</v>
      </c>
      <c r="BW796" t="s">
        <v>271</v>
      </c>
    </row>
    <row r="797" spans="1:75">
      <c r="A797" t="s">
        <v>248</v>
      </c>
      <c r="B797" t="s">
        <v>252</v>
      </c>
      <c r="C797">
        <v>679</v>
      </c>
      <c r="D797" t="s">
        <v>253</v>
      </c>
      <c r="E797" t="s">
        <v>254</v>
      </c>
      <c r="F797">
        <v>5</v>
      </c>
      <c r="G797" s="13">
        <v>46266.817071759258</v>
      </c>
      <c r="H797" s="13">
        <v>46266.817939814813</v>
      </c>
      <c r="I797">
        <v>75</v>
      </c>
      <c r="J797" t="s">
        <v>255</v>
      </c>
      <c r="K797">
        <v>1</v>
      </c>
      <c r="L797">
        <v>0.04</v>
      </c>
      <c r="M797">
        <v>0.04</v>
      </c>
      <c r="N797">
        <v>1</v>
      </c>
      <c r="O797">
        <v>0.04</v>
      </c>
      <c r="P797">
        <v>1.76</v>
      </c>
      <c r="Q797">
        <v>6.04</v>
      </c>
      <c r="R797">
        <v>5.76</v>
      </c>
      <c r="S797" t="s">
        <v>256</v>
      </c>
      <c r="T797" t="s">
        <v>257</v>
      </c>
      <c r="U797">
        <v>11</v>
      </c>
      <c r="V797">
        <v>7758.47</v>
      </c>
      <c r="W797">
        <v>4999.32</v>
      </c>
      <c r="X797">
        <v>4998.24</v>
      </c>
      <c r="Y797">
        <v>0</v>
      </c>
      <c r="Z797">
        <v>0</v>
      </c>
      <c r="AA797">
        <v>35</v>
      </c>
      <c r="AB797">
        <v>50</v>
      </c>
      <c r="AC797">
        <v>5000</v>
      </c>
      <c r="AD797">
        <v>0</v>
      </c>
      <c r="AE797">
        <v>0</v>
      </c>
      <c r="AF797">
        <v>7763.79</v>
      </c>
      <c r="AG797">
        <v>7763.79</v>
      </c>
      <c r="AH797" s="14">
        <v>46266</v>
      </c>
      <c r="AI797" t="s">
        <v>269</v>
      </c>
      <c r="AJ797" s="13">
        <v>46265.054768518516</v>
      </c>
      <c r="AK797">
        <v>7052.98</v>
      </c>
      <c r="AL797" t="s">
        <v>259</v>
      </c>
      <c r="AM797" t="s">
        <v>260</v>
      </c>
      <c r="AN797">
        <v>1400</v>
      </c>
      <c r="AO797">
        <v>0</v>
      </c>
      <c r="AP797">
        <v>35</v>
      </c>
      <c r="AQ797">
        <v>85</v>
      </c>
      <c r="AR797">
        <v>35</v>
      </c>
      <c r="AS797">
        <v>2</v>
      </c>
      <c r="AT797">
        <v>23</v>
      </c>
      <c r="AU797">
        <v>1</v>
      </c>
      <c r="AV797">
        <v>0</v>
      </c>
      <c r="AW797">
        <v>10</v>
      </c>
      <c r="AX797">
        <v>1</v>
      </c>
      <c r="AY797">
        <v>7</v>
      </c>
      <c r="AZ797">
        <v>3</v>
      </c>
      <c r="BA797">
        <v>1</v>
      </c>
      <c r="BB797">
        <v>1440</v>
      </c>
      <c r="BC797">
        <v>0</v>
      </c>
      <c r="BD797">
        <v>0</v>
      </c>
      <c r="BE797">
        <v>14</v>
      </c>
      <c r="BF797">
        <v>25</v>
      </c>
      <c r="BG797">
        <v>3</v>
      </c>
      <c r="BH797">
        <v>8</v>
      </c>
      <c r="BI797">
        <v>3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0</v>
      </c>
      <c r="BQ797">
        <v>60</v>
      </c>
      <c r="BR797">
        <v>0</v>
      </c>
      <c r="BS797">
        <v>3</v>
      </c>
      <c r="BT797" t="s">
        <v>248</v>
      </c>
      <c r="BU797" t="s">
        <v>270</v>
      </c>
      <c r="BV797" t="b">
        <v>0</v>
      </c>
      <c r="BW797" t="s">
        <v>271</v>
      </c>
    </row>
    <row r="798" spans="1:75">
      <c r="A798" t="s">
        <v>248</v>
      </c>
      <c r="B798" t="s">
        <v>252</v>
      </c>
      <c r="C798">
        <v>680</v>
      </c>
      <c r="D798" t="s">
        <v>253</v>
      </c>
      <c r="E798" t="s">
        <v>254</v>
      </c>
      <c r="F798">
        <v>5</v>
      </c>
      <c r="G798" s="13">
        <v>46266.821250000001</v>
      </c>
      <c r="H798" s="13">
        <v>46266.821643518517</v>
      </c>
      <c r="I798">
        <v>34</v>
      </c>
      <c r="J798" t="s">
        <v>264</v>
      </c>
      <c r="K798">
        <v>1</v>
      </c>
      <c r="L798">
        <v>0.04</v>
      </c>
      <c r="M798">
        <v>0.04</v>
      </c>
      <c r="N798">
        <v>1</v>
      </c>
      <c r="O798">
        <v>0.04</v>
      </c>
      <c r="P798">
        <v>1.24</v>
      </c>
      <c r="Q798">
        <v>6.24</v>
      </c>
      <c r="R798">
        <v>5.48</v>
      </c>
      <c r="S798" t="s">
        <v>256</v>
      </c>
      <c r="T798" t="s">
        <v>257</v>
      </c>
      <c r="U798">
        <v>10</v>
      </c>
      <c r="V798">
        <v>7763.15</v>
      </c>
      <c r="W798">
        <v>4999.3599999999997</v>
      </c>
      <c r="X798">
        <v>4998.76</v>
      </c>
      <c r="Y798">
        <v>0</v>
      </c>
      <c r="Z798">
        <v>0</v>
      </c>
      <c r="AA798">
        <v>35</v>
      </c>
      <c r="AB798">
        <v>50</v>
      </c>
      <c r="AC798">
        <v>5000</v>
      </c>
      <c r="AD798">
        <v>0</v>
      </c>
      <c r="AE798">
        <v>0</v>
      </c>
      <c r="AF798">
        <v>7768.63</v>
      </c>
      <c r="AG798">
        <v>7768.63</v>
      </c>
      <c r="AH798" s="14">
        <v>46266</v>
      </c>
      <c r="AI798" t="s">
        <v>269</v>
      </c>
      <c r="AJ798" s="13">
        <v>46265.054768518516</v>
      </c>
      <c r="AK798">
        <v>7052.98</v>
      </c>
      <c r="AL798" t="s">
        <v>259</v>
      </c>
      <c r="AM798" t="s">
        <v>260</v>
      </c>
      <c r="AN798">
        <v>1400</v>
      </c>
      <c r="AO798">
        <v>0</v>
      </c>
      <c r="AP798">
        <v>35</v>
      </c>
      <c r="AQ798">
        <v>85</v>
      </c>
      <c r="AR798">
        <v>35</v>
      </c>
      <c r="AS798">
        <v>2</v>
      </c>
      <c r="AT798">
        <v>23</v>
      </c>
      <c r="AU798">
        <v>1</v>
      </c>
      <c r="AV798">
        <v>0</v>
      </c>
      <c r="AW798">
        <v>10</v>
      </c>
      <c r="AX798">
        <v>1</v>
      </c>
      <c r="AY798">
        <v>7</v>
      </c>
      <c r="AZ798">
        <v>3</v>
      </c>
      <c r="BA798">
        <v>1</v>
      </c>
      <c r="BB798">
        <v>1440</v>
      </c>
      <c r="BC798">
        <v>0</v>
      </c>
      <c r="BD798">
        <v>0</v>
      </c>
      <c r="BE798">
        <v>14</v>
      </c>
      <c r="BF798">
        <v>25</v>
      </c>
      <c r="BG798">
        <v>3</v>
      </c>
      <c r="BH798">
        <v>8</v>
      </c>
      <c r="BI798">
        <v>3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0</v>
      </c>
      <c r="BQ798">
        <v>60</v>
      </c>
      <c r="BR798">
        <v>0</v>
      </c>
      <c r="BS798">
        <v>3</v>
      </c>
      <c r="BT798" t="s">
        <v>248</v>
      </c>
      <c r="BU798" t="s">
        <v>270</v>
      </c>
      <c r="BV798" t="b">
        <v>0</v>
      </c>
      <c r="BW798" t="s">
        <v>271</v>
      </c>
    </row>
    <row r="799" spans="1:75">
      <c r="A799" t="s">
        <v>248</v>
      </c>
      <c r="B799" t="s">
        <v>252</v>
      </c>
      <c r="C799">
        <v>681</v>
      </c>
      <c r="D799" t="s">
        <v>253</v>
      </c>
      <c r="E799" t="s">
        <v>254</v>
      </c>
      <c r="F799">
        <v>5</v>
      </c>
      <c r="G799" s="13">
        <v>46266.824560185189</v>
      </c>
      <c r="H799" s="13">
        <v>46267.110081018516</v>
      </c>
      <c r="I799">
        <v>24669</v>
      </c>
      <c r="J799" t="s">
        <v>255</v>
      </c>
      <c r="K799">
        <v>14</v>
      </c>
      <c r="L799">
        <v>0.56000000000000005</v>
      </c>
      <c r="M799">
        <v>0.04</v>
      </c>
      <c r="N799">
        <v>14</v>
      </c>
      <c r="O799">
        <v>0.56000000000000005</v>
      </c>
      <c r="P799">
        <v>495.12</v>
      </c>
      <c r="Q799">
        <v>16.32</v>
      </c>
      <c r="R799">
        <v>-6.64</v>
      </c>
      <c r="S799" t="s">
        <v>263</v>
      </c>
      <c r="T799" t="s">
        <v>256</v>
      </c>
      <c r="U799">
        <v>11</v>
      </c>
      <c r="V799">
        <v>7767.95</v>
      </c>
      <c r="W799">
        <v>4999.32</v>
      </c>
      <c r="X799">
        <v>4504.88</v>
      </c>
      <c r="Y799">
        <v>0</v>
      </c>
      <c r="Z799">
        <v>0</v>
      </c>
      <c r="AA799">
        <v>35</v>
      </c>
      <c r="AB799">
        <v>50</v>
      </c>
      <c r="AC799">
        <v>5000</v>
      </c>
      <c r="AD799">
        <v>0</v>
      </c>
      <c r="AE799">
        <v>0</v>
      </c>
      <c r="AF799">
        <v>7776.63</v>
      </c>
      <c r="AG799">
        <v>7776.63</v>
      </c>
      <c r="AH799" s="14">
        <v>46266</v>
      </c>
      <c r="AI799" t="s">
        <v>269</v>
      </c>
      <c r="AJ799" s="13">
        <v>46265.054768518516</v>
      </c>
      <c r="AK799">
        <v>7052.98</v>
      </c>
      <c r="AL799" t="s">
        <v>259</v>
      </c>
      <c r="AM799" t="s">
        <v>260</v>
      </c>
      <c r="AN799">
        <v>1400</v>
      </c>
      <c r="AO799">
        <v>0</v>
      </c>
      <c r="AP799">
        <v>35</v>
      </c>
      <c r="AQ799">
        <v>85</v>
      </c>
      <c r="AR799">
        <v>35</v>
      </c>
      <c r="AS799">
        <v>2</v>
      </c>
      <c r="AT799">
        <v>23</v>
      </c>
      <c r="AU799">
        <v>1</v>
      </c>
      <c r="AV799">
        <v>0</v>
      </c>
      <c r="AW799">
        <v>10</v>
      </c>
      <c r="AX799">
        <v>1</v>
      </c>
      <c r="AY799">
        <v>7</v>
      </c>
      <c r="AZ799">
        <v>3</v>
      </c>
      <c r="BA799">
        <v>1</v>
      </c>
      <c r="BB799">
        <v>1440</v>
      </c>
      <c r="BC799">
        <v>0</v>
      </c>
      <c r="BD799">
        <v>0</v>
      </c>
      <c r="BE799">
        <v>14</v>
      </c>
      <c r="BF799">
        <v>25</v>
      </c>
      <c r="BG799">
        <v>3</v>
      </c>
      <c r="BH799">
        <v>8</v>
      </c>
      <c r="BI799">
        <v>3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0</v>
      </c>
      <c r="BQ799">
        <v>60</v>
      </c>
      <c r="BR799">
        <v>0</v>
      </c>
      <c r="BS799">
        <v>3</v>
      </c>
      <c r="BT799" t="s">
        <v>248</v>
      </c>
      <c r="BU799" t="s">
        <v>270</v>
      </c>
      <c r="BV799" t="b">
        <v>0</v>
      </c>
      <c r="BW799" t="s">
        <v>271</v>
      </c>
    </row>
    <row r="800" spans="1:75">
      <c r="A800" t="s">
        <v>248</v>
      </c>
      <c r="B800" t="s">
        <v>252</v>
      </c>
      <c r="C800">
        <v>682</v>
      </c>
      <c r="D800" t="s">
        <v>253</v>
      </c>
      <c r="E800" t="s">
        <v>254</v>
      </c>
      <c r="F800">
        <v>5</v>
      </c>
      <c r="G800" s="13">
        <v>46267.121076388888</v>
      </c>
      <c r="H800" s="13">
        <v>46267.121655092589</v>
      </c>
      <c r="I800">
        <v>50</v>
      </c>
      <c r="J800" t="s">
        <v>264</v>
      </c>
      <c r="K800">
        <v>1</v>
      </c>
      <c r="L800">
        <v>0.04</v>
      </c>
      <c r="M800">
        <v>0.04</v>
      </c>
      <c r="N800">
        <v>1</v>
      </c>
      <c r="O800">
        <v>0.04</v>
      </c>
      <c r="P800">
        <v>2.92</v>
      </c>
      <c r="Q800">
        <v>7.08</v>
      </c>
      <c r="R800">
        <v>7.04</v>
      </c>
      <c r="S800" t="s">
        <v>256</v>
      </c>
      <c r="T800" t="s">
        <v>257</v>
      </c>
      <c r="U800">
        <v>11</v>
      </c>
      <c r="V800">
        <v>7775.99</v>
      </c>
      <c r="W800">
        <v>4999.3599999999997</v>
      </c>
      <c r="X800">
        <v>4997.08</v>
      </c>
      <c r="Y800">
        <v>0</v>
      </c>
      <c r="Z800">
        <v>0</v>
      </c>
      <c r="AA800">
        <v>35</v>
      </c>
      <c r="AB800">
        <v>50</v>
      </c>
      <c r="AC800">
        <v>5000</v>
      </c>
      <c r="AD800">
        <v>0</v>
      </c>
      <c r="AE800">
        <v>0</v>
      </c>
      <c r="AF800">
        <v>7782.27</v>
      </c>
      <c r="AG800">
        <v>7782.27</v>
      </c>
      <c r="AH800" s="14">
        <v>46267</v>
      </c>
      <c r="AI800" t="s">
        <v>269</v>
      </c>
      <c r="AJ800" s="13">
        <v>46265.054768518516</v>
      </c>
      <c r="AK800">
        <v>7052.98</v>
      </c>
      <c r="AL800" t="s">
        <v>259</v>
      </c>
      <c r="AM800" t="s">
        <v>260</v>
      </c>
      <c r="AN800">
        <v>1400</v>
      </c>
      <c r="AO800">
        <v>0</v>
      </c>
      <c r="AP800">
        <v>35</v>
      </c>
      <c r="AQ800">
        <v>85</v>
      </c>
      <c r="AR800">
        <v>35</v>
      </c>
      <c r="AS800">
        <v>2</v>
      </c>
      <c r="AT800">
        <v>23</v>
      </c>
      <c r="AU800">
        <v>1</v>
      </c>
      <c r="AV800">
        <v>0</v>
      </c>
      <c r="AW800">
        <v>10</v>
      </c>
      <c r="AX800">
        <v>1</v>
      </c>
      <c r="AY800">
        <v>7</v>
      </c>
      <c r="AZ800">
        <v>3</v>
      </c>
      <c r="BA800">
        <v>1</v>
      </c>
      <c r="BB800">
        <v>1440</v>
      </c>
      <c r="BC800">
        <v>0</v>
      </c>
      <c r="BD800">
        <v>0</v>
      </c>
      <c r="BE800">
        <v>14</v>
      </c>
      <c r="BF800">
        <v>25</v>
      </c>
      <c r="BG800">
        <v>3</v>
      </c>
      <c r="BH800">
        <v>8</v>
      </c>
      <c r="BI800">
        <v>3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0</v>
      </c>
      <c r="BQ800">
        <v>60</v>
      </c>
      <c r="BR800">
        <v>0</v>
      </c>
      <c r="BS800">
        <v>3</v>
      </c>
      <c r="BT800" t="s">
        <v>248</v>
      </c>
      <c r="BU800" t="s">
        <v>270</v>
      </c>
      <c r="BV800" t="b">
        <v>0</v>
      </c>
      <c r="BW800" t="s">
        <v>271</v>
      </c>
    </row>
    <row r="801" spans="1:75">
      <c r="A801" t="s">
        <v>248</v>
      </c>
      <c r="B801" t="s">
        <v>252</v>
      </c>
      <c r="C801">
        <v>683</v>
      </c>
      <c r="D801" t="s">
        <v>253</v>
      </c>
      <c r="E801" t="s">
        <v>254</v>
      </c>
      <c r="F801">
        <v>5</v>
      </c>
      <c r="G801" s="13">
        <v>46267.124814814815</v>
      </c>
      <c r="H801" s="13">
        <v>46267.125219907408</v>
      </c>
      <c r="I801">
        <v>35</v>
      </c>
      <c r="J801" t="s">
        <v>264</v>
      </c>
      <c r="K801">
        <v>1</v>
      </c>
      <c r="L801">
        <v>0.04</v>
      </c>
      <c r="M801">
        <v>0.04</v>
      </c>
      <c r="N801">
        <v>1</v>
      </c>
      <c r="O801">
        <v>0.04</v>
      </c>
      <c r="P801">
        <v>5.28</v>
      </c>
      <c r="Q801">
        <v>3.24</v>
      </c>
      <c r="R801">
        <v>3.2</v>
      </c>
      <c r="S801" t="s">
        <v>256</v>
      </c>
      <c r="T801" t="s">
        <v>257</v>
      </c>
      <c r="U801">
        <v>10</v>
      </c>
      <c r="V801">
        <v>7781.43</v>
      </c>
      <c r="W801">
        <v>4999.16</v>
      </c>
      <c r="X801">
        <v>4994.72</v>
      </c>
      <c r="Y801">
        <v>0</v>
      </c>
      <c r="Z801">
        <v>0</v>
      </c>
      <c r="AA801">
        <v>35</v>
      </c>
      <c r="AB801">
        <v>50</v>
      </c>
      <c r="AC801">
        <v>5000</v>
      </c>
      <c r="AD801">
        <v>0</v>
      </c>
      <c r="AE801">
        <v>0</v>
      </c>
      <c r="AF801">
        <v>7784.11</v>
      </c>
      <c r="AG801">
        <v>7784.11</v>
      </c>
      <c r="AH801" s="14">
        <v>46267</v>
      </c>
      <c r="AI801" t="s">
        <v>269</v>
      </c>
      <c r="AJ801" s="13">
        <v>46265.054768518516</v>
      </c>
      <c r="AK801">
        <v>7052.98</v>
      </c>
      <c r="AL801" t="s">
        <v>259</v>
      </c>
      <c r="AM801" t="s">
        <v>260</v>
      </c>
      <c r="AN801">
        <v>1400</v>
      </c>
      <c r="AO801">
        <v>0</v>
      </c>
      <c r="AP801">
        <v>35</v>
      </c>
      <c r="AQ801">
        <v>85</v>
      </c>
      <c r="AR801">
        <v>35</v>
      </c>
      <c r="AS801">
        <v>2</v>
      </c>
      <c r="AT801">
        <v>23</v>
      </c>
      <c r="AU801">
        <v>1</v>
      </c>
      <c r="AV801">
        <v>0</v>
      </c>
      <c r="AW801">
        <v>10</v>
      </c>
      <c r="AX801">
        <v>1</v>
      </c>
      <c r="AY801">
        <v>7</v>
      </c>
      <c r="AZ801">
        <v>3</v>
      </c>
      <c r="BA801">
        <v>1</v>
      </c>
      <c r="BB801">
        <v>1440</v>
      </c>
      <c r="BC801">
        <v>0</v>
      </c>
      <c r="BD801">
        <v>0</v>
      </c>
      <c r="BE801">
        <v>14</v>
      </c>
      <c r="BF801">
        <v>25</v>
      </c>
      <c r="BG801">
        <v>3</v>
      </c>
      <c r="BH801">
        <v>8</v>
      </c>
      <c r="BI801">
        <v>3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0</v>
      </c>
      <c r="BQ801">
        <v>60</v>
      </c>
      <c r="BR801">
        <v>0</v>
      </c>
      <c r="BS801">
        <v>3</v>
      </c>
      <c r="BT801" t="s">
        <v>248</v>
      </c>
      <c r="BU801" t="s">
        <v>270</v>
      </c>
      <c r="BV801" t="b">
        <v>0</v>
      </c>
      <c r="BW801" t="s">
        <v>271</v>
      </c>
    </row>
    <row r="802" spans="1:75">
      <c r="A802" t="s">
        <v>248</v>
      </c>
      <c r="B802" t="s">
        <v>252</v>
      </c>
      <c r="C802">
        <v>684</v>
      </c>
      <c r="D802" t="s">
        <v>253</v>
      </c>
      <c r="E802" t="s">
        <v>254</v>
      </c>
      <c r="F802">
        <v>5</v>
      </c>
      <c r="G802" s="13">
        <v>46267.125740740739</v>
      </c>
      <c r="H802" s="13">
        <v>46267.126064814816</v>
      </c>
      <c r="I802">
        <v>28</v>
      </c>
      <c r="J802" t="s">
        <v>264</v>
      </c>
      <c r="K802">
        <v>1</v>
      </c>
      <c r="L802">
        <v>0.04</v>
      </c>
      <c r="M802">
        <v>0.04</v>
      </c>
      <c r="N802">
        <v>1</v>
      </c>
      <c r="O802">
        <v>0.04</v>
      </c>
      <c r="P802">
        <v>0.68</v>
      </c>
      <c r="Q802">
        <v>5.2</v>
      </c>
      <c r="R802">
        <v>5.16</v>
      </c>
      <c r="S802" t="s">
        <v>256</v>
      </c>
      <c r="T802" t="s">
        <v>257</v>
      </c>
      <c r="U802">
        <v>11</v>
      </c>
      <c r="V802">
        <v>7783.43</v>
      </c>
      <c r="W802">
        <v>4999.32</v>
      </c>
      <c r="X802">
        <v>4999.32</v>
      </c>
      <c r="Y802">
        <v>0</v>
      </c>
      <c r="Z802">
        <v>0</v>
      </c>
      <c r="AA802">
        <v>35</v>
      </c>
      <c r="AB802">
        <v>50</v>
      </c>
      <c r="AC802">
        <v>5000</v>
      </c>
      <c r="AD802">
        <v>0</v>
      </c>
      <c r="AE802">
        <v>0</v>
      </c>
      <c r="AF802">
        <v>7787.91</v>
      </c>
      <c r="AG802">
        <v>7787.91</v>
      </c>
      <c r="AH802" s="14">
        <v>46267</v>
      </c>
      <c r="AI802" t="s">
        <v>269</v>
      </c>
      <c r="AJ802" s="13">
        <v>46265.054768518516</v>
      </c>
      <c r="AK802">
        <v>7052.98</v>
      </c>
      <c r="AL802" t="s">
        <v>259</v>
      </c>
      <c r="AM802" t="s">
        <v>260</v>
      </c>
      <c r="AN802">
        <v>1400</v>
      </c>
      <c r="AO802">
        <v>0</v>
      </c>
      <c r="AP802">
        <v>35</v>
      </c>
      <c r="AQ802">
        <v>85</v>
      </c>
      <c r="AR802">
        <v>35</v>
      </c>
      <c r="AS802">
        <v>2</v>
      </c>
      <c r="AT802">
        <v>23</v>
      </c>
      <c r="AU802">
        <v>1</v>
      </c>
      <c r="AV802">
        <v>0</v>
      </c>
      <c r="AW802">
        <v>10</v>
      </c>
      <c r="AX802">
        <v>1</v>
      </c>
      <c r="AY802">
        <v>7</v>
      </c>
      <c r="AZ802">
        <v>3</v>
      </c>
      <c r="BA802">
        <v>1</v>
      </c>
      <c r="BB802">
        <v>1440</v>
      </c>
      <c r="BC802">
        <v>0</v>
      </c>
      <c r="BD802">
        <v>0</v>
      </c>
      <c r="BE802">
        <v>14</v>
      </c>
      <c r="BF802">
        <v>25</v>
      </c>
      <c r="BG802">
        <v>3</v>
      </c>
      <c r="BH802">
        <v>8</v>
      </c>
      <c r="BI802">
        <v>3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0</v>
      </c>
      <c r="BQ802">
        <v>60</v>
      </c>
      <c r="BR802">
        <v>0</v>
      </c>
      <c r="BS802">
        <v>3</v>
      </c>
      <c r="BT802" t="s">
        <v>248</v>
      </c>
      <c r="BU802" t="s">
        <v>270</v>
      </c>
      <c r="BV802" t="b">
        <v>0</v>
      </c>
      <c r="BW802" t="s">
        <v>271</v>
      </c>
    </row>
    <row r="803" spans="1:75">
      <c r="A803" t="s">
        <v>248</v>
      </c>
      <c r="B803" t="s">
        <v>252</v>
      </c>
      <c r="C803">
        <v>685</v>
      </c>
      <c r="D803" t="s">
        <v>253</v>
      </c>
      <c r="E803" t="s">
        <v>254</v>
      </c>
      <c r="F803">
        <v>5</v>
      </c>
      <c r="G803" s="13">
        <v>46267.128796296296</v>
      </c>
      <c r="H803" s="13">
        <v>46267.129131944443</v>
      </c>
      <c r="I803">
        <v>29</v>
      </c>
      <c r="J803" t="s">
        <v>264</v>
      </c>
      <c r="K803">
        <v>1</v>
      </c>
      <c r="L803">
        <v>0.04</v>
      </c>
      <c r="M803">
        <v>0.04</v>
      </c>
      <c r="N803">
        <v>1</v>
      </c>
      <c r="O803">
        <v>0.04</v>
      </c>
      <c r="P803">
        <v>8.9600000000000009</v>
      </c>
      <c r="Q803">
        <v>6.4</v>
      </c>
      <c r="R803">
        <v>5.64</v>
      </c>
      <c r="S803" t="s">
        <v>256</v>
      </c>
      <c r="T803" t="s">
        <v>257</v>
      </c>
      <c r="U803">
        <v>11</v>
      </c>
      <c r="V803">
        <v>7787.27</v>
      </c>
      <c r="W803">
        <v>4999.3599999999997</v>
      </c>
      <c r="X803">
        <v>4991.04</v>
      </c>
      <c r="Y803">
        <v>0</v>
      </c>
      <c r="Z803">
        <v>0</v>
      </c>
      <c r="AA803">
        <v>35</v>
      </c>
      <c r="AB803">
        <v>50</v>
      </c>
      <c r="AC803">
        <v>5000</v>
      </c>
      <c r="AD803">
        <v>0</v>
      </c>
      <c r="AE803">
        <v>0</v>
      </c>
      <c r="AF803">
        <v>7792.91</v>
      </c>
      <c r="AG803">
        <v>7792.91</v>
      </c>
      <c r="AH803" s="14">
        <v>46267</v>
      </c>
      <c r="AI803" t="s">
        <v>269</v>
      </c>
      <c r="AJ803" s="13">
        <v>46265.054768518516</v>
      </c>
      <c r="AK803">
        <v>7052.98</v>
      </c>
      <c r="AL803" t="s">
        <v>259</v>
      </c>
      <c r="AM803" t="s">
        <v>260</v>
      </c>
      <c r="AN803">
        <v>1400</v>
      </c>
      <c r="AO803">
        <v>0</v>
      </c>
      <c r="AP803">
        <v>35</v>
      </c>
      <c r="AQ803">
        <v>85</v>
      </c>
      <c r="AR803">
        <v>35</v>
      </c>
      <c r="AS803">
        <v>2</v>
      </c>
      <c r="AT803">
        <v>23</v>
      </c>
      <c r="AU803">
        <v>1</v>
      </c>
      <c r="AV803">
        <v>0</v>
      </c>
      <c r="AW803">
        <v>10</v>
      </c>
      <c r="AX803">
        <v>1</v>
      </c>
      <c r="AY803">
        <v>7</v>
      </c>
      <c r="AZ803">
        <v>3</v>
      </c>
      <c r="BA803">
        <v>1</v>
      </c>
      <c r="BB803">
        <v>1440</v>
      </c>
      <c r="BC803">
        <v>0</v>
      </c>
      <c r="BD803">
        <v>0</v>
      </c>
      <c r="BE803">
        <v>14</v>
      </c>
      <c r="BF803">
        <v>25</v>
      </c>
      <c r="BG803">
        <v>3</v>
      </c>
      <c r="BH803">
        <v>8</v>
      </c>
      <c r="BI803">
        <v>3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0</v>
      </c>
      <c r="BQ803">
        <v>60</v>
      </c>
      <c r="BR803">
        <v>0</v>
      </c>
      <c r="BS803">
        <v>3</v>
      </c>
      <c r="BT803" t="s">
        <v>248</v>
      </c>
      <c r="BU803" t="s">
        <v>270</v>
      </c>
      <c r="BV803" t="b">
        <v>0</v>
      </c>
      <c r="BW803" t="s">
        <v>271</v>
      </c>
    </row>
    <row r="804" spans="1:75">
      <c r="A804" t="s">
        <v>248</v>
      </c>
      <c r="B804" t="s">
        <v>252</v>
      </c>
      <c r="C804">
        <v>686</v>
      </c>
      <c r="D804" t="s">
        <v>253</v>
      </c>
      <c r="E804" t="s">
        <v>254</v>
      </c>
      <c r="F804">
        <v>5</v>
      </c>
      <c r="G804" s="13">
        <v>46267.132777777777</v>
      </c>
      <c r="H804" s="13">
        <v>46267.133460648147</v>
      </c>
      <c r="I804">
        <v>59</v>
      </c>
      <c r="J804" t="s">
        <v>264</v>
      </c>
      <c r="K804">
        <v>1</v>
      </c>
      <c r="L804">
        <v>0.04</v>
      </c>
      <c r="M804">
        <v>0.04</v>
      </c>
      <c r="N804">
        <v>1</v>
      </c>
      <c r="O804">
        <v>0.04</v>
      </c>
      <c r="P804">
        <v>11.24</v>
      </c>
      <c r="Q804">
        <v>4.5199999999999996</v>
      </c>
      <c r="R804">
        <v>3.44</v>
      </c>
      <c r="S804" t="s">
        <v>256</v>
      </c>
      <c r="T804" t="s">
        <v>257</v>
      </c>
      <c r="U804">
        <v>11</v>
      </c>
      <c r="V804">
        <v>7792.27</v>
      </c>
      <c r="W804">
        <v>4999.3599999999997</v>
      </c>
      <c r="X804">
        <v>4988.76</v>
      </c>
      <c r="Y804">
        <v>0</v>
      </c>
      <c r="Z804">
        <v>0</v>
      </c>
      <c r="AA804">
        <v>35</v>
      </c>
      <c r="AB804">
        <v>50</v>
      </c>
      <c r="AC804">
        <v>5000</v>
      </c>
      <c r="AD804">
        <v>0</v>
      </c>
      <c r="AE804">
        <v>0</v>
      </c>
      <c r="AF804">
        <v>7796.03</v>
      </c>
      <c r="AG804">
        <v>7796.03</v>
      </c>
      <c r="AH804" s="14">
        <v>46267</v>
      </c>
      <c r="AI804" t="s">
        <v>269</v>
      </c>
      <c r="AJ804" s="13">
        <v>46265.054768518516</v>
      </c>
      <c r="AK804">
        <v>7052.98</v>
      </c>
      <c r="AL804" t="s">
        <v>259</v>
      </c>
      <c r="AM804" t="s">
        <v>260</v>
      </c>
      <c r="AN804">
        <v>1400</v>
      </c>
      <c r="AO804">
        <v>0</v>
      </c>
      <c r="AP804">
        <v>35</v>
      </c>
      <c r="AQ804">
        <v>85</v>
      </c>
      <c r="AR804">
        <v>35</v>
      </c>
      <c r="AS804">
        <v>2</v>
      </c>
      <c r="AT804">
        <v>23</v>
      </c>
      <c r="AU804">
        <v>1</v>
      </c>
      <c r="AV804">
        <v>0</v>
      </c>
      <c r="AW804">
        <v>10</v>
      </c>
      <c r="AX804">
        <v>1</v>
      </c>
      <c r="AY804">
        <v>7</v>
      </c>
      <c r="AZ804">
        <v>3</v>
      </c>
      <c r="BA804">
        <v>1</v>
      </c>
      <c r="BB804">
        <v>1440</v>
      </c>
      <c r="BC804">
        <v>0</v>
      </c>
      <c r="BD804">
        <v>0</v>
      </c>
      <c r="BE804">
        <v>14</v>
      </c>
      <c r="BF804">
        <v>25</v>
      </c>
      <c r="BG804">
        <v>3</v>
      </c>
      <c r="BH804">
        <v>8</v>
      </c>
      <c r="BI804">
        <v>3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0</v>
      </c>
      <c r="BQ804">
        <v>60</v>
      </c>
      <c r="BR804">
        <v>0</v>
      </c>
      <c r="BS804">
        <v>3</v>
      </c>
      <c r="BT804" t="s">
        <v>248</v>
      </c>
      <c r="BU804" t="s">
        <v>270</v>
      </c>
      <c r="BV804" t="b">
        <v>0</v>
      </c>
      <c r="BW804" t="s">
        <v>271</v>
      </c>
    </row>
    <row r="805" spans="1:75">
      <c r="A805" t="s">
        <v>248</v>
      </c>
      <c r="B805" t="s">
        <v>252</v>
      </c>
      <c r="C805">
        <v>687</v>
      </c>
      <c r="D805" t="s">
        <v>253</v>
      </c>
      <c r="E805" t="s">
        <v>254</v>
      </c>
      <c r="F805">
        <v>5</v>
      </c>
      <c r="G805" s="13">
        <v>46267.13685185185</v>
      </c>
      <c r="H805" s="13">
        <v>46267.137060185189</v>
      </c>
      <c r="I805">
        <v>18</v>
      </c>
      <c r="J805" t="s">
        <v>255</v>
      </c>
      <c r="K805">
        <v>1</v>
      </c>
      <c r="L805">
        <v>0.04</v>
      </c>
      <c r="M805">
        <v>0.04</v>
      </c>
      <c r="N805">
        <v>1</v>
      </c>
      <c r="O805">
        <v>0.04</v>
      </c>
      <c r="P805">
        <v>1.1200000000000001</v>
      </c>
      <c r="Q805">
        <v>3.6</v>
      </c>
      <c r="R805">
        <v>2.36</v>
      </c>
      <c r="S805" t="s">
        <v>256</v>
      </c>
      <c r="T805" t="s">
        <v>257</v>
      </c>
      <c r="U805">
        <v>11</v>
      </c>
      <c r="V805">
        <v>7795.19</v>
      </c>
      <c r="W805">
        <v>4999.16</v>
      </c>
      <c r="X805">
        <v>4998.88</v>
      </c>
      <c r="Y805">
        <v>0</v>
      </c>
      <c r="Z805">
        <v>0</v>
      </c>
      <c r="AA805">
        <v>35</v>
      </c>
      <c r="AB805">
        <v>50</v>
      </c>
      <c r="AC805">
        <v>5000</v>
      </c>
      <c r="AD805">
        <v>0</v>
      </c>
      <c r="AE805">
        <v>0</v>
      </c>
      <c r="AF805">
        <v>7798.23</v>
      </c>
      <c r="AG805">
        <v>7798.23</v>
      </c>
      <c r="AH805" s="14">
        <v>46267</v>
      </c>
      <c r="AI805" t="s">
        <v>269</v>
      </c>
      <c r="AJ805" s="13">
        <v>46265.054768518516</v>
      </c>
      <c r="AK805">
        <v>7052.98</v>
      </c>
      <c r="AL805" t="s">
        <v>259</v>
      </c>
      <c r="AM805" t="s">
        <v>260</v>
      </c>
      <c r="AN805">
        <v>1400</v>
      </c>
      <c r="AO805">
        <v>0</v>
      </c>
      <c r="AP805">
        <v>35</v>
      </c>
      <c r="AQ805">
        <v>85</v>
      </c>
      <c r="AR805">
        <v>35</v>
      </c>
      <c r="AS805">
        <v>2</v>
      </c>
      <c r="AT805">
        <v>23</v>
      </c>
      <c r="AU805">
        <v>1</v>
      </c>
      <c r="AV805">
        <v>0</v>
      </c>
      <c r="AW805">
        <v>10</v>
      </c>
      <c r="AX805">
        <v>1</v>
      </c>
      <c r="AY805">
        <v>7</v>
      </c>
      <c r="AZ805">
        <v>3</v>
      </c>
      <c r="BA805">
        <v>1</v>
      </c>
      <c r="BB805">
        <v>1440</v>
      </c>
      <c r="BC805">
        <v>0</v>
      </c>
      <c r="BD805">
        <v>0</v>
      </c>
      <c r="BE805">
        <v>14</v>
      </c>
      <c r="BF805">
        <v>25</v>
      </c>
      <c r="BG805">
        <v>3</v>
      </c>
      <c r="BH805">
        <v>8</v>
      </c>
      <c r="BI805">
        <v>3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0</v>
      </c>
      <c r="BQ805">
        <v>60</v>
      </c>
      <c r="BR805">
        <v>0</v>
      </c>
      <c r="BS805">
        <v>3</v>
      </c>
      <c r="BT805" t="s">
        <v>248</v>
      </c>
      <c r="BU805" t="s">
        <v>270</v>
      </c>
      <c r="BV805" t="b">
        <v>0</v>
      </c>
      <c r="BW805" t="s">
        <v>271</v>
      </c>
    </row>
    <row r="806" spans="1:75">
      <c r="A806" t="s">
        <v>248</v>
      </c>
      <c r="B806" t="s">
        <v>252</v>
      </c>
      <c r="C806">
        <v>688</v>
      </c>
      <c r="D806" t="s">
        <v>253</v>
      </c>
      <c r="E806" t="s">
        <v>254</v>
      </c>
      <c r="F806">
        <v>5</v>
      </c>
      <c r="G806" s="13">
        <v>46267.139594907407</v>
      </c>
      <c r="H806" s="13">
        <v>46267.143935185188</v>
      </c>
      <c r="I806">
        <v>375</v>
      </c>
      <c r="J806" t="s">
        <v>264</v>
      </c>
      <c r="K806">
        <v>2</v>
      </c>
      <c r="L806">
        <v>0.08</v>
      </c>
      <c r="M806">
        <v>0.04</v>
      </c>
      <c r="N806">
        <v>2</v>
      </c>
      <c r="O806">
        <v>0.08</v>
      </c>
      <c r="P806">
        <v>24.4</v>
      </c>
      <c r="Q806">
        <v>8.84</v>
      </c>
      <c r="R806">
        <v>5.56</v>
      </c>
      <c r="S806" t="s">
        <v>263</v>
      </c>
      <c r="T806" t="s">
        <v>257</v>
      </c>
      <c r="U806">
        <v>11</v>
      </c>
      <c r="V806">
        <v>7797.59</v>
      </c>
      <c r="W806">
        <v>4999.3599999999997</v>
      </c>
      <c r="X806">
        <v>4975.6000000000004</v>
      </c>
      <c r="Y806">
        <v>0</v>
      </c>
      <c r="Z806">
        <v>0</v>
      </c>
      <c r="AA806">
        <v>35</v>
      </c>
      <c r="AB806">
        <v>50</v>
      </c>
      <c r="AC806">
        <v>5000</v>
      </c>
      <c r="AD806">
        <v>0</v>
      </c>
      <c r="AE806">
        <v>0</v>
      </c>
      <c r="AF806">
        <v>7803.87</v>
      </c>
      <c r="AG806">
        <v>7803.87</v>
      </c>
      <c r="AH806" s="14">
        <v>46267</v>
      </c>
      <c r="AI806" t="s">
        <v>269</v>
      </c>
      <c r="AJ806" s="13">
        <v>46265.054768518516</v>
      </c>
      <c r="AK806">
        <v>7052.98</v>
      </c>
      <c r="AL806" t="s">
        <v>259</v>
      </c>
      <c r="AM806" t="s">
        <v>260</v>
      </c>
      <c r="AN806">
        <v>1400</v>
      </c>
      <c r="AO806">
        <v>0</v>
      </c>
      <c r="AP806">
        <v>35</v>
      </c>
      <c r="AQ806">
        <v>85</v>
      </c>
      <c r="AR806">
        <v>35</v>
      </c>
      <c r="AS806">
        <v>2</v>
      </c>
      <c r="AT806">
        <v>23</v>
      </c>
      <c r="AU806">
        <v>1</v>
      </c>
      <c r="AV806">
        <v>0</v>
      </c>
      <c r="AW806">
        <v>10</v>
      </c>
      <c r="AX806">
        <v>1</v>
      </c>
      <c r="AY806">
        <v>7</v>
      </c>
      <c r="AZ806">
        <v>3</v>
      </c>
      <c r="BA806">
        <v>1</v>
      </c>
      <c r="BB806">
        <v>1440</v>
      </c>
      <c r="BC806">
        <v>0</v>
      </c>
      <c r="BD806">
        <v>0</v>
      </c>
      <c r="BE806">
        <v>14</v>
      </c>
      <c r="BF806">
        <v>25</v>
      </c>
      <c r="BG806">
        <v>3</v>
      </c>
      <c r="BH806">
        <v>8</v>
      </c>
      <c r="BI806">
        <v>3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0</v>
      </c>
      <c r="BQ806">
        <v>60</v>
      </c>
      <c r="BR806">
        <v>0</v>
      </c>
      <c r="BS806">
        <v>3</v>
      </c>
      <c r="BT806" t="s">
        <v>248</v>
      </c>
      <c r="BU806" t="s">
        <v>270</v>
      </c>
      <c r="BV806" t="b">
        <v>0</v>
      </c>
      <c r="BW806" t="s">
        <v>271</v>
      </c>
    </row>
    <row r="807" spans="1:75">
      <c r="A807" t="s">
        <v>248</v>
      </c>
      <c r="B807" t="s">
        <v>252</v>
      </c>
      <c r="C807">
        <v>689</v>
      </c>
      <c r="D807" t="s">
        <v>253</v>
      </c>
      <c r="E807" t="s">
        <v>254</v>
      </c>
      <c r="F807">
        <v>5</v>
      </c>
      <c r="G807" s="13">
        <v>46267.146631944444</v>
      </c>
      <c r="H807" s="13">
        <v>46267.147013888891</v>
      </c>
      <c r="I807">
        <v>33</v>
      </c>
      <c r="J807" t="s">
        <v>264</v>
      </c>
      <c r="K807">
        <v>1</v>
      </c>
      <c r="L807">
        <v>0.04</v>
      </c>
      <c r="M807">
        <v>0.04</v>
      </c>
      <c r="N807">
        <v>1</v>
      </c>
      <c r="O807">
        <v>0.04</v>
      </c>
      <c r="P807">
        <v>0.64</v>
      </c>
      <c r="Q807">
        <v>4.12</v>
      </c>
      <c r="R807">
        <v>3.76</v>
      </c>
      <c r="S807" t="s">
        <v>256</v>
      </c>
      <c r="T807" t="s">
        <v>257</v>
      </c>
      <c r="U807">
        <v>10</v>
      </c>
      <c r="V807">
        <v>7803.23</v>
      </c>
      <c r="W807">
        <v>4999.3599999999997</v>
      </c>
      <c r="X807">
        <v>4999.3599999999997</v>
      </c>
      <c r="Y807">
        <v>0</v>
      </c>
      <c r="Z807">
        <v>0</v>
      </c>
      <c r="AA807">
        <v>35</v>
      </c>
      <c r="AB807">
        <v>50</v>
      </c>
      <c r="AC807">
        <v>5000</v>
      </c>
      <c r="AD807">
        <v>0</v>
      </c>
      <c r="AE807">
        <v>0</v>
      </c>
      <c r="AF807">
        <v>7806.59</v>
      </c>
      <c r="AG807">
        <v>7806.59</v>
      </c>
      <c r="AH807" s="14">
        <v>46267</v>
      </c>
      <c r="AI807" t="s">
        <v>269</v>
      </c>
      <c r="AJ807" s="13">
        <v>46265.054768518516</v>
      </c>
      <c r="AK807">
        <v>7052.98</v>
      </c>
      <c r="AL807" t="s">
        <v>259</v>
      </c>
      <c r="AM807" t="s">
        <v>260</v>
      </c>
      <c r="AN807">
        <v>1400</v>
      </c>
      <c r="AO807">
        <v>0</v>
      </c>
      <c r="AP807">
        <v>35</v>
      </c>
      <c r="AQ807">
        <v>85</v>
      </c>
      <c r="AR807">
        <v>35</v>
      </c>
      <c r="AS807">
        <v>2</v>
      </c>
      <c r="AT807">
        <v>23</v>
      </c>
      <c r="AU807">
        <v>1</v>
      </c>
      <c r="AV807">
        <v>0</v>
      </c>
      <c r="AW807">
        <v>10</v>
      </c>
      <c r="AX807">
        <v>1</v>
      </c>
      <c r="AY807">
        <v>7</v>
      </c>
      <c r="AZ807">
        <v>3</v>
      </c>
      <c r="BA807">
        <v>1</v>
      </c>
      <c r="BB807">
        <v>1440</v>
      </c>
      <c r="BC807">
        <v>0</v>
      </c>
      <c r="BD807">
        <v>0</v>
      </c>
      <c r="BE807">
        <v>14</v>
      </c>
      <c r="BF807">
        <v>25</v>
      </c>
      <c r="BG807">
        <v>3</v>
      </c>
      <c r="BH807">
        <v>8</v>
      </c>
      <c r="BI807">
        <v>3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0</v>
      </c>
      <c r="BQ807">
        <v>60</v>
      </c>
      <c r="BR807">
        <v>0</v>
      </c>
      <c r="BS807">
        <v>3</v>
      </c>
      <c r="BT807" t="s">
        <v>248</v>
      </c>
      <c r="BU807" t="s">
        <v>270</v>
      </c>
      <c r="BV807" t="b">
        <v>0</v>
      </c>
      <c r="BW807" t="s">
        <v>271</v>
      </c>
    </row>
    <row r="808" spans="1:75">
      <c r="A808" t="s">
        <v>248</v>
      </c>
      <c r="B808" t="s">
        <v>252</v>
      </c>
      <c r="C808">
        <v>690</v>
      </c>
      <c r="D808" t="s">
        <v>253</v>
      </c>
      <c r="E808" t="s">
        <v>254</v>
      </c>
      <c r="F808">
        <v>5</v>
      </c>
      <c r="G808" s="13">
        <v>46267.14984953704</v>
      </c>
      <c r="H808" s="13">
        <v>46267.150034722225</v>
      </c>
      <c r="I808">
        <v>16</v>
      </c>
      <c r="J808" t="s">
        <v>255</v>
      </c>
      <c r="K808">
        <v>1</v>
      </c>
      <c r="L808">
        <v>0.04</v>
      </c>
      <c r="M808">
        <v>0.04</v>
      </c>
      <c r="N808">
        <v>1</v>
      </c>
      <c r="O808">
        <v>0.04</v>
      </c>
      <c r="P808">
        <v>0.72</v>
      </c>
      <c r="Q808">
        <v>6.24</v>
      </c>
      <c r="R808">
        <v>5</v>
      </c>
      <c r="S808" t="s">
        <v>256</v>
      </c>
      <c r="T808" t="s">
        <v>257</v>
      </c>
      <c r="U808">
        <v>11</v>
      </c>
      <c r="V808">
        <v>7805.91</v>
      </c>
      <c r="W808">
        <v>4999.32</v>
      </c>
      <c r="X808">
        <v>4999.28</v>
      </c>
      <c r="Y808">
        <v>0</v>
      </c>
      <c r="Z808">
        <v>0</v>
      </c>
      <c r="AA808">
        <v>35</v>
      </c>
      <c r="AB808">
        <v>50</v>
      </c>
      <c r="AC808">
        <v>5000</v>
      </c>
      <c r="AD808">
        <v>0</v>
      </c>
      <c r="AE808">
        <v>0</v>
      </c>
      <c r="AF808">
        <v>7811.43</v>
      </c>
      <c r="AG808">
        <v>7811.43</v>
      </c>
      <c r="AH808" s="14">
        <v>46267</v>
      </c>
      <c r="AI808" t="s">
        <v>269</v>
      </c>
      <c r="AJ808" s="13">
        <v>46265.054768518516</v>
      </c>
      <c r="AK808">
        <v>7052.98</v>
      </c>
      <c r="AL808" t="s">
        <v>259</v>
      </c>
      <c r="AM808" t="s">
        <v>260</v>
      </c>
      <c r="AN808">
        <v>1400</v>
      </c>
      <c r="AO808">
        <v>0</v>
      </c>
      <c r="AP808">
        <v>35</v>
      </c>
      <c r="AQ808">
        <v>85</v>
      </c>
      <c r="AR808">
        <v>35</v>
      </c>
      <c r="AS808">
        <v>2</v>
      </c>
      <c r="AT808">
        <v>23</v>
      </c>
      <c r="AU808">
        <v>1</v>
      </c>
      <c r="AV808">
        <v>0</v>
      </c>
      <c r="AW808">
        <v>10</v>
      </c>
      <c r="AX808">
        <v>1</v>
      </c>
      <c r="AY808">
        <v>7</v>
      </c>
      <c r="AZ808">
        <v>3</v>
      </c>
      <c r="BA808">
        <v>1</v>
      </c>
      <c r="BB808">
        <v>1440</v>
      </c>
      <c r="BC808">
        <v>0</v>
      </c>
      <c r="BD808">
        <v>0</v>
      </c>
      <c r="BE808">
        <v>14</v>
      </c>
      <c r="BF808">
        <v>25</v>
      </c>
      <c r="BG808">
        <v>3</v>
      </c>
      <c r="BH808">
        <v>8</v>
      </c>
      <c r="BI808">
        <v>3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0</v>
      </c>
      <c r="BQ808">
        <v>60</v>
      </c>
      <c r="BR808">
        <v>0</v>
      </c>
      <c r="BS808">
        <v>3</v>
      </c>
      <c r="BT808" t="s">
        <v>248</v>
      </c>
      <c r="BU808" t="s">
        <v>270</v>
      </c>
      <c r="BV808" t="b">
        <v>0</v>
      </c>
      <c r="BW808" t="s">
        <v>271</v>
      </c>
    </row>
    <row r="809" spans="1:75">
      <c r="A809" t="s">
        <v>248</v>
      </c>
      <c r="B809" t="s">
        <v>252</v>
      </c>
      <c r="C809">
        <v>691</v>
      </c>
      <c r="D809" t="s">
        <v>253</v>
      </c>
      <c r="E809" t="s">
        <v>254</v>
      </c>
      <c r="F809">
        <v>5</v>
      </c>
      <c r="G809" s="13">
        <v>46267.155300925922</v>
      </c>
      <c r="H809" s="13">
        <v>46267.156076388892</v>
      </c>
      <c r="I809">
        <v>67</v>
      </c>
      <c r="J809" t="s">
        <v>255</v>
      </c>
      <c r="K809">
        <v>1</v>
      </c>
      <c r="L809">
        <v>0.04</v>
      </c>
      <c r="M809">
        <v>0.04</v>
      </c>
      <c r="N809">
        <v>1</v>
      </c>
      <c r="O809">
        <v>0.04</v>
      </c>
      <c r="P809">
        <v>1.84</v>
      </c>
      <c r="Q809">
        <v>16.04</v>
      </c>
      <c r="R809">
        <v>16.04</v>
      </c>
      <c r="S809" t="s">
        <v>256</v>
      </c>
      <c r="T809" t="s">
        <v>257</v>
      </c>
      <c r="U809">
        <v>10</v>
      </c>
      <c r="V809">
        <v>7810.75</v>
      </c>
      <c r="W809">
        <v>4999.32</v>
      </c>
      <c r="X809">
        <v>4998.16</v>
      </c>
      <c r="Y809">
        <v>0</v>
      </c>
      <c r="Z809">
        <v>0</v>
      </c>
      <c r="AA809">
        <v>35</v>
      </c>
      <c r="AB809">
        <v>50</v>
      </c>
      <c r="AC809">
        <v>5000</v>
      </c>
      <c r="AD809">
        <v>0</v>
      </c>
      <c r="AE809">
        <v>0</v>
      </c>
      <c r="AF809">
        <v>7826.07</v>
      </c>
      <c r="AG809">
        <v>7826.07</v>
      </c>
      <c r="AH809" s="14">
        <v>46267</v>
      </c>
      <c r="AI809" t="s">
        <v>269</v>
      </c>
      <c r="AJ809" s="13">
        <v>46265.054768518516</v>
      </c>
      <c r="AK809">
        <v>7052.98</v>
      </c>
      <c r="AL809" t="s">
        <v>259</v>
      </c>
      <c r="AM809" t="s">
        <v>260</v>
      </c>
      <c r="AN809">
        <v>1400</v>
      </c>
      <c r="AO809">
        <v>0</v>
      </c>
      <c r="AP809">
        <v>35</v>
      </c>
      <c r="AQ809">
        <v>85</v>
      </c>
      <c r="AR809">
        <v>35</v>
      </c>
      <c r="AS809">
        <v>2</v>
      </c>
      <c r="AT809">
        <v>23</v>
      </c>
      <c r="AU809">
        <v>1</v>
      </c>
      <c r="AV809">
        <v>0</v>
      </c>
      <c r="AW809">
        <v>10</v>
      </c>
      <c r="AX809">
        <v>1</v>
      </c>
      <c r="AY809">
        <v>7</v>
      </c>
      <c r="AZ809">
        <v>3</v>
      </c>
      <c r="BA809">
        <v>1</v>
      </c>
      <c r="BB809">
        <v>1440</v>
      </c>
      <c r="BC809">
        <v>0</v>
      </c>
      <c r="BD809">
        <v>0</v>
      </c>
      <c r="BE809">
        <v>14</v>
      </c>
      <c r="BF809">
        <v>25</v>
      </c>
      <c r="BG809">
        <v>3</v>
      </c>
      <c r="BH809">
        <v>8</v>
      </c>
      <c r="BI809">
        <v>3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0</v>
      </c>
      <c r="BQ809">
        <v>60</v>
      </c>
      <c r="BR809">
        <v>0</v>
      </c>
      <c r="BS809">
        <v>3</v>
      </c>
      <c r="BT809" t="s">
        <v>248</v>
      </c>
      <c r="BU809" t="s">
        <v>270</v>
      </c>
      <c r="BV809" t="b">
        <v>0</v>
      </c>
      <c r="BW809" t="s">
        <v>271</v>
      </c>
    </row>
    <row r="810" spans="1:75">
      <c r="A810" t="s">
        <v>248</v>
      </c>
      <c r="B810" t="s">
        <v>252</v>
      </c>
      <c r="C810">
        <v>692</v>
      </c>
      <c r="D810" t="s">
        <v>253</v>
      </c>
      <c r="E810" t="s">
        <v>254</v>
      </c>
      <c r="F810">
        <v>5</v>
      </c>
      <c r="G810" s="13">
        <v>46267.157650462963</v>
      </c>
      <c r="H810" s="13">
        <v>46267.158275462964</v>
      </c>
      <c r="I810">
        <v>54</v>
      </c>
      <c r="J810" t="s">
        <v>264</v>
      </c>
      <c r="K810">
        <v>1</v>
      </c>
      <c r="L810">
        <v>0.04</v>
      </c>
      <c r="M810">
        <v>0.04</v>
      </c>
      <c r="N810">
        <v>1</v>
      </c>
      <c r="O810">
        <v>0.04</v>
      </c>
      <c r="P810">
        <v>5.16</v>
      </c>
      <c r="Q810">
        <v>3.84</v>
      </c>
      <c r="R810">
        <v>3.36</v>
      </c>
      <c r="S810" t="s">
        <v>256</v>
      </c>
      <c r="T810" t="s">
        <v>257</v>
      </c>
      <c r="U810">
        <v>11</v>
      </c>
      <c r="V810">
        <v>7825.43</v>
      </c>
      <c r="W810">
        <v>4999.3599999999997</v>
      </c>
      <c r="X810">
        <v>4994.84</v>
      </c>
      <c r="Y810">
        <v>0</v>
      </c>
      <c r="Z810">
        <v>0</v>
      </c>
      <c r="AA810">
        <v>35</v>
      </c>
      <c r="AB810">
        <v>50</v>
      </c>
      <c r="AC810">
        <v>5000</v>
      </c>
      <c r="AD810">
        <v>0</v>
      </c>
      <c r="AE810">
        <v>0</v>
      </c>
      <c r="AF810">
        <v>7828.51</v>
      </c>
      <c r="AG810">
        <v>7828.51</v>
      </c>
      <c r="AH810" s="14">
        <v>46267</v>
      </c>
      <c r="AI810" t="s">
        <v>269</v>
      </c>
      <c r="AJ810" s="13">
        <v>46265.054768518516</v>
      </c>
      <c r="AK810">
        <v>7052.98</v>
      </c>
      <c r="AL810" t="s">
        <v>259</v>
      </c>
      <c r="AM810" t="s">
        <v>260</v>
      </c>
      <c r="AN810">
        <v>1400</v>
      </c>
      <c r="AO810">
        <v>0</v>
      </c>
      <c r="AP810">
        <v>35</v>
      </c>
      <c r="AQ810">
        <v>85</v>
      </c>
      <c r="AR810">
        <v>35</v>
      </c>
      <c r="AS810">
        <v>2</v>
      </c>
      <c r="AT810">
        <v>23</v>
      </c>
      <c r="AU810">
        <v>1</v>
      </c>
      <c r="AV810">
        <v>0</v>
      </c>
      <c r="AW810">
        <v>10</v>
      </c>
      <c r="AX810">
        <v>1</v>
      </c>
      <c r="AY810">
        <v>7</v>
      </c>
      <c r="AZ810">
        <v>3</v>
      </c>
      <c r="BA810">
        <v>1</v>
      </c>
      <c r="BB810">
        <v>1440</v>
      </c>
      <c r="BC810">
        <v>0</v>
      </c>
      <c r="BD810">
        <v>0</v>
      </c>
      <c r="BE810">
        <v>14</v>
      </c>
      <c r="BF810">
        <v>25</v>
      </c>
      <c r="BG810">
        <v>3</v>
      </c>
      <c r="BH810">
        <v>8</v>
      </c>
      <c r="BI810">
        <v>3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0</v>
      </c>
      <c r="BQ810">
        <v>60</v>
      </c>
      <c r="BR810">
        <v>0</v>
      </c>
      <c r="BS810">
        <v>3</v>
      </c>
      <c r="BT810" t="s">
        <v>248</v>
      </c>
      <c r="BU810" t="s">
        <v>270</v>
      </c>
      <c r="BV810" t="b">
        <v>0</v>
      </c>
      <c r="BW810" t="s">
        <v>271</v>
      </c>
    </row>
    <row r="811" spans="1:75">
      <c r="A811" t="s">
        <v>248</v>
      </c>
      <c r="B811" t="s">
        <v>252</v>
      </c>
      <c r="C811">
        <v>693</v>
      </c>
      <c r="D811" t="s">
        <v>253</v>
      </c>
      <c r="E811" t="s">
        <v>254</v>
      </c>
      <c r="F811">
        <v>5</v>
      </c>
      <c r="G811" s="13">
        <v>46267.162187499998</v>
      </c>
      <c r="H811" s="13">
        <v>46267.16269675926</v>
      </c>
      <c r="I811">
        <v>44</v>
      </c>
      <c r="J811" t="s">
        <v>264</v>
      </c>
      <c r="K811">
        <v>1</v>
      </c>
      <c r="L811">
        <v>0.04</v>
      </c>
      <c r="M811">
        <v>0.04</v>
      </c>
      <c r="N811">
        <v>1</v>
      </c>
      <c r="O811">
        <v>0.04</v>
      </c>
      <c r="P811">
        <v>3.96</v>
      </c>
      <c r="Q811">
        <v>5.32</v>
      </c>
      <c r="R811">
        <v>5.32</v>
      </c>
      <c r="S811" t="s">
        <v>256</v>
      </c>
      <c r="T811" t="s">
        <v>257</v>
      </c>
      <c r="U811">
        <v>11</v>
      </c>
      <c r="V811">
        <v>7827.83</v>
      </c>
      <c r="W811">
        <v>4999.32</v>
      </c>
      <c r="X811">
        <v>4996.04</v>
      </c>
      <c r="Y811">
        <v>0</v>
      </c>
      <c r="Z811">
        <v>0</v>
      </c>
      <c r="AA811">
        <v>35</v>
      </c>
      <c r="AB811">
        <v>50</v>
      </c>
      <c r="AC811">
        <v>5000</v>
      </c>
      <c r="AD811">
        <v>0</v>
      </c>
      <c r="AE811">
        <v>0</v>
      </c>
      <c r="AF811">
        <v>7832.43</v>
      </c>
      <c r="AG811">
        <v>7832.43</v>
      </c>
      <c r="AH811" s="14">
        <v>46267</v>
      </c>
      <c r="AI811" t="s">
        <v>269</v>
      </c>
      <c r="AJ811" s="13">
        <v>46265.054768518516</v>
      </c>
      <c r="AK811">
        <v>7052.98</v>
      </c>
      <c r="AL811" t="s">
        <v>259</v>
      </c>
      <c r="AM811" t="s">
        <v>260</v>
      </c>
      <c r="AN811">
        <v>1400</v>
      </c>
      <c r="AO811">
        <v>0</v>
      </c>
      <c r="AP811">
        <v>35</v>
      </c>
      <c r="AQ811">
        <v>85</v>
      </c>
      <c r="AR811">
        <v>35</v>
      </c>
      <c r="AS811">
        <v>2</v>
      </c>
      <c r="AT811">
        <v>23</v>
      </c>
      <c r="AU811">
        <v>1</v>
      </c>
      <c r="AV811">
        <v>0</v>
      </c>
      <c r="AW811">
        <v>10</v>
      </c>
      <c r="AX811">
        <v>1</v>
      </c>
      <c r="AY811">
        <v>7</v>
      </c>
      <c r="AZ811">
        <v>3</v>
      </c>
      <c r="BA811">
        <v>1</v>
      </c>
      <c r="BB811">
        <v>1440</v>
      </c>
      <c r="BC811">
        <v>0</v>
      </c>
      <c r="BD811">
        <v>0</v>
      </c>
      <c r="BE811">
        <v>14</v>
      </c>
      <c r="BF811">
        <v>25</v>
      </c>
      <c r="BG811">
        <v>3</v>
      </c>
      <c r="BH811">
        <v>8</v>
      </c>
      <c r="BI811">
        <v>3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0</v>
      </c>
      <c r="BQ811">
        <v>60</v>
      </c>
      <c r="BR811">
        <v>0</v>
      </c>
      <c r="BS811">
        <v>3</v>
      </c>
      <c r="BT811" t="s">
        <v>248</v>
      </c>
      <c r="BU811" t="s">
        <v>270</v>
      </c>
      <c r="BV811" t="b">
        <v>0</v>
      </c>
      <c r="BW811" t="s">
        <v>271</v>
      </c>
    </row>
    <row r="812" spans="1:75">
      <c r="A812" t="s">
        <v>248</v>
      </c>
      <c r="B812" t="s">
        <v>252</v>
      </c>
      <c r="C812">
        <v>694</v>
      </c>
      <c r="D812" t="s">
        <v>253</v>
      </c>
      <c r="E812" t="s">
        <v>254</v>
      </c>
      <c r="F812">
        <v>5</v>
      </c>
      <c r="G812" s="13">
        <v>46267.163993055554</v>
      </c>
      <c r="H812" s="13">
        <v>46267.165393518517</v>
      </c>
      <c r="I812">
        <v>121</v>
      </c>
      <c r="J812" t="s">
        <v>255</v>
      </c>
      <c r="K812">
        <v>1</v>
      </c>
      <c r="L812">
        <v>0.04</v>
      </c>
      <c r="M812">
        <v>0.04</v>
      </c>
      <c r="N812">
        <v>1</v>
      </c>
      <c r="O812">
        <v>0.04</v>
      </c>
      <c r="P812">
        <v>9.44</v>
      </c>
      <c r="Q812">
        <v>6.96</v>
      </c>
      <c r="R812">
        <v>6.2</v>
      </c>
      <c r="S812" t="s">
        <v>256</v>
      </c>
      <c r="T812" t="s">
        <v>257</v>
      </c>
      <c r="U812">
        <v>10</v>
      </c>
      <c r="V812">
        <v>7831.75</v>
      </c>
      <c r="W812">
        <v>4999.32</v>
      </c>
      <c r="X812">
        <v>4990.5600000000004</v>
      </c>
      <c r="Y812">
        <v>0</v>
      </c>
      <c r="Z812">
        <v>0</v>
      </c>
      <c r="AA812">
        <v>35</v>
      </c>
      <c r="AB812">
        <v>50</v>
      </c>
      <c r="AC812">
        <v>5000</v>
      </c>
      <c r="AD812">
        <v>0</v>
      </c>
      <c r="AE812">
        <v>0</v>
      </c>
      <c r="AF812">
        <v>7837.99</v>
      </c>
      <c r="AG812">
        <v>7837.99</v>
      </c>
      <c r="AH812" s="14">
        <v>46267</v>
      </c>
      <c r="AI812" t="s">
        <v>269</v>
      </c>
      <c r="AJ812" s="13">
        <v>46265.054768518516</v>
      </c>
      <c r="AK812">
        <v>7052.98</v>
      </c>
      <c r="AL812" t="s">
        <v>259</v>
      </c>
      <c r="AM812" t="s">
        <v>260</v>
      </c>
      <c r="AN812">
        <v>1400</v>
      </c>
      <c r="AO812">
        <v>0</v>
      </c>
      <c r="AP812">
        <v>35</v>
      </c>
      <c r="AQ812">
        <v>85</v>
      </c>
      <c r="AR812">
        <v>35</v>
      </c>
      <c r="AS812">
        <v>2</v>
      </c>
      <c r="AT812">
        <v>23</v>
      </c>
      <c r="AU812">
        <v>1</v>
      </c>
      <c r="AV812">
        <v>0</v>
      </c>
      <c r="AW812">
        <v>10</v>
      </c>
      <c r="AX812">
        <v>1</v>
      </c>
      <c r="AY812">
        <v>7</v>
      </c>
      <c r="AZ812">
        <v>3</v>
      </c>
      <c r="BA812">
        <v>1</v>
      </c>
      <c r="BB812">
        <v>1440</v>
      </c>
      <c r="BC812">
        <v>0</v>
      </c>
      <c r="BD812">
        <v>0</v>
      </c>
      <c r="BE812">
        <v>14</v>
      </c>
      <c r="BF812">
        <v>25</v>
      </c>
      <c r="BG812">
        <v>3</v>
      </c>
      <c r="BH812">
        <v>8</v>
      </c>
      <c r="BI812">
        <v>3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0</v>
      </c>
      <c r="BQ812">
        <v>60</v>
      </c>
      <c r="BR812">
        <v>0</v>
      </c>
      <c r="BS812">
        <v>3</v>
      </c>
      <c r="BT812" t="s">
        <v>248</v>
      </c>
      <c r="BU812" t="s">
        <v>270</v>
      </c>
      <c r="BV812" t="b">
        <v>0</v>
      </c>
      <c r="BW812" t="s">
        <v>271</v>
      </c>
    </row>
    <row r="813" spans="1:75">
      <c r="A813" t="s">
        <v>248</v>
      </c>
      <c r="B813" t="s">
        <v>252</v>
      </c>
      <c r="C813">
        <v>695</v>
      </c>
      <c r="D813" t="s">
        <v>253</v>
      </c>
      <c r="E813" t="s">
        <v>254</v>
      </c>
      <c r="F813">
        <v>5</v>
      </c>
      <c r="G813" s="13">
        <v>46267.167094907411</v>
      </c>
      <c r="H813" s="13">
        <v>46267.174212962964</v>
      </c>
      <c r="I813">
        <v>615</v>
      </c>
      <c r="J813" t="s">
        <v>255</v>
      </c>
      <c r="K813">
        <v>3</v>
      </c>
      <c r="L813">
        <v>0.12</v>
      </c>
      <c r="M813">
        <v>0.04</v>
      </c>
      <c r="N813">
        <v>3</v>
      </c>
      <c r="O813">
        <v>0.12</v>
      </c>
      <c r="P813">
        <v>53.6</v>
      </c>
      <c r="Q813">
        <v>12.16</v>
      </c>
      <c r="R813">
        <v>8.44</v>
      </c>
      <c r="S813" t="s">
        <v>263</v>
      </c>
      <c r="T813" t="s">
        <v>257</v>
      </c>
      <c r="U813">
        <v>11</v>
      </c>
      <c r="V813">
        <v>7837.31</v>
      </c>
      <c r="W813">
        <v>4999.32</v>
      </c>
      <c r="X813">
        <v>4946.3999999999996</v>
      </c>
      <c r="Y813">
        <v>0</v>
      </c>
      <c r="Z813">
        <v>0</v>
      </c>
      <c r="AA813">
        <v>35</v>
      </c>
      <c r="AB813">
        <v>50</v>
      </c>
      <c r="AC813">
        <v>5000</v>
      </c>
      <c r="AD813">
        <v>0</v>
      </c>
      <c r="AE813">
        <v>0</v>
      </c>
      <c r="AF813">
        <v>7846.75</v>
      </c>
      <c r="AG813">
        <v>7846.75</v>
      </c>
      <c r="AH813" s="14">
        <v>46267</v>
      </c>
      <c r="AI813" t="s">
        <v>269</v>
      </c>
      <c r="AJ813" s="13">
        <v>46265.054768518516</v>
      </c>
      <c r="AK813">
        <v>7052.98</v>
      </c>
      <c r="AL813" t="s">
        <v>259</v>
      </c>
      <c r="AM813" t="s">
        <v>260</v>
      </c>
      <c r="AN813">
        <v>1400</v>
      </c>
      <c r="AO813">
        <v>0</v>
      </c>
      <c r="AP813">
        <v>35</v>
      </c>
      <c r="AQ813">
        <v>85</v>
      </c>
      <c r="AR813">
        <v>35</v>
      </c>
      <c r="AS813">
        <v>2</v>
      </c>
      <c r="AT813">
        <v>23</v>
      </c>
      <c r="AU813">
        <v>1</v>
      </c>
      <c r="AV813">
        <v>0</v>
      </c>
      <c r="AW813">
        <v>10</v>
      </c>
      <c r="AX813">
        <v>1</v>
      </c>
      <c r="AY813">
        <v>7</v>
      </c>
      <c r="AZ813">
        <v>3</v>
      </c>
      <c r="BA813">
        <v>1</v>
      </c>
      <c r="BB813">
        <v>1440</v>
      </c>
      <c r="BC813">
        <v>0</v>
      </c>
      <c r="BD813">
        <v>0</v>
      </c>
      <c r="BE813">
        <v>14</v>
      </c>
      <c r="BF813">
        <v>25</v>
      </c>
      <c r="BG813">
        <v>3</v>
      </c>
      <c r="BH813">
        <v>8</v>
      </c>
      <c r="BI813">
        <v>3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0</v>
      </c>
      <c r="BQ813">
        <v>60</v>
      </c>
      <c r="BR813">
        <v>0</v>
      </c>
      <c r="BS813">
        <v>3</v>
      </c>
      <c r="BT813" t="s">
        <v>248</v>
      </c>
      <c r="BU813" t="s">
        <v>270</v>
      </c>
      <c r="BV813" t="b">
        <v>0</v>
      </c>
      <c r="BW813" t="s">
        <v>271</v>
      </c>
    </row>
    <row r="814" spans="1:75">
      <c r="A814" t="s">
        <v>248</v>
      </c>
      <c r="B814" t="s">
        <v>252</v>
      </c>
      <c r="C814">
        <v>696</v>
      </c>
      <c r="D814" t="s">
        <v>253</v>
      </c>
      <c r="E814" t="s">
        <v>254</v>
      </c>
      <c r="F814">
        <v>5</v>
      </c>
      <c r="G814" s="13">
        <v>46267.17728009259</v>
      </c>
      <c r="H814" s="13">
        <v>46267.177499999998</v>
      </c>
      <c r="I814">
        <v>19</v>
      </c>
      <c r="J814" t="s">
        <v>255</v>
      </c>
      <c r="K814">
        <v>1</v>
      </c>
      <c r="L814">
        <v>0.04</v>
      </c>
      <c r="M814">
        <v>0.04</v>
      </c>
      <c r="N814">
        <v>1</v>
      </c>
      <c r="O814">
        <v>0.04</v>
      </c>
      <c r="P814">
        <v>1.52</v>
      </c>
      <c r="Q814">
        <v>4.68</v>
      </c>
      <c r="R814">
        <v>3.48</v>
      </c>
      <c r="S814" t="s">
        <v>256</v>
      </c>
      <c r="T814" t="s">
        <v>257</v>
      </c>
      <c r="U814">
        <v>10</v>
      </c>
      <c r="V814">
        <v>7846.07</v>
      </c>
      <c r="W814">
        <v>4999.32</v>
      </c>
      <c r="X814">
        <v>4998.4799999999996</v>
      </c>
      <c r="Y814">
        <v>0</v>
      </c>
      <c r="Z814">
        <v>0</v>
      </c>
      <c r="AA814">
        <v>35</v>
      </c>
      <c r="AB814">
        <v>50</v>
      </c>
      <c r="AC814">
        <v>5000</v>
      </c>
      <c r="AD814">
        <v>0</v>
      </c>
      <c r="AE814">
        <v>0</v>
      </c>
      <c r="AF814">
        <v>7850.15</v>
      </c>
      <c r="AG814">
        <v>7850.15</v>
      </c>
      <c r="AH814" s="14">
        <v>46267</v>
      </c>
      <c r="AI814" t="s">
        <v>269</v>
      </c>
      <c r="AJ814" s="13">
        <v>46265.054768518516</v>
      </c>
      <c r="AK814">
        <v>7052.98</v>
      </c>
      <c r="AL814" t="s">
        <v>259</v>
      </c>
      <c r="AM814" t="s">
        <v>260</v>
      </c>
      <c r="AN814">
        <v>1400</v>
      </c>
      <c r="AO814">
        <v>0</v>
      </c>
      <c r="AP814">
        <v>35</v>
      </c>
      <c r="AQ814">
        <v>85</v>
      </c>
      <c r="AR814">
        <v>35</v>
      </c>
      <c r="AS814">
        <v>2</v>
      </c>
      <c r="AT814">
        <v>23</v>
      </c>
      <c r="AU814">
        <v>1</v>
      </c>
      <c r="AV814">
        <v>0</v>
      </c>
      <c r="AW814">
        <v>10</v>
      </c>
      <c r="AX814">
        <v>1</v>
      </c>
      <c r="AY814">
        <v>7</v>
      </c>
      <c r="AZ814">
        <v>3</v>
      </c>
      <c r="BA814">
        <v>1</v>
      </c>
      <c r="BB814">
        <v>1440</v>
      </c>
      <c r="BC814">
        <v>0</v>
      </c>
      <c r="BD814">
        <v>0</v>
      </c>
      <c r="BE814">
        <v>14</v>
      </c>
      <c r="BF814">
        <v>25</v>
      </c>
      <c r="BG814">
        <v>3</v>
      </c>
      <c r="BH814">
        <v>8</v>
      </c>
      <c r="BI814">
        <v>3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0</v>
      </c>
      <c r="BQ814">
        <v>60</v>
      </c>
      <c r="BR814">
        <v>0</v>
      </c>
      <c r="BS814">
        <v>3</v>
      </c>
      <c r="BT814" t="s">
        <v>248</v>
      </c>
      <c r="BU814" t="s">
        <v>270</v>
      </c>
      <c r="BV814" t="b">
        <v>0</v>
      </c>
      <c r="BW814" t="s">
        <v>271</v>
      </c>
    </row>
    <row r="815" spans="1:75">
      <c r="A815" t="s">
        <v>248</v>
      </c>
      <c r="B815" t="s">
        <v>252</v>
      </c>
      <c r="C815">
        <v>697</v>
      </c>
      <c r="D815" t="s">
        <v>253</v>
      </c>
      <c r="E815" t="s">
        <v>254</v>
      </c>
      <c r="F815">
        <v>5</v>
      </c>
      <c r="G815" s="13">
        <v>46267.182696759257</v>
      </c>
      <c r="H815" s="13">
        <v>46267.183819444443</v>
      </c>
      <c r="I815">
        <v>97</v>
      </c>
      <c r="J815" t="s">
        <v>264</v>
      </c>
      <c r="K815">
        <v>1</v>
      </c>
      <c r="L815">
        <v>0.04</v>
      </c>
      <c r="M815">
        <v>0.04</v>
      </c>
      <c r="N815">
        <v>1</v>
      </c>
      <c r="O815">
        <v>0.04</v>
      </c>
      <c r="P815">
        <v>16.72</v>
      </c>
      <c r="Q815">
        <v>3.84</v>
      </c>
      <c r="R815">
        <v>3.44</v>
      </c>
      <c r="S815" t="s">
        <v>256</v>
      </c>
      <c r="T815" t="s">
        <v>257</v>
      </c>
      <c r="U815">
        <v>11</v>
      </c>
      <c r="V815">
        <v>7849.51</v>
      </c>
      <c r="W815">
        <v>4999.3599999999997</v>
      </c>
      <c r="X815">
        <v>4983.28</v>
      </c>
      <c r="Y815">
        <v>0</v>
      </c>
      <c r="Z815">
        <v>0</v>
      </c>
      <c r="AA815">
        <v>35</v>
      </c>
      <c r="AB815">
        <v>50</v>
      </c>
      <c r="AC815">
        <v>5000</v>
      </c>
      <c r="AD815">
        <v>0</v>
      </c>
      <c r="AE815">
        <v>0</v>
      </c>
      <c r="AF815">
        <v>7852.59</v>
      </c>
      <c r="AG815">
        <v>7852.59</v>
      </c>
      <c r="AH815" s="14">
        <v>46267</v>
      </c>
      <c r="AI815" t="s">
        <v>269</v>
      </c>
      <c r="AJ815" s="13">
        <v>46265.054768518516</v>
      </c>
      <c r="AK815">
        <v>7052.98</v>
      </c>
      <c r="AL815" t="s">
        <v>259</v>
      </c>
      <c r="AM815" t="s">
        <v>260</v>
      </c>
      <c r="AN815">
        <v>1400</v>
      </c>
      <c r="AO815">
        <v>0</v>
      </c>
      <c r="AP815">
        <v>35</v>
      </c>
      <c r="AQ815">
        <v>85</v>
      </c>
      <c r="AR815">
        <v>35</v>
      </c>
      <c r="AS815">
        <v>2</v>
      </c>
      <c r="AT815">
        <v>23</v>
      </c>
      <c r="AU815">
        <v>1</v>
      </c>
      <c r="AV815">
        <v>0</v>
      </c>
      <c r="AW815">
        <v>10</v>
      </c>
      <c r="AX815">
        <v>1</v>
      </c>
      <c r="AY815">
        <v>7</v>
      </c>
      <c r="AZ815">
        <v>3</v>
      </c>
      <c r="BA815">
        <v>1</v>
      </c>
      <c r="BB815">
        <v>1440</v>
      </c>
      <c r="BC815">
        <v>0</v>
      </c>
      <c r="BD815">
        <v>0</v>
      </c>
      <c r="BE815">
        <v>14</v>
      </c>
      <c r="BF815">
        <v>25</v>
      </c>
      <c r="BG815">
        <v>3</v>
      </c>
      <c r="BH815">
        <v>8</v>
      </c>
      <c r="BI815">
        <v>3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0</v>
      </c>
      <c r="BQ815">
        <v>60</v>
      </c>
      <c r="BR815">
        <v>0</v>
      </c>
      <c r="BS815">
        <v>3</v>
      </c>
      <c r="BT815" t="s">
        <v>248</v>
      </c>
      <c r="BU815" t="s">
        <v>270</v>
      </c>
      <c r="BV815" t="b">
        <v>0</v>
      </c>
      <c r="BW815" t="s">
        <v>271</v>
      </c>
    </row>
    <row r="816" spans="1:75">
      <c r="A816" t="s">
        <v>248</v>
      </c>
      <c r="B816" t="s">
        <v>252</v>
      </c>
      <c r="C816">
        <v>698</v>
      </c>
      <c r="D816" t="s">
        <v>253</v>
      </c>
      <c r="E816" t="s">
        <v>254</v>
      </c>
      <c r="F816">
        <v>5</v>
      </c>
      <c r="G816" s="13">
        <v>46267.18482638889</v>
      </c>
      <c r="H816" s="13">
        <v>46267.184965277775</v>
      </c>
      <c r="I816">
        <v>12</v>
      </c>
      <c r="J816" t="s">
        <v>255</v>
      </c>
      <c r="K816">
        <v>1</v>
      </c>
      <c r="L816">
        <v>0.04</v>
      </c>
      <c r="M816">
        <v>0.04</v>
      </c>
      <c r="N816">
        <v>1</v>
      </c>
      <c r="O816">
        <v>0.04</v>
      </c>
      <c r="P816">
        <v>1.68</v>
      </c>
      <c r="Q816">
        <v>3.2</v>
      </c>
      <c r="R816">
        <v>2.72</v>
      </c>
      <c r="S816" t="s">
        <v>256</v>
      </c>
      <c r="T816" t="s">
        <v>257</v>
      </c>
      <c r="U816">
        <v>10</v>
      </c>
      <c r="V816">
        <v>7851.91</v>
      </c>
      <c r="W816">
        <v>4999.32</v>
      </c>
      <c r="X816">
        <v>4998.32</v>
      </c>
      <c r="Y816">
        <v>0</v>
      </c>
      <c r="Z816">
        <v>0</v>
      </c>
      <c r="AA816">
        <v>35</v>
      </c>
      <c r="AB816">
        <v>50</v>
      </c>
      <c r="AC816">
        <v>5000</v>
      </c>
      <c r="AD816">
        <v>0</v>
      </c>
      <c r="AE816">
        <v>0</v>
      </c>
      <c r="AF816">
        <v>7854.39</v>
      </c>
      <c r="AG816">
        <v>7854.39</v>
      </c>
      <c r="AH816" s="14">
        <v>46267</v>
      </c>
      <c r="AI816" t="s">
        <v>269</v>
      </c>
      <c r="AJ816" s="13">
        <v>46265.054768518516</v>
      </c>
      <c r="AK816">
        <v>7052.98</v>
      </c>
      <c r="AL816" t="s">
        <v>259</v>
      </c>
      <c r="AM816" t="s">
        <v>260</v>
      </c>
      <c r="AN816">
        <v>1400</v>
      </c>
      <c r="AO816">
        <v>0</v>
      </c>
      <c r="AP816">
        <v>35</v>
      </c>
      <c r="AQ816">
        <v>85</v>
      </c>
      <c r="AR816">
        <v>35</v>
      </c>
      <c r="AS816">
        <v>2</v>
      </c>
      <c r="AT816">
        <v>23</v>
      </c>
      <c r="AU816">
        <v>1</v>
      </c>
      <c r="AV816">
        <v>0</v>
      </c>
      <c r="AW816">
        <v>10</v>
      </c>
      <c r="AX816">
        <v>1</v>
      </c>
      <c r="AY816">
        <v>7</v>
      </c>
      <c r="AZ816">
        <v>3</v>
      </c>
      <c r="BA816">
        <v>1</v>
      </c>
      <c r="BB816">
        <v>1440</v>
      </c>
      <c r="BC816">
        <v>0</v>
      </c>
      <c r="BD816">
        <v>0</v>
      </c>
      <c r="BE816">
        <v>14</v>
      </c>
      <c r="BF816">
        <v>25</v>
      </c>
      <c r="BG816">
        <v>3</v>
      </c>
      <c r="BH816">
        <v>8</v>
      </c>
      <c r="BI816">
        <v>3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0</v>
      </c>
      <c r="BQ816">
        <v>60</v>
      </c>
      <c r="BR816">
        <v>0</v>
      </c>
      <c r="BS816">
        <v>3</v>
      </c>
      <c r="BT816" t="s">
        <v>248</v>
      </c>
      <c r="BU816" t="s">
        <v>270</v>
      </c>
      <c r="BV816" t="b">
        <v>0</v>
      </c>
      <c r="BW816" t="s">
        <v>271</v>
      </c>
    </row>
    <row r="817" spans="1:75">
      <c r="A817" t="s">
        <v>248</v>
      </c>
      <c r="B817" t="s">
        <v>252</v>
      </c>
      <c r="C817">
        <v>699</v>
      </c>
      <c r="D817" t="s">
        <v>253</v>
      </c>
      <c r="E817" t="s">
        <v>254</v>
      </c>
      <c r="F817">
        <v>5</v>
      </c>
      <c r="G817" s="13">
        <v>46267.189039351855</v>
      </c>
      <c r="H817" s="13">
        <v>46267.189351851855</v>
      </c>
      <c r="I817">
        <v>27</v>
      </c>
      <c r="J817" t="s">
        <v>264</v>
      </c>
      <c r="K817">
        <v>1</v>
      </c>
      <c r="L817">
        <v>0.04</v>
      </c>
      <c r="M817">
        <v>0.04</v>
      </c>
      <c r="N817">
        <v>1</v>
      </c>
      <c r="O817">
        <v>0.04</v>
      </c>
      <c r="P817">
        <v>2.96</v>
      </c>
      <c r="Q817">
        <v>6.28</v>
      </c>
      <c r="R817">
        <v>6.28</v>
      </c>
      <c r="S817" t="s">
        <v>256</v>
      </c>
      <c r="T817" t="s">
        <v>257</v>
      </c>
      <c r="U817">
        <v>11</v>
      </c>
      <c r="V817">
        <v>7853.59</v>
      </c>
      <c r="W817">
        <v>4999.2</v>
      </c>
      <c r="X817">
        <v>4997.04</v>
      </c>
      <c r="Y817">
        <v>0</v>
      </c>
      <c r="Z817">
        <v>0</v>
      </c>
      <c r="AA817">
        <v>35</v>
      </c>
      <c r="AB817">
        <v>50</v>
      </c>
      <c r="AC817">
        <v>5000</v>
      </c>
      <c r="AD817">
        <v>0</v>
      </c>
      <c r="AE817">
        <v>0</v>
      </c>
      <c r="AF817">
        <v>7859.27</v>
      </c>
      <c r="AG817">
        <v>7859.27</v>
      </c>
      <c r="AH817" s="14">
        <v>46267</v>
      </c>
      <c r="AI817" t="s">
        <v>269</v>
      </c>
      <c r="AJ817" s="13">
        <v>46265.054768518516</v>
      </c>
      <c r="AK817">
        <v>7052.98</v>
      </c>
      <c r="AL817" t="s">
        <v>259</v>
      </c>
      <c r="AM817" t="s">
        <v>260</v>
      </c>
      <c r="AN817">
        <v>1400</v>
      </c>
      <c r="AO817">
        <v>0</v>
      </c>
      <c r="AP817">
        <v>35</v>
      </c>
      <c r="AQ817">
        <v>85</v>
      </c>
      <c r="AR817">
        <v>35</v>
      </c>
      <c r="AS817">
        <v>2</v>
      </c>
      <c r="AT817">
        <v>23</v>
      </c>
      <c r="AU817">
        <v>1</v>
      </c>
      <c r="AV817">
        <v>0</v>
      </c>
      <c r="AW817">
        <v>10</v>
      </c>
      <c r="AX817">
        <v>1</v>
      </c>
      <c r="AY817">
        <v>7</v>
      </c>
      <c r="AZ817">
        <v>3</v>
      </c>
      <c r="BA817">
        <v>1</v>
      </c>
      <c r="BB817">
        <v>1440</v>
      </c>
      <c r="BC817">
        <v>0</v>
      </c>
      <c r="BD817">
        <v>0</v>
      </c>
      <c r="BE817">
        <v>14</v>
      </c>
      <c r="BF817">
        <v>25</v>
      </c>
      <c r="BG817">
        <v>3</v>
      </c>
      <c r="BH817">
        <v>8</v>
      </c>
      <c r="BI817">
        <v>3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0</v>
      </c>
      <c r="BQ817">
        <v>60</v>
      </c>
      <c r="BR817">
        <v>0</v>
      </c>
      <c r="BS817">
        <v>3</v>
      </c>
      <c r="BT817" t="s">
        <v>248</v>
      </c>
      <c r="BU817" t="s">
        <v>270</v>
      </c>
      <c r="BV817" t="b">
        <v>0</v>
      </c>
      <c r="BW817" t="s">
        <v>271</v>
      </c>
    </row>
    <row r="818" spans="1:75">
      <c r="A818" t="s">
        <v>248</v>
      </c>
      <c r="B818" t="s">
        <v>252</v>
      </c>
      <c r="C818">
        <v>700</v>
      </c>
      <c r="D818" t="s">
        <v>253</v>
      </c>
      <c r="E818" t="s">
        <v>254</v>
      </c>
      <c r="F818">
        <v>5</v>
      </c>
      <c r="G818" s="13">
        <v>46267.193113425928</v>
      </c>
      <c r="H818" s="13">
        <v>46267.199652777781</v>
      </c>
      <c r="I818">
        <v>565</v>
      </c>
      <c r="J818" t="s">
        <v>264</v>
      </c>
      <c r="K818">
        <v>3</v>
      </c>
      <c r="L818">
        <v>0.12</v>
      </c>
      <c r="M818">
        <v>0.04</v>
      </c>
      <c r="N818">
        <v>3</v>
      </c>
      <c r="O818">
        <v>0.12</v>
      </c>
      <c r="P818">
        <v>24.88</v>
      </c>
      <c r="Q818">
        <v>21.4</v>
      </c>
      <c r="R818">
        <v>15.4</v>
      </c>
      <c r="S818" t="s">
        <v>263</v>
      </c>
      <c r="T818" t="s">
        <v>257</v>
      </c>
      <c r="U818">
        <v>10</v>
      </c>
      <c r="V818">
        <v>7858.63</v>
      </c>
      <c r="W818">
        <v>4999.3599999999997</v>
      </c>
      <c r="X818">
        <v>4975.12</v>
      </c>
      <c r="Y818">
        <v>0</v>
      </c>
      <c r="Z818">
        <v>0</v>
      </c>
      <c r="AA818">
        <v>35</v>
      </c>
      <c r="AB818">
        <v>50</v>
      </c>
      <c r="AC818">
        <v>5000</v>
      </c>
      <c r="AD818">
        <v>0</v>
      </c>
      <c r="AE818">
        <v>0</v>
      </c>
      <c r="AF818">
        <v>7873.51</v>
      </c>
      <c r="AG818">
        <v>7873.51</v>
      </c>
      <c r="AH818" s="14">
        <v>46267</v>
      </c>
      <c r="AI818" t="s">
        <v>269</v>
      </c>
      <c r="AJ818" s="13">
        <v>46265.054768518516</v>
      </c>
      <c r="AK818">
        <v>7052.98</v>
      </c>
      <c r="AL818" t="s">
        <v>259</v>
      </c>
      <c r="AM818" t="s">
        <v>260</v>
      </c>
      <c r="AN818">
        <v>1400</v>
      </c>
      <c r="AO818">
        <v>0</v>
      </c>
      <c r="AP818">
        <v>35</v>
      </c>
      <c r="AQ818">
        <v>85</v>
      </c>
      <c r="AR818">
        <v>35</v>
      </c>
      <c r="AS818">
        <v>2</v>
      </c>
      <c r="AT818">
        <v>23</v>
      </c>
      <c r="AU818">
        <v>1</v>
      </c>
      <c r="AV818">
        <v>0</v>
      </c>
      <c r="AW818">
        <v>10</v>
      </c>
      <c r="AX818">
        <v>1</v>
      </c>
      <c r="AY818">
        <v>7</v>
      </c>
      <c r="AZ818">
        <v>3</v>
      </c>
      <c r="BA818">
        <v>1</v>
      </c>
      <c r="BB818">
        <v>1440</v>
      </c>
      <c r="BC818">
        <v>0</v>
      </c>
      <c r="BD818">
        <v>0</v>
      </c>
      <c r="BE818">
        <v>14</v>
      </c>
      <c r="BF818">
        <v>25</v>
      </c>
      <c r="BG818">
        <v>3</v>
      </c>
      <c r="BH818">
        <v>8</v>
      </c>
      <c r="BI818">
        <v>3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0</v>
      </c>
      <c r="BQ818">
        <v>60</v>
      </c>
      <c r="BR818">
        <v>0</v>
      </c>
      <c r="BS818">
        <v>3</v>
      </c>
      <c r="BT818" t="s">
        <v>248</v>
      </c>
      <c r="BU818" t="s">
        <v>270</v>
      </c>
      <c r="BV818" t="b">
        <v>0</v>
      </c>
      <c r="BW818" t="s">
        <v>271</v>
      </c>
    </row>
    <row r="819" spans="1:75">
      <c r="A819" t="s">
        <v>248</v>
      </c>
      <c r="B819" t="s">
        <v>252</v>
      </c>
      <c r="C819">
        <v>701</v>
      </c>
      <c r="D819" t="s">
        <v>253</v>
      </c>
      <c r="E819" t="s">
        <v>254</v>
      </c>
      <c r="F819">
        <v>5</v>
      </c>
      <c r="G819" s="13">
        <v>46267.202488425923</v>
      </c>
      <c r="H819" s="13">
        <v>46267.202708333331</v>
      </c>
      <c r="I819">
        <v>19</v>
      </c>
      <c r="J819" t="s">
        <v>264</v>
      </c>
      <c r="K819">
        <v>1</v>
      </c>
      <c r="L819">
        <v>0.04</v>
      </c>
      <c r="M819">
        <v>0.04</v>
      </c>
      <c r="N819">
        <v>1</v>
      </c>
      <c r="O819">
        <v>0.04</v>
      </c>
      <c r="P819">
        <v>0.64</v>
      </c>
      <c r="Q819">
        <v>4.76</v>
      </c>
      <c r="R819">
        <v>4.76</v>
      </c>
      <c r="S819" t="s">
        <v>256</v>
      </c>
      <c r="T819" t="s">
        <v>257</v>
      </c>
      <c r="U819">
        <v>11</v>
      </c>
      <c r="V819">
        <v>7872.87</v>
      </c>
      <c r="W819">
        <v>4999.3599999999997</v>
      </c>
      <c r="X819">
        <v>4999.3599999999997</v>
      </c>
      <c r="Y819">
        <v>0</v>
      </c>
      <c r="Z819">
        <v>0</v>
      </c>
      <c r="AA819">
        <v>35</v>
      </c>
      <c r="AB819">
        <v>50</v>
      </c>
      <c r="AC819">
        <v>5000</v>
      </c>
      <c r="AD819">
        <v>0</v>
      </c>
      <c r="AE819">
        <v>0</v>
      </c>
      <c r="AF819">
        <v>7876.87</v>
      </c>
      <c r="AG819">
        <v>7876.87</v>
      </c>
      <c r="AH819" s="14">
        <v>46267</v>
      </c>
      <c r="AI819" t="s">
        <v>269</v>
      </c>
      <c r="AJ819" s="13">
        <v>46265.054768518516</v>
      </c>
      <c r="AK819">
        <v>7052.98</v>
      </c>
      <c r="AL819" t="s">
        <v>259</v>
      </c>
      <c r="AM819" t="s">
        <v>260</v>
      </c>
      <c r="AN819">
        <v>1400</v>
      </c>
      <c r="AO819">
        <v>0</v>
      </c>
      <c r="AP819">
        <v>35</v>
      </c>
      <c r="AQ819">
        <v>85</v>
      </c>
      <c r="AR819">
        <v>35</v>
      </c>
      <c r="AS819">
        <v>2</v>
      </c>
      <c r="AT819">
        <v>23</v>
      </c>
      <c r="AU819">
        <v>1</v>
      </c>
      <c r="AV819">
        <v>0</v>
      </c>
      <c r="AW819">
        <v>10</v>
      </c>
      <c r="AX819">
        <v>1</v>
      </c>
      <c r="AY819">
        <v>7</v>
      </c>
      <c r="AZ819">
        <v>3</v>
      </c>
      <c r="BA819">
        <v>1</v>
      </c>
      <c r="BB819">
        <v>1440</v>
      </c>
      <c r="BC819">
        <v>0</v>
      </c>
      <c r="BD819">
        <v>0</v>
      </c>
      <c r="BE819">
        <v>14</v>
      </c>
      <c r="BF819">
        <v>25</v>
      </c>
      <c r="BG819">
        <v>3</v>
      </c>
      <c r="BH819">
        <v>8</v>
      </c>
      <c r="BI819">
        <v>3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0</v>
      </c>
      <c r="BQ819">
        <v>60</v>
      </c>
      <c r="BR819">
        <v>0</v>
      </c>
      <c r="BS819">
        <v>3</v>
      </c>
      <c r="BT819" t="s">
        <v>248</v>
      </c>
      <c r="BU819" t="s">
        <v>270</v>
      </c>
      <c r="BV819" t="b">
        <v>0</v>
      </c>
      <c r="BW819" t="s">
        <v>271</v>
      </c>
    </row>
    <row r="820" spans="1:75">
      <c r="A820" t="s">
        <v>248</v>
      </c>
      <c r="B820" t="s">
        <v>252</v>
      </c>
      <c r="C820">
        <v>702</v>
      </c>
      <c r="D820" t="s">
        <v>253</v>
      </c>
      <c r="E820" t="s">
        <v>254</v>
      </c>
      <c r="F820">
        <v>5</v>
      </c>
      <c r="G820" s="13">
        <v>46267.205763888887</v>
      </c>
      <c r="H820" s="13">
        <v>46267.206053240741</v>
      </c>
      <c r="I820">
        <v>25</v>
      </c>
      <c r="J820" t="s">
        <v>264</v>
      </c>
      <c r="K820">
        <v>1</v>
      </c>
      <c r="L820">
        <v>0.04</v>
      </c>
      <c r="M820">
        <v>0.04</v>
      </c>
      <c r="N820">
        <v>1</v>
      </c>
      <c r="O820">
        <v>0.04</v>
      </c>
      <c r="P820">
        <v>0.64</v>
      </c>
      <c r="Q820">
        <v>8.64</v>
      </c>
      <c r="R820">
        <v>8.64</v>
      </c>
      <c r="S820" t="s">
        <v>256</v>
      </c>
      <c r="T820" t="s">
        <v>257</v>
      </c>
      <c r="U820">
        <v>11</v>
      </c>
      <c r="V820">
        <v>7876.23</v>
      </c>
      <c r="W820">
        <v>4999.3599999999997</v>
      </c>
      <c r="X820">
        <v>4999.3599999999997</v>
      </c>
      <c r="Y820">
        <v>0</v>
      </c>
      <c r="Z820">
        <v>0</v>
      </c>
      <c r="AA820">
        <v>35</v>
      </c>
      <c r="AB820">
        <v>50</v>
      </c>
      <c r="AC820">
        <v>5000</v>
      </c>
      <c r="AD820">
        <v>0</v>
      </c>
      <c r="AE820">
        <v>0</v>
      </c>
      <c r="AF820">
        <v>7884.07</v>
      </c>
      <c r="AG820">
        <v>7884.07</v>
      </c>
      <c r="AH820" s="14">
        <v>46267</v>
      </c>
      <c r="AI820" t="s">
        <v>269</v>
      </c>
      <c r="AJ820" s="13">
        <v>46265.054768518516</v>
      </c>
      <c r="AK820">
        <v>7052.98</v>
      </c>
      <c r="AL820" t="s">
        <v>259</v>
      </c>
      <c r="AM820" t="s">
        <v>260</v>
      </c>
      <c r="AN820">
        <v>1400</v>
      </c>
      <c r="AO820">
        <v>0</v>
      </c>
      <c r="AP820">
        <v>35</v>
      </c>
      <c r="AQ820">
        <v>85</v>
      </c>
      <c r="AR820">
        <v>35</v>
      </c>
      <c r="AS820">
        <v>2</v>
      </c>
      <c r="AT820">
        <v>23</v>
      </c>
      <c r="AU820">
        <v>1</v>
      </c>
      <c r="AV820">
        <v>0</v>
      </c>
      <c r="AW820">
        <v>10</v>
      </c>
      <c r="AX820">
        <v>1</v>
      </c>
      <c r="AY820">
        <v>7</v>
      </c>
      <c r="AZ820">
        <v>3</v>
      </c>
      <c r="BA820">
        <v>1</v>
      </c>
      <c r="BB820">
        <v>1440</v>
      </c>
      <c r="BC820">
        <v>0</v>
      </c>
      <c r="BD820">
        <v>0</v>
      </c>
      <c r="BE820">
        <v>14</v>
      </c>
      <c r="BF820">
        <v>25</v>
      </c>
      <c r="BG820">
        <v>3</v>
      </c>
      <c r="BH820">
        <v>8</v>
      </c>
      <c r="BI820">
        <v>3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0</v>
      </c>
      <c r="BQ820">
        <v>60</v>
      </c>
      <c r="BR820">
        <v>0</v>
      </c>
      <c r="BS820">
        <v>3</v>
      </c>
      <c r="BT820" t="s">
        <v>248</v>
      </c>
      <c r="BU820" t="s">
        <v>270</v>
      </c>
      <c r="BV820" t="b">
        <v>0</v>
      </c>
      <c r="BW820" t="s">
        <v>271</v>
      </c>
    </row>
    <row r="821" spans="1:75">
      <c r="A821" t="s">
        <v>248</v>
      </c>
      <c r="B821" t="s">
        <v>252</v>
      </c>
      <c r="C821">
        <v>703</v>
      </c>
      <c r="D821" t="s">
        <v>253</v>
      </c>
      <c r="E821" t="s">
        <v>254</v>
      </c>
      <c r="F821">
        <v>5</v>
      </c>
      <c r="G821" s="13">
        <v>46267.208912037036</v>
      </c>
      <c r="H821" s="13">
        <v>46267.216296296298</v>
      </c>
      <c r="I821">
        <v>638</v>
      </c>
      <c r="J821" t="s">
        <v>264</v>
      </c>
      <c r="K821">
        <v>2</v>
      </c>
      <c r="L821">
        <v>0.08</v>
      </c>
      <c r="M821">
        <v>0.04</v>
      </c>
      <c r="N821">
        <v>2</v>
      </c>
      <c r="O821">
        <v>0.08</v>
      </c>
      <c r="P821">
        <v>54.52</v>
      </c>
      <c r="Q821">
        <v>27.04</v>
      </c>
      <c r="R821">
        <v>23.28</v>
      </c>
      <c r="S821" t="s">
        <v>263</v>
      </c>
      <c r="T821" t="s">
        <v>257</v>
      </c>
      <c r="U821">
        <v>11</v>
      </c>
      <c r="V821">
        <v>7883.43</v>
      </c>
      <c r="W821">
        <v>4999.3599999999997</v>
      </c>
      <c r="X821">
        <v>4945.4799999999996</v>
      </c>
      <c r="Y821">
        <v>0</v>
      </c>
      <c r="Z821">
        <v>0</v>
      </c>
      <c r="AA821">
        <v>35</v>
      </c>
      <c r="AB821">
        <v>50</v>
      </c>
      <c r="AC821">
        <v>5000</v>
      </c>
      <c r="AD821">
        <v>0</v>
      </c>
      <c r="AE821">
        <v>0</v>
      </c>
      <c r="AF821">
        <v>7907.51</v>
      </c>
      <c r="AG821">
        <v>7907.51</v>
      </c>
      <c r="AH821" s="14">
        <v>46267</v>
      </c>
      <c r="AI821" t="s">
        <v>269</v>
      </c>
      <c r="AJ821" s="13">
        <v>46265.054768518516</v>
      </c>
      <c r="AK821">
        <v>7052.98</v>
      </c>
      <c r="AL821" t="s">
        <v>259</v>
      </c>
      <c r="AM821" t="s">
        <v>260</v>
      </c>
      <c r="AN821">
        <v>1400</v>
      </c>
      <c r="AO821">
        <v>0</v>
      </c>
      <c r="AP821">
        <v>35</v>
      </c>
      <c r="AQ821">
        <v>85</v>
      </c>
      <c r="AR821">
        <v>35</v>
      </c>
      <c r="AS821">
        <v>2</v>
      </c>
      <c r="AT821">
        <v>23</v>
      </c>
      <c r="AU821">
        <v>1</v>
      </c>
      <c r="AV821">
        <v>0</v>
      </c>
      <c r="AW821">
        <v>10</v>
      </c>
      <c r="AX821">
        <v>1</v>
      </c>
      <c r="AY821">
        <v>7</v>
      </c>
      <c r="AZ821">
        <v>3</v>
      </c>
      <c r="BA821">
        <v>1</v>
      </c>
      <c r="BB821">
        <v>1440</v>
      </c>
      <c r="BC821">
        <v>0</v>
      </c>
      <c r="BD821">
        <v>0</v>
      </c>
      <c r="BE821">
        <v>14</v>
      </c>
      <c r="BF821">
        <v>25</v>
      </c>
      <c r="BG821">
        <v>3</v>
      </c>
      <c r="BH821">
        <v>8</v>
      </c>
      <c r="BI821">
        <v>3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0</v>
      </c>
      <c r="BQ821">
        <v>60</v>
      </c>
      <c r="BR821">
        <v>0</v>
      </c>
      <c r="BS821">
        <v>3</v>
      </c>
      <c r="BT821" t="s">
        <v>248</v>
      </c>
      <c r="BU821" t="s">
        <v>270</v>
      </c>
      <c r="BV821" t="b">
        <v>0</v>
      </c>
      <c r="BW821" t="s">
        <v>271</v>
      </c>
    </row>
    <row r="822" spans="1:75">
      <c r="A822" t="s">
        <v>248</v>
      </c>
      <c r="B822" t="s">
        <v>252</v>
      </c>
      <c r="C822">
        <v>704</v>
      </c>
      <c r="D822" t="s">
        <v>253</v>
      </c>
      <c r="E822" t="s">
        <v>254</v>
      </c>
      <c r="F822">
        <v>5</v>
      </c>
      <c r="G822" s="13">
        <v>46267.216365740744</v>
      </c>
      <c r="H822" s="13">
        <v>46267.218043981484</v>
      </c>
      <c r="I822">
        <v>145</v>
      </c>
      <c r="J822" t="s">
        <v>255</v>
      </c>
      <c r="K822">
        <v>1</v>
      </c>
      <c r="L822">
        <v>0.04</v>
      </c>
      <c r="M822">
        <v>0.04</v>
      </c>
      <c r="N822">
        <v>1</v>
      </c>
      <c r="O822">
        <v>0.04</v>
      </c>
      <c r="P822">
        <v>8.9600000000000009</v>
      </c>
      <c r="Q822">
        <v>4.16</v>
      </c>
      <c r="R822">
        <v>4.16</v>
      </c>
      <c r="S822" t="s">
        <v>256</v>
      </c>
      <c r="T822" t="s">
        <v>257</v>
      </c>
      <c r="U822">
        <v>10</v>
      </c>
      <c r="V822">
        <v>7906.87</v>
      </c>
      <c r="W822">
        <v>4999.3599999999997</v>
      </c>
      <c r="X822">
        <v>4991.04</v>
      </c>
      <c r="Y822">
        <v>0</v>
      </c>
      <c r="Z822">
        <v>0</v>
      </c>
      <c r="AA822">
        <v>35</v>
      </c>
      <c r="AB822">
        <v>50</v>
      </c>
      <c r="AC822">
        <v>5000</v>
      </c>
      <c r="AD822">
        <v>0</v>
      </c>
      <c r="AE822">
        <v>0</v>
      </c>
      <c r="AF822">
        <v>7910.23</v>
      </c>
      <c r="AG822">
        <v>7910.23</v>
      </c>
      <c r="AH822" s="14">
        <v>46267</v>
      </c>
      <c r="AI822" t="s">
        <v>269</v>
      </c>
      <c r="AJ822" s="13">
        <v>46265.054768518516</v>
      </c>
      <c r="AK822">
        <v>7052.98</v>
      </c>
      <c r="AL822" t="s">
        <v>259</v>
      </c>
      <c r="AM822" t="s">
        <v>260</v>
      </c>
      <c r="AN822">
        <v>1400</v>
      </c>
      <c r="AO822">
        <v>0</v>
      </c>
      <c r="AP822">
        <v>35</v>
      </c>
      <c r="AQ822">
        <v>85</v>
      </c>
      <c r="AR822">
        <v>35</v>
      </c>
      <c r="AS822">
        <v>2</v>
      </c>
      <c r="AT822">
        <v>23</v>
      </c>
      <c r="AU822">
        <v>1</v>
      </c>
      <c r="AV822">
        <v>0</v>
      </c>
      <c r="AW822">
        <v>10</v>
      </c>
      <c r="AX822">
        <v>1</v>
      </c>
      <c r="AY822">
        <v>7</v>
      </c>
      <c r="AZ822">
        <v>3</v>
      </c>
      <c r="BA822">
        <v>1</v>
      </c>
      <c r="BB822">
        <v>1440</v>
      </c>
      <c r="BC822">
        <v>0</v>
      </c>
      <c r="BD822">
        <v>0</v>
      </c>
      <c r="BE822">
        <v>14</v>
      </c>
      <c r="BF822">
        <v>25</v>
      </c>
      <c r="BG822">
        <v>3</v>
      </c>
      <c r="BH822">
        <v>8</v>
      </c>
      <c r="BI822">
        <v>3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0</v>
      </c>
      <c r="BQ822">
        <v>60</v>
      </c>
      <c r="BR822">
        <v>0</v>
      </c>
      <c r="BS822">
        <v>3</v>
      </c>
      <c r="BT822" t="s">
        <v>248</v>
      </c>
      <c r="BU822" t="s">
        <v>270</v>
      </c>
      <c r="BV822" t="b">
        <v>0</v>
      </c>
      <c r="BW822" t="s">
        <v>271</v>
      </c>
    </row>
    <row r="823" spans="1:75">
      <c r="A823" t="s">
        <v>248</v>
      </c>
      <c r="B823" t="s">
        <v>252</v>
      </c>
      <c r="C823">
        <v>705</v>
      </c>
      <c r="D823" t="s">
        <v>253</v>
      </c>
      <c r="E823" t="s">
        <v>254</v>
      </c>
      <c r="F823">
        <v>5</v>
      </c>
      <c r="G823" s="13">
        <v>46267.219884259262</v>
      </c>
      <c r="H823" s="13">
        <v>46267.221643518518</v>
      </c>
      <c r="I823">
        <v>152</v>
      </c>
      <c r="J823" t="s">
        <v>255</v>
      </c>
      <c r="K823">
        <v>1</v>
      </c>
      <c r="L823">
        <v>0.04</v>
      </c>
      <c r="M823">
        <v>0.04</v>
      </c>
      <c r="N823">
        <v>1</v>
      </c>
      <c r="O823">
        <v>0.04</v>
      </c>
      <c r="P823">
        <v>4.04</v>
      </c>
      <c r="Q823">
        <v>3.92</v>
      </c>
      <c r="R823">
        <v>2.76</v>
      </c>
      <c r="S823" t="s">
        <v>256</v>
      </c>
      <c r="T823" t="s">
        <v>257</v>
      </c>
      <c r="U823">
        <v>14</v>
      </c>
      <c r="V823">
        <v>7909.43</v>
      </c>
      <c r="W823">
        <v>4999.2</v>
      </c>
      <c r="X823">
        <v>4995.96</v>
      </c>
      <c r="Y823">
        <v>0</v>
      </c>
      <c r="Z823">
        <v>0</v>
      </c>
      <c r="AA823">
        <v>35</v>
      </c>
      <c r="AB823">
        <v>50</v>
      </c>
      <c r="AC823">
        <v>5000</v>
      </c>
      <c r="AD823">
        <v>0</v>
      </c>
      <c r="AE823">
        <v>0</v>
      </c>
      <c r="AF823">
        <v>7912.75</v>
      </c>
      <c r="AG823">
        <v>7912.75</v>
      </c>
      <c r="AH823" s="14">
        <v>46267</v>
      </c>
      <c r="AI823" t="s">
        <v>269</v>
      </c>
      <c r="AJ823" s="13">
        <v>46265.054768518516</v>
      </c>
      <c r="AK823">
        <v>7052.98</v>
      </c>
      <c r="AL823" t="s">
        <v>259</v>
      </c>
      <c r="AM823" t="s">
        <v>260</v>
      </c>
      <c r="AN823">
        <v>1400</v>
      </c>
      <c r="AO823">
        <v>0</v>
      </c>
      <c r="AP823">
        <v>35</v>
      </c>
      <c r="AQ823">
        <v>85</v>
      </c>
      <c r="AR823">
        <v>35</v>
      </c>
      <c r="AS823">
        <v>2</v>
      </c>
      <c r="AT823">
        <v>23</v>
      </c>
      <c r="AU823">
        <v>1</v>
      </c>
      <c r="AV823">
        <v>0</v>
      </c>
      <c r="AW823">
        <v>10</v>
      </c>
      <c r="AX823">
        <v>1</v>
      </c>
      <c r="AY823">
        <v>7</v>
      </c>
      <c r="AZ823">
        <v>3</v>
      </c>
      <c r="BA823">
        <v>1</v>
      </c>
      <c r="BB823">
        <v>1440</v>
      </c>
      <c r="BC823">
        <v>0</v>
      </c>
      <c r="BD823">
        <v>0</v>
      </c>
      <c r="BE823">
        <v>14</v>
      </c>
      <c r="BF823">
        <v>25</v>
      </c>
      <c r="BG823">
        <v>3</v>
      </c>
      <c r="BH823">
        <v>8</v>
      </c>
      <c r="BI823">
        <v>3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0</v>
      </c>
      <c r="BQ823">
        <v>60</v>
      </c>
      <c r="BR823">
        <v>0</v>
      </c>
      <c r="BS823">
        <v>3</v>
      </c>
      <c r="BT823" t="s">
        <v>248</v>
      </c>
      <c r="BU823" t="s">
        <v>270</v>
      </c>
      <c r="BV823" t="b">
        <v>0</v>
      </c>
      <c r="BW823" t="s">
        <v>271</v>
      </c>
    </row>
    <row r="824" spans="1:75">
      <c r="A824" t="s">
        <v>248</v>
      </c>
      <c r="B824" t="s">
        <v>252</v>
      </c>
      <c r="C824">
        <v>706</v>
      </c>
      <c r="D824" t="s">
        <v>253</v>
      </c>
      <c r="E824" t="s">
        <v>254</v>
      </c>
      <c r="F824">
        <v>5</v>
      </c>
      <c r="G824" s="13">
        <v>46267.222928240742</v>
      </c>
      <c r="H824" s="13">
        <v>46267.231111111112</v>
      </c>
      <c r="I824">
        <v>707</v>
      </c>
      <c r="J824" t="s">
        <v>255</v>
      </c>
      <c r="K824">
        <v>3</v>
      </c>
      <c r="L824">
        <v>0.12</v>
      </c>
      <c r="M824">
        <v>0.04</v>
      </c>
      <c r="N824">
        <v>3</v>
      </c>
      <c r="O824">
        <v>0.12</v>
      </c>
      <c r="P824">
        <v>30</v>
      </c>
      <c r="Q824">
        <v>8.8000000000000007</v>
      </c>
      <c r="R824">
        <v>5.08</v>
      </c>
      <c r="S824" t="s">
        <v>263</v>
      </c>
      <c r="T824" t="s">
        <v>257</v>
      </c>
      <c r="U824">
        <v>11</v>
      </c>
      <c r="V824">
        <v>7912.07</v>
      </c>
      <c r="W824">
        <v>4999.32</v>
      </c>
      <c r="X824">
        <v>4970</v>
      </c>
      <c r="Y824">
        <v>0</v>
      </c>
      <c r="Z824">
        <v>0</v>
      </c>
      <c r="AA824">
        <v>35</v>
      </c>
      <c r="AB824">
        <v>50</v>
      </c>
      <c r="AC824">
        <v>5000</v>
      </c>
      <c r="AD824">
        <v>0</v>
      </c>
      <c r="AE824">
        <v>0</v>
      </c>
      <c r="AF824">
        <v>7918.39</v>
      </c>
      <c r="AG824">
        <v>7918.39</v>
      </c>
      <c r="AH824" s="14">
        <v>46267</v>
      </c>
      <c r="AI824" t="s">
        <v>269</v>
      </c>
      <c r="AJ824" s="13">
        <v>46265.054768518516</v>
      </c>
      <c r="AK824">
        <v>7052.98</v>
      </c>
      <c r="AL824" t="s">
        <v>259</v>
      </c>
      <c r="AM824" t="s">
        <v>260</v>
      </c>
      <c r="AN824">
        <v>1400</v>
      </c>
      <c r="AO824">
        <v>0</v>
      </c>
      <c r="AP824">
        <v>35</v>
      </c>
      <c r="AQ824">
        <v>85</v>
      </c>
      <c r="AR824">
        <v>35</v>
      </c>
      <c r="AS824">
        <v>2</v>
      </c>
      <c r="AT824">
        <v>23</v>
      </c>
      <c r="AU824">
        <v>1</v>
      </c>
      <c r="AV824">
        <v>0</v>
      </c>
      <c r="AW824">
        <v>10</v>
      </c>
      <c r="AX824">
        <v>1</v>
      </c>
      <c r="AY824">
        <v>7</v>
      </c>
      <c r="AZ824">
        <v>3</v>
      </c>
      <c r="BA824">
        <v>1</v>
      </c>
      <c r="BB824">
        <v>1440</v>
      </c>
      <c r="BC824">
        <v>0</v>
      </c>
      <c r="BD824">
        <v>0</v>
      </c>
      <c r="BE824">
        <v>14</v>
      </c>
      <c r="BF824">
        <v>25</v>
      </c>
      <c r="BG824">
        <v>3</v>
      </c>
      <c r="BH824">
        <v>8</v>
      </c>
      <c r="BI824">
        <v>3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0</v>
      </c>
      <c r="BQ824">
        <v>60</v>
      </c>
      <c r="BR824">
        <v>0</v>
      </c>
      <c r="BS824">
        <v>3</v>
      </c>
      <c r="BT824" t="s">
        <v>248</v>
      </c>
      <c r="BU824" t="s">
        <v>270</v>
      </c>
      <c r="BV824" t="b">
        <v>0</v>
      </c>
      <c r="BW824" t="s">
        <v>271</v>
      </c>
    </row>
    <row r="825" spans="1:75">
      <c r="A825" t="s">
        <v>248</v>
      </c>
      <c r="B825" t="s">
        <v>252</v>
      </c>
      <c r="C825">
        <v>707</v>
      </c>
      <c r="D825" t="s">
        <v>253</v>
      </c>
      <c r="E825" t="s">
        <v>254</v>
      </c>
      <c r="F825">
        <v>5</v>
      </c>
      <c r="G825" s="13">
        <v>46267.233622685184</v>
      </c>
      <c r="H825" s="13">
        <v>46267.234652777777</v>
      </c>
      <c r="I825">
        <v>89</v>
      </c>
      <c r="J825" t="s">
        <v>255</v>
      </c>
      <c r="K825">
        <v>1</v>
      </c>
      <c r="L825">
        <v>0.04</v>
      </c>
      <c r="M825">
        <v>0.04</v>
      </c>
      <c r="N825">
        <v>1</v>
      </c>
      <c r="O825">
        <v>0.04</v>
      </c>
      <c r="P825">
        <v>5.76</v>
      </c>
      <c r="Q825">
        <v>10.24</v>
      </c>
      <c r="R825">
        <v>9</v>
      </c>
      <c r="S825" t="s">
        <v>256</v>
      </c>
      <c r="T825" t="s">
        <v>257</v>
      </c>
      <c r="U825">
        <v>10</v>
      </c>
      <c r="V825">
        <v>7917.75</v>
      </c>
      <c r="W825">
        <v>4999.3599999999997</v>
      </c>
      <c r="X825">
        <v>4994.24</v>
      </c>
      <c r="Y825">
        <v>0</v>
      </c>
      <c r="Z825">
        <v>0</v>
      </c>
      <c r="AA825">
        <v>35</v>
      </c>
      <c r="AB825">
        <v>50</v>
      </c>
      <c r="AC825">
        <v>5000</v>
      </c>
      <c r="AD825">
        <v>0</v>
      </c>
      <c r="AE825">
        <v>0</v>
      </c>
      <c r="AF825">
        <v>7927.23</v>
      </c>
      <c r="AG825">
        <v>7927.23</v>
      </c>
      <c r="AH825" s="14">
        <v>46267</v>
      </c>
      <c r="AI825" t="s">
        <v>269</v>
      </c>
      <c r="AJ825" s="13">
        <v>46265.054768518516</v>
      </c>
      <c r="AK825">
        <v>7052.98</v>
      </c>
      <c r="AL825" t="s">
        <v>259</v>
      </c>
      <c r="AM825" t="s">
        <v>260</v>
      </c>
      <c r="AN825">
        <v>1400</v>
      </c>
      <c r="AO825">
        <v>0</v>
      </c>
      <c r="AP825">
        <v>35</v>
      </c>
      <c r="AQ825">
        <v>85</v>
      </c>
      <c r="AR825">
        <v>35</v>
      </c>
      <c r="AS825">
        <v>2</v>
      </c>
      <c r="AT825">
        <v>23</v>
      </c>
      <c r="AU825">
        <v>1</v>
      </c>
      <c r="AV825">
        <v>0</v>
      </c>
      <c r="AW825">
        <v>10</v>
      </c>
      <c r="AX825">
        <v>1</v>
      </c>
      <c r="AY825">
        <v>7</v>
      </c>
      <c r="AZ825">
        <v>3</v>
      </c>
      <c r="BA825">
        <v>1</v>
      </c>
      <c r="BB825">
        <v>1440</v>
      </c>
      <c r="BC825">
        <v>0</v>
      </c>
      <c r="BD825">
        <v>0</v>
      </c>
      <c r="BE825">
        <v>14</v>
      </c>
      <c r="BF825">
        <v>25</v>
      </c>
      <c r="BG825">
        <v>3</v>
      </c>
      <c r="BH825">
        <v>8</v>
      </c>
      <c r="BI825">
        <v>3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0</v>
      </c>
      <c r="BQ825">
        <v>60</v>
      </c>
      <c r="BR825">
        <v>0</v>
      </c>
      <c r="BS825">
        <v>3</v>
      </c>
      <c r="BT825" t="s">
        <v>248</v>
      </c>
      <c r="BU825" t="s">
        <v>270</v>
      </c>
      <c r="BV825" t="b">
        <v>0</v>
      </c>
      <c r="BW825" t="s">
        <v>271</v>
      </c>
    </row>
    <row r="826" spans="1:75">
      <c r="A826" t="s">
        <v>248</v>
      </c>
      <c r="B826" t="s">
        <v>252</v>
      </c>
      <c r="C826">
        <v>708</v>
      </c>
      <c r="D826" t="s">
        <v>253</v>
      </c>
      <c r="E826" t="s">
        <v>254</v>
      </c>
      <c r="F826">
        <v>5</v>
      </c>
      <c r="G826" s="13">
        <v>46267.238402777781</v>
      </c>
      <c r="H826" s="13">
        <v>46267.239745370367</v>
      </c>
      <c r="I826">
        <v>116</v>
      </c>
      <c r="J826" t="s">
        <v>264</v>
      </c>
      <c r="K826">
        <v>1</v>
      </c>
      <c r="L826">
        <v>0.04</v>
      </c>
      <c r="M826">
        <v>0.04</v>
      </c>
      <c r="N826">
        <v>1</v>
      </c>
      <c r="O826">
        <v>0.04</v>
      </c>
      <c r="P826">
        <v>12.84</v>
      </c>
      <c r="Q826">
        <v>3.56</v>
      </c>
      <c r="R826">
        <v>2.6</v>
      </c>
      <c r="S826" t="s">
        <v>256</v>
      </c>
      <c r="T826" t="s">
        <v>257</v>
      </c>
      <c r="U826">
        <v>10</v>
      </c>
      <c r="V826">
        <v>7926.59</v>
      </c>
      <c r="W826">
        <v>4999.3599999999997</v>
      </c>
      <c r="X826">
        <v>4987.16</v>
      </c>
      <c r="Y826">
        <v>0</v>
      </c>
      <c r="Z826">
        <v>0</v>
      </c>
      <c r="AA826">
        <v>35</v>
      </c>
      <c r="AB826">
        <v>50</v>
      </c>
      <c r="AC826">
        <v>5000</v>
      </c>
      <c r="AD826">
        <v>0</v>
      </c>
      <c r="AE826">
        <v>0</v>
      </c>
      <c r="AF826">
        <v>7929.39</v>
      </c>
      <c r="AG826">
        <v>7929.39</v>
      </c>
      <c r="AH826" s="14">
        <v>46267</v>
      </c>
      <c r="AI826" t="s">
        <v>269</v>
      </c>
      <c r="AJ826" s="13">
        <v>46265.054768518516</v>
      </c>
      <c r="AK826">
        <v>7052.98</v>
      </c>
      <c r="AL826" t="s">
        <v>259</v>
      </c>
      <c r="AM826" t="s">
        <v>260</v>
      </c>
      <c r="AN826">
        <v>1400</v>
      </c>
      <c r="AO826">
        <v>0</v>
      </c>
      <c r="AP826">
        <v>35</v>
      </c>
      <c r="AQ826">
        <v>85</v>
      </c>
      <c r="AR826">
        <v>35</v>
      </c>
      <c r="AS826">
        <v>2</v>
      </c>
      <c r="AT826">
        <v>23</v>
      </c>
      <c r="AU826">
        <v>1</v>
      </c>
      <c r="AV826">
        <v>0</v>
      </c>
      <c r="AW826">
        <v>10</v>
      </c>
      <c r="AX826">
        <v>1</v>
      </c>
      <c r="AY826">
        <v>7</v>
      </c>
      <c r="AZ826">
        <v>3</v>
      </c>
      <c r="BA826">
        <v>1</v>
      </c>
      <c r="BB826">
        <v>1440</v>
      </c>
      <c r="BC826">
        <v>0</v>
      </c>
      <c r="BD826">
        <v>0</v>
      </c>
      <c r="BE826">
        <v>14</v>
      </c>
      <c r="BF826">
        <v>25</v>
      </c>
      <c r="BG826">
        <v>3</v>
      </c>
      <c r="BH826">
        <v>8</v>
      </c>
      <c r="BI826">
        <v>3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0</v>
      </c>
      <c r="BQ826">
        <v>60</v>
      </c>
      <c r="BR826">
        <v>0</v>
      </c>
      <c r="BS826">
        <v>3</v>
      </c>
      <c r="BT826" t="s">
        <v>248</v>
      </c>
      <c r="BU826" t="s">
        <v>270</v>
      </c>
      <c r="BV826" t="b">
        <v>0</v>
      </c>
      <c r="BW826" t="s">
        <v>271</v>
      </c>
    </row>
    <row r="827" spans="1:75">
      <c r="A827" t="s">
        <v>248</v>
      </c>
      <c r="B827" t="s">
        <v>252</v>
      </c>
      <c r="C827">
        <v>709</v>
      </c>
      <c r="D827" t="s">
        <v>253</v>
      </c>
      <c r="E827" t="s">
        <v>254</v>
      </c>
      <c r="F827">
        <v>5</v>
      </c>
      <c r="G827" s="13">
        <v>46267.243946759256</v>
      </c>
      <c r="H827" s="13">
        <v>46267.246053240742</v>
      </c>
      <c r="I827">
        <v>182</v>
      </c>
      <c r="J827" t="s">
        <v>264</v>
      </c>
      <c r="K827">
        <v>1</v>
      </c>
      <c r="L827">
        <v>0.04</v>
      </c>
      <c r="M827">
        <v>0.04</v>
      </c>
      <c r="N827">
        <v>1</v>
      </c>
      <c r="O827">
        <v>0.04</v>
      </c>
      <c r="P827">
        <v>5.04</v>
      </c>
      <c r="Q827">
        <v>4.84</v>
      </c>
      <c r="R827">
        <v>3.64</v>
      </c>
      <c r="S827" t="s">
        <v>256</v>
      </c>
      <c r="T827" t="s">
        <v>257</v>
      </c>
      <c r="U827">
        <v>10</v>
      </c>
      <c r="V827">
        <v>7928.75</v>
      </c>
      <c r="W827">
        <v>4999.3599999999997</v>
      </c>
      <c r="X827">
        <v>4994.96</v>
      </c>
      <c r="Y827">
        <v>0</v>
      </c>
      <c r="Z827">
        <v>0</v>
      </c>
      <c r="AA827">
        <v>35</v>
      </c>
      <c r="AB827">
        <v>50</v>
      </c>
      <c r="AC827">
        <v>5000</v>
      </c>
      <c r="AD827">
        <v>0</v>
      </c>
      <c r="AE827">
        <v>0</v>
      </c>
      <c r="AF827">
        <v>7932.83</v>
      </c>
      <c r="AG827">
        <v>7932.83</v>
      </c>
      <c r="AH827" s="14">
        <v>46267</v>
      </c>
      <c r="AI827" t="s">
        <v>269</v>
      </c>
      <c r="AJ827" s="13">
        <v>46265.054768518516</v>
      </c>
      <c r="AK827">
        <v>7052.98</v>
      </c>
      <c r="AL827" t="s">
        <v>259</v>
      </c>
      <c r="AM827" t="s">
        <v>260</v>
      </c>
      <c r="AN827">
        <v>1400</v>
      </c>
      <c r="AO827">
        <v>0</v>
      </c>
      <c r="AP827">
        <v>35</v>
      </c>
      <c r="AQ827">
        <v>85</v>
      </c>
      <c r="AR827">
        <v>35</v>
      </c>
      <c r="AS827">
        <v>2</v>
      </c>
      <c r="AT827">
        <v>23</v>
      </c>
      <c r="AU827">
        <v>1</v>
      </c>
      <c r="AV827">
        <v>0</v>
      </c>
      <c r="AW827">
        <v>10</v>
      </c>
      <c r="AX827">
        <v>1</v>
      </c>
      <c r="AY827">
        <v>7</v>
      </c>
      <c r="AZ827">
        <v>3</v>
      </c>
      <c r="BA827">
        <v>1</v>
      </c>
      <c r="BB827">
        <v>1440</v>
      </c>
      <c r="BC827">
        <v>0</v>
      </c>
      <c r="BD827">
        <v>0</v>
      </c>
      <c r="BE827">
        <v>14</v>
      </c>
      <c r="BF827">
        <v>25</v>
      </c>
      <c r="BG827">
        <v>3</v>
      </c>
      <c r="BH827">
        <v>8</v>
      </c>
      <c r="BI827">
        <v>3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0</v>
      </c>
      <c r="BQ827">
        <v>60</v>
      </c>
      <c r="BR827">
        <v>0</v>
      </c>
      <c r="BS827">
        <v>3</v>
      </c>
      <c r="BT827" t="s">
        <v>248</v>
      </c>
      <c r="BU827" t="s">
        <v>270</v>
      </c>
      <c r="BV827" t="b">
        <v>0</v>
      </c>
      <c r="BW827" t="s">
        <v>271</v>
      </c>
    </row>
    <row r="828" spans="1:75">
      <c r="A828" t="s">
        <v>248</v>
      </c>
      <c r="B828" t="s">
        <v>252</v>
      </c>
      <c r="C828">
        <v>710</v>
      </c>
      <c r="D828" t="s">
        <v>253</v>
      </c>
      <c r="E828" t="s">
        <v>254</v>
      </c>
      <c r="F828">
        <v>5</v>
      </c>
      <c r="G828" s="13">
        <v>46267.247974537036</v>
      </c>
      <c r="H828" s="13">
        <v>46267.249155092592</v>
      </c>
      <c r="I828">
        <v>102</v>
      </c>
      <c r="J828" t="s">
        <v>264</v>
      </c>
      <c r="K828">
        <v>1</v>
      </c>
      <c r="L828">
        <v>0.04</v>
      </c>
      <c r="M828">
        <v>0.04</v>
      </c>
      <c r="N828">
        <v>1</v>
      </c>
      <c r="O828">
        <v>0.04</v>
      </c>
      <c r="P828">
        <v>5.6</v>
      </c>
      <c r="Q828">
        <v>4.76</v>
      </c>
      <c r="R828">
        <v>3.44</v>
      </c>
      <c r="S828" t="s">
        <v>256</v>
      </c>
      <c r="T828" t="s">
        <v>257</v>
      </c>
      <c r="U828">
        <v>11</v>
      </c>
      <c r="V828">
        <v>7932.19</v>
      </c>
      <c r="W828">
        <v>4999.3599999999997</v>
      </c>
      <c r="X828">
        <v>4994.3999999999996</v>
      </c>
      <c r="Y828">
        <v>0</v>
      </c>
      <c r="Z828">
        <v>0</v>
      </c>
      <c r="AA828">
        <v>35</v>
      </c>
      <c r="AB828">
        <v>50</v>
      </c>
      <c r="AC828">
        <v>5000</v>
      </c>
      <c r="AD828">
        <v>0</v>
      </c>
      <c r="AE828">
        <v>0</v>
      </c>
      <c r="AF828">
        <v>7936.15</v>
      </c>
      <c r="AG828">
        <v>7936.15</v>
      </c>
      <c r="AH828" s="14">
        <v>46267</v>
      </c>
      <c r="AI828" t="s">
        <v>269</v>
      </c>
      <c r="AJ828" s="13">
        <v>46265.054768518516</v>
      </c>
      <c r="AK828">
        <v>7052.98</v>
      </c>
      <c r="AL828" t="s">
        <v>259</v>
      </c>
      <c r="AM828" t="s">
        <v>260</v>
      </c>
      <c r="AN828">
        <v>1400</v>
      </c>
      <c r="AO828">
        <v>0</v>
      </c>
      <c r="AP828">
        <v>35</v>
      </c>
      <c r="AQ828">
        <v>85</v>
      </c>
      <c r="AR828">
        <v>35</v>
      </c>
      <c r="AS828">
        <v>2</v>
      </c>
      <c r="AT828">
        <v>23</v>
      </c>
      <c r="AU828">
        <v>1</v>
      </c>
      <c r="AV828">
        <v>0</v>
      </c>
      <c r="AW828">
        <v>10</v>
      </c>
      <c r="AX828">
        <v>1</v>
      </c>
      <c r="AY828">
        <v>7</v>
      </c>
      <c r="AZ828">
        <v>3</v>
      </c>
      <c r="BA828">
        <v>1</v>
      </c>
      <c r="BB828">
        <v>1440</v>
      </c>
      <c r="BC828">
        <v>0</v>
      </c>
      <c r="BD828">
        <v>0</v>
      </c>
      <c r="BE828">
        <v>14</v>
      </c>
      <c r="BF828">
        <v>25</v>
      </c>
      <c r="BG828">
        <v>3</v>
      </c>
      <c r="BH828">
        <v>8</v>
      </c>
      <c r="BI828">
        <v>3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0</v>
      </c>
      <c r="BQ828">
        <v>60</v>
      </c>
      <c r="BR828">
        <v>0</v>
      </c>
      <c r="BS828">
        <v>3</v>
      </c>
      <c r="BT828" t="s">
        <v>248</v>
      </c>
      <c r="BU828" t="s">
        <v>270</v>
      </c>
      <c r="BV828" t="b">
        <v>0</v>
      </c>
      <c r="BW828" t="s">
        <v>271</v>
      </c>
    </row>
    <row r="829" spans="1:75">
      <c r="A829" t="s">
        <v>248</v>
      </c>
      <c r="B829" t="s">
        <v>252</v>
      </c>
      <c r="C829">
        <v>711</v>
      </c>
      <c r="D829" t="s">
        <v>253</v>
      </c>
      <c r="E829" t="s">
        <v>254</v>
      </c>
      <c r="F829">
        <v>5</v>
      </c>
      <c r="G829" s="13">
        <v>46267.251747685186</v>
      </c>
      <c r="H829" s="13">
        <v>46267.251979166664</v>
      </c>
      <c r="I829">
        <v>20</v>
      </c>
      <c r="J829" t="s">
        <v>264</v>
      </c>
      <c r="K829">
        <v>1</v>
      </c>
      <c r="L829">
        <v>0.04</v>
      </c>
      <c r="M829">
        <v>0.04</v>
      </c>
      <c r="N829">
        <v>1</v>
      </c>
      <c r="O829">
        <v>0.04</v>
      </c>
      <c r="P829">
        <v>0.88</v>
      </c>
      <c r="Q829">
        <v>4.16</v>
      </c>
      <c r="R829">
        <v>3.84</v>
      </c>
      <c r="S829" t="s">
        <v>256</v>
      </c>
      <c r="T829" t="s">
        <v>257</v>
      </c>
      <c r="U829">
        <v>10</v>
      </c>
      <c r="V829">
        <v>7935.51</v>
      </c>
      <c r="W829">
        <v>4999.3599999999997</v>
      </c>
      <c r="X829">
        <v>4999.12</v>
      </c>
      <c r="Y829">
        <v>0</v>
      </c>
      <c r="Z829">
        <v>0</v>
      </c>
      <c r="AA829">
        <v>35</v>
      </c>
      <c r="AB829">
        <v>50</v>
      </c>
      <c r="AC829">
        <v>5000</v>
      </c>
      <c r="AD829">
        <v>0</v>
      </c>
      <c r="AE829">
        <v>0</v>
      </c>
      <c r="AF829">
        <v>7938.87</v>
      </c>
      <c r="AG829">
        <v>7938.87</v>
      </c>
      <c r="AH829" s="14">
        <v>46267</v>
      </c>
      <c r="AI829" t="s">
        <v>269</v>
      </c>
      <c r="AJ829" s="13">
        <v>46265.054768518516</v>
      </c>
      <c r="AK829">
        <v>7052.98</v>
      </c>
      <c r="AL829" t="s">
        <v>259</v>
      </c>
      <c r="AM829" t="s">
        <v>260</v>
      </c>
      <c r="AN829">
        <v>1400</v>
      </c>
      <c r="AO829">
        <v>0</v>
      </c>
      <c r="AP829">
        <v>35</v>
      </c>
      <c r="AQ829">
        <v>85</v>
      </c>
      <c r="AR829">
        <v>35</v>
      </c>
      <c r="AS829">
        <v>2</v>
      </c>
      <c r="AT829">
        <v>23</v>
      </c>
      <c r="AU829">
        <v>1</v>
      </c>
      <c r="AV829">
        <v>0</v>
      </c>
      <c r="AW829">
        <v>10</v>
      </c>
      <c r="AX829">
        <v>1</v>
      </c>
      <c r="AY829">
        <v>7</v>
      </c>
      <c r="AZ829">
        <v>3</v>
      </c>
      <c r="BA829">
        <v>1</v>
      </c>
      <c r="BB829">
        <v>1440</v>
      </c>
      <c r="BC829">
        <v>0</v>
      </c>
      <c r="BD829">
        <v>0</v>
      </c>
      <c r="BE829">
        <v>14</v>
      </c>
      <c r="BF829">
        <v>25</v>
      </c>
      <c r="BG829">
        <v>3</v>
      </c>
      <c r="BH829">
        <v>8</v>
      </c>
      <c r="BI829">
        <v>3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0</v>
      </c>
      <c r="BQ829">
        <v>60</v>
      </c>
      <c r="BR829">
        <v>0</v>
      </c>
      <c r="BS829">
        <v>3</v>
      </c>
      <c r="BT829" t="s">
        <v>248</v>
      </c>
      <c r="BU829" t="s">
        <v>270</v>
      </c>
      <c r="BV829" t="b">
        <v>0</v>
      </c>
      <c r="BW829" t="s">
        <v>271</v>
      </c>
    </row>
    <row r="830" spans="1:75">
      <c r="A830" t="s">
        <v>248</v>
      </c>
      <c r="B830" t="s">
        <v>252</v>
      </c>
      <c r="C830">
        <v>712</v>
      </c>
      <c r="D830" t="s">
        <v>253</v>
      </c>
      <c r="E830" t="s">
        <v>254</v>
      </c>
      <c r="F830">
        <v>5</v>
      </c>
      <c r="G830" s="13">
        <v>46267.254918981482</v>
      </c>
      <c r="H830" s="13">
        <v>46267.263819444444</v>
      </c>
      <c r="I830">
        <v>769</v>
      </c>
      <c r="J830" t="s">
        <v>264</v>
      </c>
      <c r="K830">
        <v>2</v>
      </c>
      <c r="L830">
        <v>0.08</v>
      </c>
      <c r="M830">
        <v>0.04</v>
      </c>
      <c r="N830">
        <v>2</v>
      </c>
      <c r="O830">
        <v>0.08</v>
      </c>
      <c r="P830">
        <v>20</v>
      </c>
      <c r="Q830">
        <v>11.44</v>
      </c>
      <c r="R830">
        <v>7.04</v>
      </c>
      <c r="S830" t="s">
        <v>263</v>
      </c>
      <c r="T830" t="s">
        <v>257</v>
      </c>
      <c r="U830">
        <v>10</v>
      </c>
      <c r="V830">
        <v>7938.19</v>
      </c>
      <c r="W830">
        <v>4999.32</v>
      </c>
      <c r="X830">
        <v>4980</v>
      </c>
      <c r="Y830">
        <v>0</v>
      </c>
      <c r="Z830">
        <v>0</v>
      </c>
      <c r="AA830">
        <v>35</v>
      </c>
      <c r="AB830">
        <v>50</v>
      </c>
      <c r="AC830">
        <v>5000</v>
      </c>
      <c r="AD830">
        <v>0</v>
      </c>
      <c r="AE830">
        <v>0</v>
      </c>
      <c r="AF830">
        <v>7945.47</v>
      </c>
      <c r="AG830">
        <v>7945.47</v>
      </c>
      <c r="AH830" s="14">
        <v>46267</v>
      </c>
      <c r="AI830" t="s">
        <v>269</v>
      </c>
      <c r="AJ830" s="13">
        <v>46265.054768518516</v>
      </c>
      <c r="AK830">
        <v>7052.98</v>
      </c>
      <c r="AL830" t="s">
        <v>259</v>
      </c>
      <c r="AM830" t="s">
        <v>260</v>
      </c>
      <c r="AN830">
        <v>1400</v>
      </c>
      <c r="AO830">
        <v>0</v>
      </c>
      <c r="AP830">
        <v>35</v>
      </c>
      <c r="AQ830">
        <v>85</v>
      </c>
      <c r="AR830">
        <v>35</v>
      </c>
      <c r="AS830">
        <v>2</v>
      </c>
      <c r="AT830">
        <v>23</v>
      </c>
      <c r="AU830">
        <v>1</v>
      </c>
      <c r="AV830">
        <v>0</v>
      </c>
      <c r="AW830">
        <v>10</v>
      </c>
      <c r="AX830">
        <v>1</v>
      </c>
      <c r="AY830">
        <v>7</v>
      </c>
      <c r="AZ830">
        <v>3</v>
      </c>
      <c r="BA830">
        <v>1</v>
      </c>
      <c r="BB830">
        <v>1440</v>
      </c>
      <c r="BC830">
        <v>0</v>
      </c>
      <c r="BD830">
        <v>0</v>
      </c>
      <c r="BE830">
        <v>14</v>
      </c>
      <c r="BF830">
        <v>25</v>
      </c>
      <c r="BG830">
        <v>3</v>
      </c>
      <c r="BH830">
        <v>8</v>
      </c>
      <c r="BI830">
        <v>3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0</v>
      </c>
      <c r="BQ830">
        <v>60</v>
      </c>
      <c r="BR830">
        <v>0</v>
      </c>
      <c r="BS830">
        <v>3</v>
      </c>
      <c r="BT830" t="s">
        <v>248</v>
      </c>
      <c r="BU830" t="s">
        <v>270</v>
      </c>
      <c r="BV830" t="b">
        <v>0</v>
      </c>
      <c r="BW830" t="s">
        <v>271</v>
      </c>
    </row>
    <row r="831" spans="1:75">
      <c r="A831" t="s">
        <v>248</v>
      </c>
      <c r="B831" t="s">
        <v>252</v>
      </c>
      <c r="C831">
        <v>713</v>
      </c>
      <c r="D831" t="s">
        <v>253</v>
      </c>
      <c r="E831" t="s">
        <v>254</v>
      </c>
      <c r="F831">
        <v>5</v>
      </c>
      <c r="G831" s="13">
        <v>46267.264432870368</v>
      </c>
      <c r="H831" s="13">
        <v>46267.264722222222</v>
      </c>
      <c r="I831">
        <v>25</v>
      </c>
      <c r="J831" t="s">
        <v>264</v>
      </c>
      <c r="K831">
        <v>1</v>
      </c>
      <c r="L831">
        <v>0.04</v>
      </c>
      <c r="M831">
        <v>0.04</v>
      </c>
      <c r="N831">
        <v>1</v>
      </c>
      <c r="O831">
        <v>0.04</v>
      </c>
      <c r="P831">
        <v>1.4</v>
      </c>
      <c r="Q831">
        <v>7.64</v>
      </c>
      <c r="R831">
        <v>6.96</v>
      </c>
      <c r="S831" t="s">
        <v>256</v>
      </c>
      <c r="T831" t="s">
        <v>257</v>
      </c>
      <c r="U831">
        <v>10</v>
      </c>
      <c r="V831">
        <v>7944.83</v>
      </c>
      <c r="W831">
        <v>4999.3599999999997</v>
      </c>
      <c r="X831">
        <v>4998.6000000000004</v>
      </c>
      <c r="Y831">
        <v>0</v>
      </c>
      <c r="Z831">
        <v>0</v>
      </c>
      <c r="AA831">
        <v>35</v>
      </c>
      <c r="AB831">
        <v>50</v>
      </c>
      <c r="AC831">
        <v>5000</v>
      </c>
      <c r="AD831">
        <v>0</v>
      </c>
      <c r="AE831">
        <v>0</v>
      </c>
      <c r="AF831">
        <v>7951.71</v>
      </c>
      <c r="AG831">
        <v>7951.71</v>
      </c>
      <c r="AH831" s="14">
        <v>46267</v>
      </c>
      <c r="AI831" t="s">
        <v>269</v>
      </c>
      <c r="AJ831" s="13">
        <v>46265.054768518516</v>
      </c>
      <c r="AK831">
        <v>7052.98</v>
      </c>
      <c r="AL831" t="s">
        <v>259</v>
      </c>
      <c r="AM831" t="s">
        <v>260</v>
      </c>
      <c r="AN831">
        <v>1400</v>
      </c>
      <c r="AO831">
        <v>0</v>
      </c>
      <c r="AP831">
        <v>35</v>
      </c>
      <c r="AQ831">
        <v>85</v>
      </c>
      <c r="AR831">
        <v>35</v>
      </c>
      <c r="AS831">
        <v>2</v>
      </c>
      <c r="AT831">
        <v>23</v>
      </c>
      <c r="AU831">
        <v>1</v>
      </c>
      <c r="AV831">
        <v>0</v>
      </c>
      <c r="AW831">
        <v>10</v>
      </c>
      <c r="AX831">
        <v>1</v>
      </c>
      <c r="AY831">
        <v>7</v>
      </c>
      <c r="AZ831">
        <v>3</v>
      </c>
      <c r="BA831">
        <v>1</v>
      </c>
      <c r="BB831">
        <v>1440</v>
      </c>
      <c r="BC831">
        <v>0</v>
      </c>
      <c r="BD831">
        <v>0</v>
      </c>
      <c r="BE831">
        <v>14</v>
      </c>
      <c r="BF831">
        <v>25</v>
      </c>
      <c r="BG831">
        <v>3</v>
      </c>
      <c r="BH831">
        <v>8</v>
      </c>
      <c r="BI831">
        <v>3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0</v>
      </c>
      <c r="BQ831">
        <v>60</v>
      </c>
      <c r="BR831">
        <v>0</v>
      </c>
      <c r="BS831">
        <v>3</v>
      </c>
      <c r="BT831" t="s">
        <v>248</v>
      </c>
      <c r="BU831" t="s">
        <v>270</v>
      </c>
      <c r="BV831" t="b">
        <v>0</v>
      </c>
      <c r="BW831" t="s">
        <v>271</v>
      </c>
    </row>
    <row r="832" spans="1:75">
      <c r="A832" t="s">
        <v>248</v>
      </c>
      <c r="B832" t="s">
        <v>252</v>
      </c>
      <c r="C832">
        <v>714</v>
      </c>
      <c r="D832" t="s">
        <v>253</v>
      </c>
      <c r="E832" t="s">
        <v>254</v>
      </c>
      <c r="F832">
        <v>5</v>
      </c>
      <c r="G832" s="13">
        <v>46267.267858796295</v>
      </c>
      <c r="H832" s="13">
        <v>46267.268125000002</v>
      </c>
      <c r="I832">
        <v>23</v>
      </c>
      <c r="J832" t="s">
        <v>255</v>
      </c>
      <c r="K832">
        <v>1</v>
      </c>
      <c r="L832">
        <v>0.04</v>
      </c>
      <c r="M832">
        <v>0.04</v>
      </c>
      <c r="N832">
        <v>1</v>
      </c>
      <c r="O832">
        <v>0.04</v>
      </c>
      <c r="P832">
        <v>0.64</v>
      </c>
      <c r="Q832">
        <v>3.84</v>
      </c>
      <c r="R832">
        <v>3.24</v>
      </c>
      <c r="S832" t="s">
        <v>256</v>
      </c>
      <c r="T832" t="s">
        <v>257</v>
      </c>
      <c r="U832">
        <v>10</v>
      </c>
      <c r="V832">
        <v>7951.07</v>
      </c>
      <c r="W832">
        <v>4999.3599999999997</v>
      </c>
      <c r="X832">
        <v>4999.3599999999997</v>
      </c>
      <c r="Y832">
        <v>0</v>
      </c>
      <c r="Z832">
        <v>0</v>
      </c>
      <c r="AA832">
        <v>35</v>
      </c>
      <c r="AB832">
        <v>50</v>
      </c>
      <c r="AC832">
        <v>5000</v>
      </c>
      <c r="AD832">
        <v>0</v>
      </c>
      <c r="AE832">
        <v>0</v>
      </c>
      <c r="AF832">
        <v>7954.15</v>
      </c>
      <c r="AG832">
        <v>7954.15</v>
      </c>
      <c r="AH832" s="14">
        <v>46267</v>
      </c>
      <c r="AI832" t="s">
        <v>269</v>
      </c>
      <c r="AJ832" s="13">
        <v>46265.054768518516</v>
      </c>
      <c r="AK832">
        <v>7052.98</v>
      </c>
      <c r="AL832" t="s">
        <v>259</v>
      </c>
      <c r="AM832" t="s">
        <v>260</v>
      </c>
      <c r="AN832">
        <v>1400</v>
      </c>
      <c r="AO832">
        <v>0</v>
      </c>
      <c r="AP832">
        <v>35</v>
      </c>
      <c r="AQ832">
        <v>85</v>
      </c>
      <c r="AR832">
        <v>35</v>
      </c>
      <c r="AS832">
        <v>2</v>
      </c>
      <c r="AT832">
        <v>23</v>
      </c>
      <c r="AU832">
        <v>1</v>
      </c>
      <c r="AV832">
        <v>0</v>
      </c>
      <c r="AW832">
        <v>10</v>
      </c>
      <c r="AX832">
        <v>1</v>
      </c>
      <c r="AY832">
        <v>7</v>
      </c>
      <c r="AZ832">
        <v>3</v>
      </c>
      <c r="BA832">
        <v>1</v>
      </c>
      <c r="BB832">
        <v>1440</v>
      </c>
      <c r="BC832">
        <v>0</v>
      </c>
      <c r="BD832">
        <v>0</v>
      </c>
      <c r="BE832">
        <v>14</v>
      </c>
      <c r="BF832">
        <v>25</v>
      </c>
      <c r="BG832">
        <v>3</v>
      </c>
      <c r="BH832">
        <v>8</v>
      </c>
      <c r="BI832">
        <v>3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0</v>
      </c>
      <c r="BQ832">
        <v>60</v>
      </c>
      <c r="BR832">
        <v>0</v>
      </c>
      <c r="BS832">
        <v>3</v>
      </c>
      <c r="BT832" t="s">
        <v>248</v>
      </c>
      <c r="BU832" t="s">
        <v>270</v>
      </c>
      <c r="BV832" t="b">
        <v>0</v>
      </c>
      <c r="BW832" t="s">
        <v>271</v>
      </c>
    </row>
    <row r="833" spans="1:75">
      <c r="A833" t="s">
        <v>248</v>
      </c>
      <c r="B833" t="s">
        <v>252</v>
      </c>
      <c r="C833">
        <v>715</v>
      </c>
      <c r="D833" t="s">
        <v>253</v>
      </c>
      <c r="E833" t="s">
        <v>254</v>
      </c>
      <c r="F833">
        <v>5</v>
      </c>
      <c r="G833" s="13">
        <v>46267.272777777776</v>
      </c>
      <c r="H833" s="13">
        <v>46267.273587962962</v>
      </c>
      <c r="I833">
        <v>70</v>
      </c>
      <c r="J833" t="s">
        <v>264</v>
      </c>
      <c r="K833">
        <v>1</v>
      </c>
      <c r="L833">
        <v>0.04</v>
      </c>
      <c r="M833">
        <v>0.04</v>
      </c>
      <c r="N833">
        <v>1</v>
      </c>
      <c r="O833">
        <v>0.04</v>
      </c>
      <c r="P833">
        <v>2.76</v>
      </c>
      <c r="Q833">
        <v>3.24</v>
      </c>
      <c r="R833">
        <v>1.96</v>
      </c>
      <c r="S833" t="s">
        <v>256</v>
      </c>
      <c r="T833" t="s">
        <v>257</v>
      </c>
      <c r="U833">
        <v>11</v>
      </c>
      <c r="V833">
        <v>7953.51</v>
      </c>
      <c r="W833">
        <v>4999.3599999999997</v>
      </c>
      <c r="X833">
        <v>4997.24</v>
      </c>
      <c r="Y833">
        <v>0</v>
      </c>
      <c r="Z833">
        <v>0</v>
      </c>
      <c r="AA833">
        <v>35</v>
      </c>
      <c r="AB833">
        <v>50</v>
      </c>
      <c r="AC833">
        <v>5000</v>
      </c>
      <c r="AD833">
        <v>0</v>
      </c>
      <c r="AE833">
        <v>0</v>
      </c>
      <c r="AF833">
        <v>7955.99</v>
      </c>
      <c r="AG833">
        <v>7955.99</v>
      </c>
      <c r="AH833" s="14">
        <v>46267</v>
      </c>
      <c r="AI833" t="s">
        <v>269</v>
      </c>
      <c r="AJ833" s="13">
        <v>46265.054768518516</v>
      </c>
      <c r="AK833">
        <v>7052.98</v>
      </c>
      <c r="AL833" t="s">
        <v>259</v>
      </c>
      <c r="AM833" t="s">
        <v>260</v>
      </c>
      <c r="AN833">
        <v>1400</v>
      </c>
      <c r="AO833">
        <v>0</v>
      </c>
      <c r="AP833">
        <v>35</v>
      </c>
      <c r="AQ833">
        <v>85</v>
      </c>
      <c r="AR833">
        <v>35</v>
      </c>
      <c r="AS833">
        <v>2</v>
      </c>
      <c r="AT833">
        <v>23</v>
      </c>
      <c r="AU833">
        <v>1</v>
      </c>
      <c r="AV833">
        <v>0</v>
      </c>
      <c r="AW833">
        <v>10</v>
      </c>
      <c r="AX833">
        <v>1</v>
      </c>
      <c r="AY833">
        <v>7</v>
      </c>
      <c r="AZ833">
        <v>3</v>
      </c>
      <c r="BA833">
        <v>1</v>
      </c>
      <c r="BB833">
        <v>1440</v>
      </c>
      <c r="BC833">
        <v>0</v>
      </c>
      <c r="BD833">
        <v>0</v>
      </c>
      <c r="BE833">
        <v>14</v>
      </c>
      <c r="BF833">
        <v>25</v>
      </c>
      <c r="BG833">
        <v>3</v>
      </c>
      <c r="BH833">
        <v>8</v>
      </c>
      <c r="BI833">
        <v>3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0</v>
      </c>
      <c r="BQ833">
        <v>60</v>
      </c>
      <c r="BR833">
        <v>0</v>
      </c>
      <c r="BS833">
        <v>3</v>
      </c>
      <c r="BT833" t="s">
        <v>248</v>
      </c>
      <c r="BU833" t="s">
        <v>270</v>
      </c>
      <c r="BV833" t="b">
        <v>0</v>
      </c>
      <c r="BW833" t="s">
        <v>271</v>
      </c>
    </row>
    <row r="834" spans="1:75">
      <c r="A834" t="s">
        <v>248</v>
      </c>
      <c r="B834" t="s">
        <v>252</v>
      </c>
      <c r="C834">
        <v>716</v>
      </c>
      <c r="D834" t="s">
        <v>253</v>
      </c>
      <c r="E834" t="s">
        <v>254</v>
      </c>
      <c r="F834">
        <v>5</v>
      </c>
      <c r="G834" s="13">
        <v>46267.275370370371</v>
      </c>
      <c r="H834" s="13">
        <v>46267.276620370372</v>
      </c>
      <c r="I834">
        <v>108</v>
      </c>
      <c r="J834" t="s">
        <v>255</v>
      </c>
      <c r="K834">
        <v>1</v>
      </c>
      <c r="L834">
        <v>0.04</v>
      </c>
      <c r="M834">
        <v>0.04</v>
      </c>
      <c r="N834">
        <v>1</v>
      </c>
      <c r="O834">
        <v>0.04</v>
      </c>
      <c r="P834">
        <v>8</v>
      </c>
      <c r="Q834">
        <v>6.32</v>
      </c>
      <c r="R834">
        <v>5.04</v>
      </c>
      <c r="S834" t="s">
        <v>256</v>
      </c>
      <c r="T834" t="s">
        <v>257</v>
      </c>
      <c r="U834">
        <v>11</v>
      </c>
      <c r="V834">
        <v>7955.35</v>
      </c>
      <c r="W834">
        <v>4999.3599999999997</v>
      </c>
      <c r="X834">
        <v>4992</v>
      </c>
      <c r="Y834">
        <v>0</v>
      </c>
      <c r="Z834">
        <v>0</v>
      </c>
      <c r="AA834">
        <v>35</v>
      </c>
      <c r="AB834">
        <v>50</v>
      </c>
      <c r="AC834">
        <v>5000</v>
      </c>
      <c r="AD834">
        <v>0</v>
      </c>
      <c r="AE834">
        <v>0</v>
      </c>
      <c r="AF834">
        <v>7960.87</v>
      </c>
      <c r="AG834">
        <v>7960.87</v>
      </c>
      <c r="AH834" s="14">
        <v>46267</v>
      </c>
      <c r="AI834" t="s">
        <v>269</v>
      </c>
      <c r="AJ834" s="13">
        <v>46265.054768518516</v>
      </c>
      <c r="AK834">
        <v>7052.98</v>
      </c>
      <c r="AL834" t="s">
        <v>259</v>
      </c>
      <c r="AM834" t="s">
        <v>260</v>
      </c>
      <c r="AN834">
        <v>1400</v>
      </c>
      <c r="AO834">
        <v>0</v>
      </c>
      <c r="AP834">
        <v>35</v>
      </c>
      <c r="AQ834">
        <v>85</v>
      </c>
      <c r="AR834">
        <v>35</v>
      </c>
      <c r="AS834">
        <v>2</v>
      </c>
      <c r="AT834">
        <v>23</v>
      </c>
      <c r="AU834">
        <v>1</v>
      </c>
      <c r="AV834">
        <v>0</v>
      </c>
      <c r="AW834">
        <v>10</v>
      </c>
      <c r="AX834">
        <v>1</v>
      </c>
      <c r="AY834">
        <v>7</v>
      </c>
      <c r="AZ834">
        <v>3</v>
      </c>
      <c r="BA834">
        <v>1</v>
      </c>
      <c r="BB834">
        <v>1440</v>
      </c>
      <c r="BC834">
        <v>0</v>
      </c>
      <c r="BD834">
        <v>0</v>
      </c>
      <c r="BE834">
        <v>14</v>
      </c>
      <c r="BF834">
        <v>25</v>
      </c>
      <c r="BG834">
        <v>3</v>
      </c>
      <c r="BH834">
        <v>8</v>
      </c>
      <c r="BI834">
        <v>3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0</v>
      </c>
      <c r="BQ834">
        <v>60</v>
      </c>
      <c r="BR834">
        <v>0</v>
      </c>
      <c r="BS834">
        <v>3</v>
      </c>
      <c r="BT834" t="s">
        <v>248</v>
      </c>
      <c r="BU834" t="s">
        <v>270</v>
      </c>
      <c r="BV834" t="b">
        <v>0</v>
      </c>
      <c r="BW834" t="s">
        <v>271</v>
      </c>
    </row>
    <row r="835" spans="1:75">
      <c r="A835" t="s">
        <v>248</v>
      </c>
      <c r="B835" t="s">
        <v>252</v>
      </c>
      <c r="C835">
        <v>717</v>
      </c>
      <c r="D835" t="s">
        <v>253</v>
      </c>
      <c r="E835" t="s">
        <v>254</v>
      </c>
      <c r="F835">
        <v>5</v>
      </c>
      <c r="G835" s="13">
        <v>46267.278680555559</v>
      </c>
      <c r="H835" s="13">
        <v>46267.278923611113</v>
      </c>
      <c r="I835">
        <v>21</v>
      </c>
      <c r="J835" t="s">
        <v>264</v>
      </c>
      <c r="K835">
        <v>1</v>
      </c>
      <c r="L835">
        <v>0.04</v>
      </c>
      <c r="M835">
        <v>0.04</v>
      </c>
      <c r="N835">
        <v>1</v>
      </c>
      <c r="O835">
        <v>0.04</v>
      </c>
      <c r="P835">
        <v>1</v>
      </c>
      <c r="Q835">
        <v>3.72</v>
      </c>
      <c r="R835">
        <v>2.56</v>
      </c>
      <c r="S835" t="s">
        <v>256</v>
      </c>
      <c r="T835" t="s">
        <v>257</v>
      </c>
      <c r="U835">
        <v>11</v>
      </c>
      <c r="V835">
        <v>7960.19</v>
      </c>
      <c r="W835">
        <v>4999.32</v>
      </c>
      <c r="X835">
        <v>4999</v>
      </c>
      <c r="Y835">
        <v>0</v>
      </c>
      <c r="Z835">
        <v>0</v>
      </c>
      <c r="AA835">
        <v>35</v>
      </c>
      <c r="AB835">
        <v>50</v>
      </c>
      <c r="AC835">
        <v>5000</v>
      </c>
      <c r="AD835">
        <v>0</v>
      </c>
      <c r="AE835">
        <v>0</v>
      </c>
      <c r="AF835">
        <v>7963.19</v>
      </c>
      <c r="AG835">
        <v>7963.19</v>
      </c>
      <c r="AH835" s="14">
        <v>46267</v>
      </c>
      <c r="AI835" t="s">
        <v>269</v>
      </c>
      <c r="AJ835" s="13">
        <v>46265.054768518516</v>
      </c>
      <c r="AK835">
        <v>7052.98</v>
      </c>
      <c r="AL835" t="s">
        <v>259</v>
      </c>
      <c r="AM835" t="s">
        <v>260</v>
      </c>
      <c r="AN835">
        <v>1400</v>
      </c>
      <c r="AO835">
        <v>0</v>
      </c>
      <c r="AP835">
        <v>35</v>
      </c>
      <c r="AQ835">
        <v>85</v>
      </c>
      <c r="AR835">
        <v>35</v>
      </c>
      <c r="AS835">
        <v>2</v>
      </c>
      <c r="AT835">
        <v>23</v>
      </c>
      <c r="AU835">
        <v>1</v>
      </c>
      <c r="AV835">
        <v>0</v>
      </c>
      <c r="AW835">
        <v>10</v>
      </c>
      <c r="AX835">
        <v>1</v>
      </c>
      <c r="AY835">
        <v>7</v>
      </c>
      <c r="AZ835">
        <v>3</v>
      </c>
      <c r="BA835">
        <v>1</v>
      </c>
      <c r="BB835">
        <v>1440</v>
      </c>
      <c r="BC835">
        <v>0</v>
      </c>
      <c r="BD835">
        <v>0</v>
      </c>
      <c r="BE835">
        <v>14</v>
      </c>
      <c r="BF835">
        <v>25</v>
      </c>
      <c r="BG835">
        <v>3</v>
      </c>
      <c r="BH835">
        <v>8</v>
      </c>
      <c r="BI835">
        <v>3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0</v>
      </c>
      <c r="BQ835">
        <v>60</v>
      </c>
      <c r="BR835">
        <v>0</v>
      </c>
      <c r="BS835">
        <v>3</v>
      </c>
      <c r="BT835" t="s">
        <v>248</v>
      </c>
      <c r="BU835" t="s">
        <v>270</v>
      </c>
      <c r="BV835" t="b">
        <v>0</v>
      </c>
      <c r="BW835" t="s">
        <v>271</v>
      </c>
    </row>
    <row r="836" spans="1:75">
      <c r="A836" t="s">
        <v>248</v>
      </c>
      <c r="B836" t="s">
        <v>252</v>
      </c>
      <c r="C836">
        <v>718</v>
      </c>
      <c r="D836" t="s">
        <v>253</v>
      </c>
      <c r="E836" t="s">
        <v>254</v>
      </c>
      <c r="F836">
        <v>5</v>
      </c>
      <c r="G836" s="13">
        <v>46267.281701388885</v>
      </c>
      <c r="H836" s="13">
        <v>46267.282337962963</v>
      </c>
      <c r="I836">
        <v>55</v>
      </c>
      <c r="J836" t="s">
        <v>255</v>
      </c>
      <c r="K836">
        <v>1</v>
      </c>
      <c r="L836">
        <v>0.04</v>
      </c>
      <c r="M836">
        <v>0.04</v>
      </c>
      <c r="N836">
        <v>1</v>
      </c>
      <c r="O836">
        <v>0.04</v>
      </c>
      <c r="P836">
        <v>3.56</v>
      </c>
      <c r="Q836">
        <v>5.48</v>
      </c>
      <c r="R836">
        <v>4.32</v>
      </c>
      <c r="S836" t="s">
        <v>256</v>
      </c>
      <c r="T836" t="s">
        <v>257</v>
      </c>
      <c r="U836">
        <v>11</v>
      </c>
      <c r="V836">
        <v>7962.51</v>
      </c>
      <c r="W836">
        <v>4999.32</v>
      </c>
      <c r="X836">
        <v>4996.4399999999996</v>
      </c>
      <c r="Y836">
        <v>0</v>
      </c>
      <c r="Z836">
        <v>0</v>
      </c>
      <c r="AA836">
        <v>35</v>
      </c>
      <c r="AB836">
        <v>50</v>
      </c>
      <c r="AC836">
        <v>5000</v>
      </c>
      <c r="AD836">
        <v>0</v>
      </c>
      <c r="AE836">
        <v>0</v>
      </c>
      <c r="AF836">
        <v>7967.27</v>
      </c>
      <c r="AG836">
        <v>7967.27</v>
      </c>
      <c r="AH836" s="14">
        <v>46267</v>
      </c>
      <c r="AI836" t="s">
        <v>269</v>
      </c>
      <c r="AJ836" s="13">
        <v>46265.054768518516</v>
      </c>
      <c r="AK836">
        <v>7052.98</v>
      </c>
      <c r="AL836" t="s">
        <v>259</v>
      </c>
      <c r="AM836" t="s">
        <v>260</v>
      </c>
      <c r="AN836">
        <v>1400</v>
      </c>
      <c r="AO836">
        <v>0</v>
      </c>
      <c r="AP836">
        <v>35</v>
      </c>
      <c r="AQ836">
        <v>85</v>
      </c>
      <c r="AR836">
        <v>35</v>
      </c>
      <c r="AS836">
        <v>2</v>
      </c>
      <c r="AT836">
        <v>23</v>
      </c>
      <c r="AU836">
        <v>1</v>
      </c>
      <c r="AV836">
        <v>0</v>
      </c>
      <c r="AW836">
        <v>10</v>
      </c>
      <c r="AX836">
        <v>1</v>
      </c>
      <c r="AY836">
        <v>7</v>
      </c>
      <c r="AZ836">
        <v>3</v>
      </c>
      <c r="BA836">
        <v>1</v>
      </c>
      <c r="BB836">
        <v>1440</v>
      </c>
      <c r="BC836">
        <v>0</v>
      </c>
      <c r="BD836">
        <v>0</v>
      </c>
      <c r="BE836">
        <v>14</v>
      </c>
      <c r="BF836">
        <v>25</v>
      </c>
      <c r="BG836">
        <v>3</v>
      </c>
      <c r="BH836">
        <v>8</v>
      </c>
      <c r="BI836">
        <v>3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0</v>
      </c>
      <c r="BQ836">
        <v>60</v>
      </c>
      <c r="BR836">
        <v>0</v>
      </c>
      <c r="BS836">
        <v>3</v>
      </c>
      <c r="BT836" t="s">
        <v>248</v>
      </c>
      <c r="BU836" t="s">
        <v>270</v>
      </c>
      <c r="BV836" t="b">
        <v>0</v>
      </c>
      <c r="BW836" t="s">
        <v>271</v>
      </c>
    </row>
    <row r="837" spans="1:75">
      <c r="A837" t="s">
        <v>248</v>
      </c>
      <c r="B837" t="s">
        <v>252</v>
      </c>
      <c r="C837">
        <v>719</v>
      </c>
      <c r="D837" t="s">
        <v>253</v>
      </c>
      <c r="E837" t="s">
        <v>254</v>
      </c>
      <c r="F837">
        <v>5</v>
      </c>
      <c r="G837" s="13">
        <v>46267.286620370367</v>
      </c>
      <c r="H837" s="13">
        <v>46267.288599537038</v>
      </c>
      <c r="I837">
        <v>171</v>
      </c>
      <c r="J837" t="s">
        <v>255</v>
      </c>
      <c r="K837">
        <v>1</v>
      </c>
      <c r="L837">
        <v>0.04</v>
      </c>
      <c r="M837">
        <v>0.04</v>
      </c>
      <c r="N837">
        <v>1</v>
      </c>
      <c r="O837">
        <v>0.04</v>
      </c>
      <c r="P837">
        <v>7.76</v>
      </c>
      <c r="Q837">
        <v>5.32</v>
      </c>
      <c r="R837">
        <v>3.96</v>
      </c>
      <c r="S837" t="s">
        <v>256</v>
      </c>
      <c r="T837" t="s">
        <v>257</v>
      </c>
      <c r="U837">
        <v>11</v>
      </c>
      <c r="V837">
        <v>7966.59</v>
      </c>
      <c r="W837">
        <v>4999.32</v>
      </c>
      <c r="X837">
        <v>4992.24</v>
      </c>
      <c r="Y837">
        <v>0</v>
      </c>
      <c r="Z837">
        <v>0</v>
      </c>
      <c r="AA837">
        <v>35</v>
      </c>
      <c r="AB837">
        <v>50</v>
      </c>
      <c r="AC837">
        <v>5000</v>
      </c>
      <c r="AD837">
        <v>0</v>
      </c>
      <c r="AE837">
        <v>0</v>
      </c>
      <c r="AF837">
        <v>7971.15</v>
      </c>
      <c r="AG837">
        <v>7971.15</v>
      </c>
      <c r="AH837" s="14">
        <v>46267</v>
      </c>
      <c r="AI837" t="s">
        <v>269</v>
      </c>
      <c r="AJ837" s="13">
        <v>46265.054768518516</v>
      </c>
      <c r="AK837">
        <v>7052.98</v>
      </c>
      <c r="AL837" t="s">
        <v>259</v>
      </c>
      <c r="AM837" t="s">
        <v>260</v>
      </c>
      <c r="AN837">
        <v>1400</v>
      </c>
      <c r="AO837">
        <v>0</v>
      </c>
      <c r="AP837">
        <v>35</v>
      </c>
      <c r="AQ837">
        <v>85</v>
      </c>
      <c r="AR837">
        <v>35</v>
      </c>
      <c r="AS837">
        <v>2</v>
      </c>
      <c r="AT837">
        <v>23</v>
      </c>
      <c r="AU837">
        <v>1</v>
      </c>
      <c r="AV837">
        <v>0</v>
      </c>
      <c r="AW837">
        <v>10</v>
      </c>
      <c r="AX837">
        <v>1</v>
      </c>
      <c r="AY837">
        <v>7</v>
      </c>
      <c r="AZ837">
        <v>3</v>
      </c>
      <c r="BA837">
        <v>1</v>
      </c>
      <c r="BB837">
        <v>1440</v>
      </c>
      <c r="BC837">
        <v>0</v>
      </c>
      <c r="BD837">
        <v>0</v>
      </c>
      <c r="BE837">
        <v>14</v>
      </c>
      <c r="BF837">
        <v>25</v>
      </c>
      <c r="BG837">
        <v>3</v>
      </c>
      <c r="BH837">
        <v>8</v>
      </c>
      <c r="BI837">
        <v>3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0</v>
      </c>
      <c r="BQ837">
        <v>60</v>
      </c>
      <c r="BR837">
        <v>0</v>
      </c>
      <c r="BS837">
        <v>3</v>
      </c>
      <c r="BT837" t="s">
        <v>248</v>
      </c>
      <c r="BU837" t="s">
        <v>270</v>
      </c>
      <c r="BV837" t="b">
        <v>0</v>
      </c>
      <c r="BW837" t="s">
        <v>271</v>
      </c>
    </row>
    <row r="838" spans="1:75">
      <c r="A838" t="s">
        <v>248</v>
      </c>
      <c r="B838" t="s">
        <v>252</v>
      </c>
      <c r="C838">
        <v>720</v>
      </c>
      <c r="D838" t="s">
        <v>253</v>
      </c>
      <c r="E838" t="s">
        <v>254</v>
      </c>
      <c r="F838">
        <v>5</v>
      </c>
      <c r="G838" s="13">
        <v>46267.314270833333</v>
      </c>
      <c r="H838" s="13">
        <v>46267.314745370371</v>
      </c>
      <c r="I838">
        <v>41</v>
      </c>
      <c r="J838" t="s">
        <v>255</v>
      </c>
      <c r="K838">
        <v>1</v>
      </c>
      <c r="L838">
        <v>0.04</v>
      </c>
      <c r="M838">
        <v>0.04</v>
      </c>
      <c r="N838">
        <v>1</v>
      </c>
      <c r="O838">
        <v>0.04</v>
      </c>
      <c r="P838">
        <v>0.68</v>
      </c>
      <c r="Q838">
        <v>5.92</v>
      </c>
      <c r="R838">
        <v>4.88</v>
      </c>
      <c r="S838" t="s">
        <v>256</v>
      </c>
      <c r="T838" t="s">
        <v>257</v>
      </c>
      <c r="U838">
        <v>11</v>
      </c>
      <c r="V838">
        <v>7970.47</v>
      </c>
      <c r="W838">
        <v>4999.32</v>
      </c>
      <c r="X838">
        <v>4999.32</v>
      </c>
      <c r="Y838">
        <v>0</v>
      </c>
      <c r="Z838">
        <v>0</v>
      </c>
      <c r="AA838">
        <v>35</v>
      </c>
      <c r="AB838">
        <v>50</v>
      </c>
      <c r="AC838">
        <v>5000</v>
      </c>
      <c r="AD838">
        <v>0</v>
      </c>
      <c r="AE838">
        <v>0</v>
      </c>
      <c r="AF838">
        <v>7975.67</v>
      </c>
      <c r="AG838">
        <v>7975.67</v>
      </c>
      <c r="AH838" s="14">
        <v>46267</v>
      </c>
      <c r="AI838" t="s">
        <v>269</v>
      </c>
      <c r="AJ838" s="13">
        <v>46265.054768518516</v>
      </c>
      <c r="AK838">
        <v>7052.98</v>
      </c>
      <c r="AL838" t="s">
        <v>259</v>
      </c>
      <c r="AM838" t="s">
        <v>260</v>
      </c>
      <c r="AN838">
        <v>1400</v>
      </c>
      <c r="AO838">
        <v>0</v>
      </c>
      <c r="AP838">
        <v>35</v>
      </c>
      <c r="AQ838">
        <v>85</v>
      </c>
      <c r="AR838">
        <v>35</v>
      </c>
      <c r="AS838">
        <v>2</v>
      </c>
      <c r="AT838">
        <v>23</v>
      </c>
      <c r="AU838">
        <v>1</v>
      </c>
      <c r="AV838">
        <v>0</v>
      </c>
      <c r="AW838">
        <v>10</v>
      </c>
      <c r="AX838">
        <v>1</v>
      </c>
      <c r="AY838">
        <v>7</v>
      </c>
      <c r="AZ838">
        <v>3</v>
      </c>
      <c r="BA838">
        <v>1</v>
      </c>
      <c r="BB838">
        <v>1440</v>
      </c>
      <c r="BC838">
        <v>0</v>
      </c>
      <c r="BD838">
        <v>0</v>
      </c>
      <c r="BE838">
        <v>14</v>
      </c>
      <c r="BF838">
        <v>25</v>
      </c>
      <c r="BG838">
        <v>3</v>
      </c>
      <c r="BH838">
        <v>8</v>
      </c>
      <c r="BI838">
        <v>3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0</v>
      </c>
      <c r="BQ838">
        <v>60</v>
      </c>
      <c r="BR838">
        <v>0</v>
      </c>
      <c r="BS838">
        <v>3</v>
      </c>
      <c r="BT838" t="s">
        <v>248</v>
      </c>
      <c r="BU838" t="s">
        <v>270</v>
      </c>
      <c r="BV838" t="b">
        <v>0</v>
      </c>
      <c r="BW838" t="s">
        <v>271</v>
      </c>
    </row>
    <row r="839" spans="1:75">
      <c r="A839" t="s">
        <v>248</v>
      </c>
      <c r="B839" t="s">
        <v>252</v>
      </c>
      <c r="C839">
        <v>721</v>
      </c>
      <c r="D839" t="s">
        <v>253</v>
      </c>
      <c r="E839" t="s">
        <v>254</v>
      </c>
      <c r="F839">
        <v>5</v>
      </c>
      <c r="G839" s="13">
        <v>46267.322152777779</v>
      </c>
      <c r="H839" s="13">
        <v>46267.332939814813</v>
      </c>
      <c r="I839">
        <v>932</v>
      </c>
      <c r="J839" t="s">
        <v>255</v>
      </c>
      <c r="K839">
        <v>1</v>
      </c>
      <c r="L839">
        <v>0.04</v>
      </c>
      <c r="M839">
        <v>0.04</v>
      </c>
      <c r="N839">
        <v>1</v>
      </c>
      <c r="O839">
        <v>0.04</v>
      </c>
      <c r="P839">
        <v>9.68</v>
      </c>
      <c r="Q839">
        <v>5.36</v>
      </c>
      <c r="R839">
        <v>5.32</v>
      </c>
      <c r="S839" t="s">
        <v>256</v>
      </c>
      <c r="T839" t="s">
        <v>257</v>
      </c>
      <c r="U839">
        <v>10</v>
      </c>
      <c r="V839">
        <v>7975.03</v>
      </c>
      <c r="W839">
        <v>4999.3599999999997</v>
      </c>
      <c r="X839">
        <v>4990.32</v>
      </c>
      <c r="Y839">
        <v>0</v>
      </c>
      <c r="Z839">
        <v>0</v>
      </c>
      <c r="AA839">
        <v>35</v>
      </c>
      <c r="AB839">
        <v>50</v>
      </c>
      <c r="AC839">
        <v>5000</v>
      </c>
      <c r="AD839">
        <v>0</v>
      </c>
      <c r="AE839">
        <v>0</v>
      </c>
      <c r="AF839">
        <v>7979.63</v>
      </c>
      <c r="AG839">
        <v>7979.63</v>
      </c>
      <c r="AH839" s="14">
        <v>46267</v>
      </c>
      <c r="AI839" t="s">
        <v>269</v>
      </c>
      <c r="AJ839" s="13">
        <v>46265.054768518516</v>
      </c>
      <c r="AK839">
        <v>7052.98</v>
      </c>
      <c r="AL839" t="s">
        <v>259</v>
      </c>
      <c r="AM839" t="s">
        <v>260</v>
      </c>
      <c r="AN839">
        <v>1400</v>
      </c>
      <c r="AO839">
        <v>0</v>
      </c>
      <c r="AP839">
        <v>35</v>
      </c>
      <c r="AQ839">
        <v>85</v>
      </c>
      <c r="AR839">
        <v>35</v>
      </c>
      <c r="AS839">
        <v>2</v>
      </c>
      <c r="AT839">
        <v>23</v>
      </c>
      <c r="AU839">
        <v>1</v>
      </c>
      <c r="AV839">
        <v>0</v>
      </c>
      <c r="AW839">
        <v>10</v>
      </c>
      <c r="AX839">
        <v>1</v>
      </c>
      <c r="AY839">
        <v>7</v>
      </c>
      <c r="AZ839">
        <v>3</v>
      </c>
      <c r="BA839">
        <v>1</v>
      </c>
      <c r="BB839">
        <v>1440</v>
      </c>
      <c r="BC839">
        <v>0</v>
      </c>
      <c r="BD839">
        <v>0</v>
      </c>
      <c r="BE839">
        <v>14</v>
      </c>
      <c r="BF839">
        <v>25</v>
      </c>
      <c r="BG839">
        <v>3</v>
      </c>
      <c r="BH839">
        <v>8</v>
      </c>
      <c r="BI839">
        <v>3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0</v>
      </c>
      <c r="BQ839">
        <v>60</v>
      </c>
      <c r="BR839">
        <v>0</v>
      </c>
      <c r="BS839">
        <v>3</v>
      </c>
      <c r="BT839" t="s">
        <v>248</v>
      </c>
      <c r="BU839" t="s">
        <v>270</v>
      </c>
      <c r="BV839" t="b">
        <v>0</v>
      </c>
      <c r="BW839" t="s">
        <v>271</v>
      </c>
    </row>
    <row r="840" spans="1:75">
      <c r="A840" t="s">
        <v>248</v>
      </c>
      <c r="B840" t="s">
        <v>252</v>
      </c>
      <c r="C840">
        <v>722</v>
      </c>
      <c r="D840" t="s">
        <v>253</v>
      </c>
      <c r="E840" t="s">
        <v>254</v>
      </c>
      <c r="F840">
        <v>5</v>
      </c>
      <c r="G840" s="13">
        <v>46267.342280092591</v>
      </c>
      <c r="H840" s="13">
        <v>46267.342581018522</v>
      </c>
      <c r="I840">
        <v>26</v>
      </c>
      <c r="J840" t="s">
        <v>255</v>
      </c>
      <c r="K840">
        <v>1</v>
      </c>
      <c r="L840">
        <v>0.04</v>
      </c>
      <c r="M840">
        <v>0.04</v>
      </c>
      <c r="N840">
        <v>1</v>
      </c>
      <c r="O840">
        <v>0.04</v>
      </c>
      <c r="P840">
        <v>0.96</v>
      </c>
      <c r="Q840">
        <v>3.52</v>
      </c>
      <c r="R840">
        <v>2.36</v>
      </c>
      <c r="S840" t="s">
        <v>256</v>
      </c>
      <c r="T840" t="s">
        <v>257</v>
      </c>
      <c r="U840">
        <v>11</v>
      </c>
      <c r="V840">
        <v>7978.99</v>
      </c>
      <c r="W840">
        <v>4999.3599999999997</v>
      </c>
      <c r="X840">
        <v>4999.04</v>
      </c>
      <c r="Y840">
        <v>0</v>
      </c>
      <c r="Z840">
        <v>0</v>
      </c>
      <c r="AA840">
        <v>35</v>
      </c>
      <c r="AB840">
        <v>50</v>
      </c>
      <c r="AC840">
        <v>5000</v>
      </c>
      <c r="AD840">
        <v>0</v>
      </c>
      <c r="AE840">
        <v>0</v>
      </c>
      <c r="AF840">
        <v>7981.75</v>
      </c>
      <c r="AG840">
        <v>7981.75</v>
      </c>
      <c r="AH840" s="14">
        <v>46267</v>
      </c>
      <c r="AI840" t="s">
        <v>269</v>
      </c>
      <c r="AJ840" s="13">
        <v>46265.054768518516</v>
      </c>
      <c r="AK840">
        <v>7052.98</v>
      </c>
      <c r="AL840" t="s">
        <v>259</v>
      </c>
      <c r="AM840" t="s">
        <v>260</v>
      </c>
      <c r="AN840">
        <v>1400</v>
      </c>
      <c r="AO840">
        <v>0</v>
      </c>
      <c r="AP840">
        <v>35</v>
      </c>
      <c r="AQ840">
        <v>85</v>
      </c>
      <c r="AR840">
        <v>35</v>
      </c>
      <c r="AS840">
        <v>2</v>
      </c>
      <c r="AT840">
        <v>23</v>
      </c>
      <c r="AU840">
        <v>1</v>
      </c>
      <c r="AV840">
        <v>0</v>
      </c>
      <c r="AW840">
        <v>10</v>
      </c>
      <c r="AX840">
        <v>1</v>
      </c>
      <c r="AY840">
        <v>7</v>
      </c>
      <c r="AZ840">
        <v>3</v>
      </c>
      <c r="BA840">
        <v>1</v>
      </c>
      <c r="BB840">
        <v>1440</v>
      </c>
      <c r="BC840">
        <v>0</v>
      </c>
      <c r="BD840">
        <v>0</v>
      </c>
      <c r="BE840">
        <v>14</v>
      </c>
      <c r="BF840">
        <v>25</v>
      </c>
      <c r="BG840">
        <v>3</v>
      </c>
      <c r="BH840">
        <v>8</v>
      </c>
      <c r="BI840">
        <v>3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0</v>
      </c>
      <c r="BQ840">
        <v>60</v>
      </c>
      <c r="BR840">
        <v>0</v>
      </c>
      <c r="BS840">
        <v>3</v>
      </c>
      <c r="BT840" t="s">
        <v>248</v>
      </c>
      <c r="BU840" t="s">
        <v>270</v>
      </c>
      <c r="BV840" t="b">
        <v>0</v>
      </c>
      <c r="BW840" t="s">
        <v>271</v>
      </c>
    </row>
    <row r="841" spans="1:75">
      <c r="A841" t="s">
        <v>248</v>
      </c>
      <c r="B841" t="s">
        <v>252</v>
      </c>
      <c r="C841">
        <v>723</v>
      </c>
      <c r="D841" t="s">
        <v>253</v>
      </c>
      <c r="E841" t="s">
        <v>254</v>
      </c>
      <c r="F841">
        <v>5</v>
      </c>
      <c r="G841" s="13">
        <v>46267.34584490741</v>
      </c>
      <c r="H841" s="13">
        <v>46267.356620370374</v>
      </c>
      <c r="I841">
        <v>931</v>
      </c>
      <c r="J841" t="s">
        <v>255</v>
      </c>
      <c r="K841">
        <v>3</v>
      </c>
      <c r="L841">
        <v>0.12</v>
      </c>
      <c r="M841">
        <v>0.04</v>
      </c>
      <c r="N841">
        <v>3</v>
      </c>
      <c r="O841">
        <v>0.12</v>
      </c>
      <c r="P841">
        <v>26.32</v>
      </c>
      <c r="Q841">
        <v>88.68</v>
      </c>
      <c r="R841">
        <v>88.68</v>
      </c>
      <c r="S841" t="s">
        <v>263</v>
      </c>
      <c r="T841" t="s">
        <v>257</v>
      </c>
      <c r="U841">
        <v>11</v>
      </c>
      <c r="V841">
        <v>7981.07</v>
      </c>
      <c r="W841">
        <v>4999.32</v>
      </c>
      <c r="X841">
        <v>4973.68</v>
      </c>
      <c r="Y841">
        <v>0</v>
      </c>
      <c r="Z841">
        <v>0</v>
      </c>
      <c r="AA841">
        <v>35</v>
      </c>
      <c r="AB841">
        <v>50</v>
      </c>
      <c r="AC841">
        <v>5000</v>
      </c>
      <c r="AD841">
        <v>0</v>
      </c>
      <c r="AE841">
        <v>0</v>
      </c>
      <c r="AF841">
        <v>8067.03</v>
      </c>
      <c r="AG841">
        <v>8067.03</v>
      </c>
      <c r="AH841" s="14">
        <v>46267</v>
      </c>
      <c r="AI841" t="s">
        <v>269</v>
      </c>
      <c r="AJ841" s="13">
        <v>46265.054768518516</v>
      </c>
      <c r="AK841">
        <v>7052.98</v>
      </c>
      <c r="AL841" t="s">
        <v>259</v>
      </c>
      <c r="AM841" t="s">
        <v>260</v>
      </c>
      <c r="AN841">
        <v>1400</v>
      </c>
      <c r="AO841">
        <v>0</v>
      </c>
      <c r="AP841">
        <v>35</v>
      </c>
      <c r="AQ841">
        <v>85</v>
      </c>
      <c r="AR841">
        <v>35</v>
      </c>
      <c r="AS841">
        <v>2</v>
      </c>
      <c r="AT841">
        <v>23</v>
      </c>
      <c r="AU841">
        <v>1</v>
      </c>
      <c r="AV841">
        <v>0</v>
      </c>
      <c r="AW841">
        <v>10</v>
      </c>
      <c r="AX841">
        <v>1</v>
      </c>
      <c r="AY841">
        <v>7</v>
      </c>
      <c r="AZ841">
        <v>3</v>
      </c>
      <c r="BA841">
        <v>1</v>
      </c>
      <c r="BB841">
        <v>1440</v>
      </c>
      <c r="BC841">
        <v>0</v>
      </c>
      <c r="BD841">
        <v>0</v>
      </c>
      <c r="BE841">
        <v>14</v>
      </c>
      <c r="BF841">
        <v>25</v>
      </c>
      <c r="BG841">
        <v>3</v>
      </c>
      <c r="BH841">
        <v>8</v>
      </c>
      <c r="BI841">
        <v>3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0</v>
      </c>
      <c r="BQ841">
        <v>60</v>
      </c>
      <c r="BR841">
        <v>0</v>
      </c>
      <c r="BS841">
        <v>3</v>
      </c>
      <c r="BT841" t="s">
        <v>248</v>
      </c>
      <c r="BU841" t="s">
        <v>270</v>
      </c>
      <c r="BV841" t="b">
        <v>0</v>
      </c>
      <c r="BW841" t="s">
        <v>271</v>
      </c>
    </row>
    <row r="842" spans="1:75">
      <c r="A842" t="s">
        <v>248</v>
      </c>
      <c r="B842" t="s">
        <v>252</v>
      </c>
      <c r="C842">
        <v>724</v>
      </c>
      <c r="D842" t="s">
        <v>253</v>
      </c>
      <c r="E842" t="s">
        <v>254</v>
      </c>
      <c r="F842">
        <v>5</v>
      </c>
      <c r="G842" s="13">
        <v>46267.35864583333</v>
      </c>
      <c r="H842" s="13">
        <v>46267.359884259262</v>
      </c>
      <c r="I842">
        <v>107</v>
      </c>
      <c r="J842" t="s">
        <v>264</v>
      </c>
      <c r="K842">
        <v>1</v>
      </c>
      <c r="L842">
        <v>0.04</v>
      </c>
      <c r="M842">
        <v>0.04</v>
      </c>
      <c r="N842">
        <v>1</v>
      </c>
      <c r="O842">
        <v>0.04</v>
      </c>
      <c r="P842">
        <v>4.68</v>
      </c>
      <c r="Q842">
        <v>9.1199999999999992</v>
      </c>
      <c r="R842">
        <v>8.4</v>
      </c>
      <c r="S842" t="s">
        <v>256</v>
      </c>
      <c r="T842" t="s">
        <v>257</v>
      </c>
      <c r="U842">
        <v>11</v>
      </c>
      <c r="V842">
        <v>8066.35</v>
      </c>
      <c r="W842">
        <v>4999.32</v>
      </c>
      <c r="X842">
        <v>4995.32</v>
      </c>
      <c r="Y842">
        <v>0</v>
      </c>
      <c r="Z842">
        <v>0</v>
      </c>
      <c r="AA842">
        <v>35</v>
      </c>
      <c r="AB842">
        <v>50</v>
      </c>
      <c r="AC842">
        <v>5000</v>
      </c>
      <c r="AD842">
        <v>0</v>
      </c>
      <c r="AE842">
        <v>0</v>
      </c>
      <c r="AF842">
        <v>8074.75</v>
      </c>
      <c r="AG842">
        <v>8074.75</v>
      </c>
      <c r="AH842" s="14">
        <v>46267</v>
      </c>
      <c r="AI842" t="s">
        <v>269</v>
      </c>
      <c r="AJ842" s="13">
        <v>46265.054768518516</v>
      </c>
      <c r="AK842">
        <v>7052.98</v>
      </c>
      <c r="AL842" t="s">
        <v>259</v>
      </c>
      <c r="AM842" t="s">
        <v>260</v>
      </c>
      <c r="AN842">
        <v>1400</v>
      </c>
      <c r="AO842">
        <v>0</v>
      </c>
      <c r="AP842">
        <v>35</v>
      </c>
      <c r="AQ842">
        <v>85</v>
      </c>
      <c r="AR842">
        <v>35</v>
      </c>
      <c r="AS842">
        <v>2</v>
      </c>
      <c r="AT842">
        <v>23</v>
      </c>
      <c r="AU842">
        <v>1</v>
      </c>
      <c r="AV842">
        <v>0</v>
      </c>
      <c r="AW842">
        <v>10</v>
      </c>
      <c r="AX842">
        <v>1</v>
      </c>
      <c r="AY842">
        <v>7</v>
      </c>
      <c r="AZ842">
        <v>3</v>
      </c>
      <c r="BA842">
        <v>1</v>
      </c>
      <c r="BB842">
        <v>1440</v>
      </c>
      <c r="BC842">
        <v>0</v>
      </c>
      <c r="BD842">
        <v>0</v>
      </c>
      <c r="BE842">
        <v>14</v>
      </c>
      <c r="BF842">
        <v>25</v>
      </c>
      <c r="BG842">
        <v>3</v>
      </c>
      <c r="BH842">
        <v>8</v>
      </c>
      <c r="BI842">
        <v>3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0</v>
      </c>
      <c r="BQ842">
        <v>60</v>
      </c>
      <c r="BR842">
        <v>0</v>
      </c>
      <c r="BS842">
        <v>3</v>
      </c>
      <c r="BT842" t="s">
        <v>248</v>
      </c>
      <c r="BU842" t="s">
        <v>270</v>
      </c>
      <c r="BV842" t="b">
        <v>0</v>
      </c>
      <c r="BW842" t="s">
        <v>271</v>
      </c>
    </row>
    <row r="843" spans="1:75">
      <c r="A843" t="s">
        <v>248</v>
      </c>
      <c r="B843" t="s">
        <v>252</v>
      </c>
      <c r="C843">
        <v>725</v>
      </c>
      <c r="D843" t="s">
        <v>253</v>
      </c>
      <c r="E843" t="s">
        <v>254</v>
      </c>
      <c r="F843">
        <v>5</v>
      </c>
      <c r="G843" s="13">
        <v>46267.362395833334</v>
      </c>
      <c r="H843" s="13">
        <v>46267.362812500003</v>
      </c>
      <c r="I843">
        <v>36</v>
      </c>
      <c r="J843" t="s">
        <v>255</v>
      </c>
      <c r="K843">
        <v>1</v>
      </c>
      <c r="L843">
        <v>0.04</v>
      </c>
      <c r="M843">
        <v>0.04</v>
      </c>
      <c r="N843">
        <v>1</v>
      </c>
      <c r="O843">
        <v>0.04</v>
      </c>
      <c r="P843">
        <v>1.28</v>
      </c>
      <c r="Q843">
        <v>7.32</v>
      </c>
      <c r="R843">
        <v>7.32</v>
      </c>
      <c r="S843" t="s">
        <v>256</v>
      </c>
      <c r="T843" t="s">
        <v>257</v>
      </c>
      <c r="U843">
        <v>10</v>
      </c>
      <c r="V843">
        <v>8074.11</v>
      </c>
      <c r="W843">
        <v>4999.3599999999997</v>
      </c>
      <c r="X843">
        <v>4998.72</v>
      </c>
      <c r="Y843">
        <v>0</v>
      </c>
      <c r="Z843">
        <v>0</v>
      </c>
      <c r="AA843">
        <v>35</v>
      </c>
      <c r="AB843">
        <v>50</v>
      </c>
      <c r="AC843">
        <v>5000</v>
      </c>
      <c r="AD843">
        <v>0</v>
      </c>
      <c r="AE843">
        <v>0</v>
      </c>
      <c r="AF843">
        <v>8080.67</v>
      </c>
      <c r="AG843">
        <v>8080.67</v>
      </c>
      <c r="AH843" s="14">
        <v>46267</v>
      </c>
      <c r="AI843" t="s">
        <v>269</v>
      </c>
      <c r="AJ843" s="13">
        <v>46265.054768518516</v>
      </c>
      <c r="AK843">
        <v>7052.98</v>
      </c>
      <c r="AL843" t="s">
        <v>259</v>
      </c>
      <c r="AM843" t="s">
        <v>260</v>
      </c>
      <c r="AN843">
        <v>1400</v>
      </c>
      <c r="AO843">
        <v>0</v>
      </c>
      <c r="AP843">
        <v>35</v>
      </c>
      <c r="AQ843">
        <v>85</v>
      </c>
      <c r="AR843">
        <v>35</v>
      </c>
      <c r="AS843">
        <v>2</v>
      </c>
      <c r="AT843">
        <v>23</v>
      </c>
      <c r="AU843">
        <v>1</v>
      </c>
      <c r="AV843">
        <v>0</v>
      </c>
      <c r="AW843">
        <v>10</v>
      </c>
      <c r="AX843">
        <v>1</v>
      </c>
      <c r="AY843">
        <v>7</v>
      </c>
      <c r="AZ843">
        <v>3</v>
      </c>
      <c r="BA843">
        <v>1</v>
      </c>
      <c r="BB843">
        <v>1440</v>
      </c>
      <c r="BC843">
        <v>0</v>
      </c>
      <c r="BD843">
        <v>0</v>
      </c>
      <c r="BE843">
        <v>14</v>
      </c>
      <c r="BF843">
        <v>25</v>
      </c>
      <c r="BG843">
        <v>3</v>
      </c>
      <c r="BH843">
        <v>8</v>
      </c>
      <c r="BI843">
        <v>3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0</v>
      </c>
      <c r="BQ843">
        <v>60</v>
      </c>
      <c r="BR843">
        <v>0</v>
      </c>
      <c r="BS843">
        <v>3</v>
      </c>
      <c r="BT843" t="s">
        <v>248</v>
      </c>
      <c r="BU843" t="s">
        <v>270</v>
      </c>
      <c r="BV843" t="b">
        <v>0</v>
      </c>
      <c r="BW843" t="s">
        <v>271</v>
      </c>
    </row>
    <row r="844" spans="1:75">
      <c r="A844" t="s">
        <v>248</v>
      </c>
      <c r="B844" t="s">
        <v>252</v>
      </c>
      <c r="C844">
        <v>726</v>
      </c>
      <c r="D844" t="s">
        <v>253</v>
      </c>
      <c r="E844" t="s">
        <v>254</v>
      </c>
      <c r="F844">
        <v>5</v>
      </c>
      <c r="G844" s="13">
        <v>46267.367974537039</v>
      </c>
      <c r="H844" s="13">
        <v>46267.384479166663</v>
      </c>
      <c r="I844">
        <v>1426</v>
      </c>
      <c r="J844" t="s">
        <v>255</v>
      </c>
      <c r="K844">
        <v>3</v>
      </c>
      <c r="L844">
        <v>0.12</v>
      </c>
      <c r="M844">
        <v>0.04</v>
      </c>
      <c r="N844">
        <v>3</v>
      </c>
      <c r="O844">
        <v>0.12</v>
      </c>
      <c r="P844">
        <v>34.799999999999997</v>
      </c>
      <c r="Q844">
        <v>51.36</v>
      </c>
      <c r="R844">
        <v>51.36</v>
      </c>
      <c r="S844" t="s">
        <v>263</v>
      </c>
      <c r="T844" t="s">
        <v>257</v>
      </c>
      <c r="U844">
        <v>10</v>
      </c>
      <c r="V844">
        <v>8079.99</v>
      </c>
      <c r="W844">
        <v>4999.32</v>
      </c>
      <c r="X844">
        <v>4965.2</v>
      </c>
      <c r="Y844">
        <v>0</v>
      </c>
      <c r="Z844">
        <v>0</v>
      </c>
      <c r="AA844">
        <v>35</v>
      </c>
      <c r="AB844">
        <v>50</v>
      </c>
      <c r="AC844">
        <v>5000</v>
      </c>
      <c r="AD844">
        <v>0</v>
      </c>
      <c r="AE844">
        <v>0</v>
      </c>
      <c r="AF844">
        <v>8132.03</v>
      </c>
      <c r="AG844">
        <v>8132.03</v>
      </c>
      <c r="AH844" s="14">
        <v>46267</v>
      </c>
      <c r="AI844" t="s">
        <v>269</v>
      </c>
      <c r="AJ844" s="13">
        <v>46265.054768518516</v>
      </c>
      <c r="AK844">
        <v>7052.98</v>
      </c>
      <c r="AL844" t="s">
        <v>259</v>
      </c>
      <c r="AM844" t="s">
        <v>260</v>
      </c>
      <c r="AN844">
        <v>1400</v>
      </c>
      <c r="AO844">
        <v>0</v>
      </c>
      <c r="AP844">
        <v>35</v>
      </c>
      <c r="AQ844">
        <v>85</v>
      </c>
      <c r="AR844">
        <v>35</v>
      </c>
      <c r="AS844">
        <v>2</v>
      </c>
      <c r="AT844">
        <v>23</v>
      </c>
      <c r="AU844">
        <v>1</v>
      </c>
      <c r="AV844">
        <v>0</v>
      </c>
      <c r="AW844">
        <v>10</v>
      </c>
      <c r="AX844">
        <v>1</v>
      </c>
      <c r="AY844">
        <v>7</v>
      </c>
      <c r="AZ844">
        <v>3</v>
      </c>
      <c r="BA844">
        <v>1</v>
      </c>
      <c r="BB844">
        <v>1440</v>
      </c>
      <c r="BC844">
        <v>0</v>
      </c>
      <c r="BD844">
        <v>0</v>
      </c>
      <c r="BE844">
        <v>14</v>
      </c>
      <c r="BF844">
        <v>25</v>
      </c>
      <c r="BG844">
        <v>3</v>
      </c>
      <c r="BH844">
        <v>8</v>
      </c>
      <c r="BI844">
        <v>3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0</v>
      </c>
      <c r="BQ844">
        <v>60</v>
      </c>
      <c r="BR844">
        <v>0</v>
      </c>
      <c r="BS844">
        <v>3</v>
      </c>
      <c r="BT844" t="s">
        <v>248</v>
      </c>
      <c r="BU844" t="s">
        <v>270</v>
      </c>
      <c r="BV844" t="b">
        <v>0</v>
      </c>
      <c r="BW844" t="s">
        <v>271</v>
      </c>
    </row>
    <row r="845" spans="1:75">
      <c r="A845" t="s">
        <v>248</v>
      </c>
      <c r="B845" t="s">
        <v>252</v>
      </c>
      <c r="C845">
        <v>727</v>
      </c>
      <c r="D845" t="s">
        <v>253</v>
      </c>
      <c r="E845" t="s">
        <v>254</v>
      </c>
      <c r="F845">
        <v>5</v>
      </c>
      <c r="G845" s="13">
        <v>46267.386203703703</v>
      </c>
      <c r="H845" s="13">
        <v>46267.387037037035</v>
      </c>
      <c r="I845">
        <v>72</v>
      </c>
      <c r="J845" t="s">
        <v>264</v>
      </c>
      <c r="K845">
        <v>1</v>
      </c>
      <c r="L845">
        <v>0.04</v>
      </c>
      <c r="M845">
        <v>0.04</v>
      </c>
      <c r="N845">
        <v>1</v>
      </c>
      <c r="O845">
        <v>0.04</v>
      </c>
      <c r="P845">
        <v>0.64</v>
      </c>
      <c r="Q845">
        <v>4.5599999999999996</v>
      </c>
      <c r="R845">
        <v>3.88</v>
      </c>
      <c r="S845" t="s">
        <v>256</v>
      </c>
      <c r="T845" t="s">
        <v>257</v>
      </c>
      <c r="U845">
        <v>10</v>
      </c>
      <c r="V845">
        <v>8131.39</v>
      </c>
      <c r="W845">
        <v>4999.3599999999997</v>
      </c>
      <c r="X845">
        <v>4999.3599999999997</v>
      </c>
      <c r="Y845">
        <v>0</v>
      </c>
      <c r="Z845">
        <v>0</v>
      </c>
      <c r="AA845">
        <v>35</v>
      </c>
      <c r="AB845">
        <v>50</v>
      </c>
      <c r="AC845">
        <v>5000</v>
      </c>
      <c r="AD845">
        <v>0</v>
      </c>
      <c r="AE845">
        <v>0</v>
      </c>
      <c r="AF845">
        <v>8135.19</v>
      </c>
      <c r="AG845">
        <v>8135.19</v>
      </c>
      <c r="AH845" s="14">
        <v>46267</v>
      </c>
      <c r="AI845" t="s">
        <v>269</v>
      </c>
      <c r="AJ845" s="13">
        <v>46265.054768518516</v>
      </c>
      <c r="AK845">
        <v>7052.98</v>
      </c>
      <c r="AL845" t="s">
        <v>259</v>
      </c>
      <c r="AM845" t="s">
        <v>260</v>
      </c>
      <c r="AN845">
        <v>1400</v>
      </c>
      <c r="AO845">
        <v>0</v>
      </c>
      <c r="AP845">
        <v>35</v>
      </c>
      <c r="AQ845">
        <v>85</v>
      </c>
      <c r="AR845">
        <v>35</v>
      </c>
      <c r="AS845">
        <v>2</v>
      </c>
      <c r="AT845">
        <v>23</v>
      </c>
      <c r="AU845">
        <v>1</v>
      </c>
      <c r="AV845">
        <v>0</v>
      </c>
      <c r="AW845">
        <v>10</v>
      </c>
      <c r="AX845">
        <v>1</v>
      </c>
      <c r="AY845">
        <v>7</v>
      </c>
      <c r="AZ845">
        <v>3</v>
      </c>
      <c r="BA845">
        <v>1</v>
      </c>
      <c r="BB845">
        <v>1440</v>
      </c>
      <c r="BC845">
        <v>0</v>
      </c>
      <c r="BD845">
        <v>0</v>
      </c>
      <c r="BE845">
        <v>14</v>
      </c>
      <c r="BF845">
        <v>25</v>
      </c>
      <c r="BG845">
        <v>3</v>
      </c>
      <c r="BH845">
        <v>8</v>
      </c>
      <c r="BI845">
        <v>3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0</v>
      </c>
      <c r="BQ845">
        <v>60</v>
      </c>
      <c r="BR845">
        <v>0</v>
      </c>
      <c r="BS845">
        <v>3</v>
      </c>
      <c r="BT845" t="s">
        <v>248</v>
      </c>
      <c r="BU845" t="s">
        <v>270</v>
      </c>
      <c r="BV845" t="b">
        <v>0</v>
      </c>
      <c r="BW845" t="s">
        <v>271</v>
      </c>
    </row>
    <row r="846" spans="1:75">
      <c r="A846" t="s">
        <v>248</v>
      </c>
      <c r="B846" t="s">
        <v>252</v>
      </c>
      <c r="C846">
        <v>728</v>
      </c>
      <c r="D846" t="s">
        <v>253</v>
      </c>
      <c r="E846" t="s">
        <v>254</v>
      </c>
      <c r="F846">
        <v>5</v>
      </c>
      <c r="G846" s="13">
        <v>46267.390601851854</v>
      </c>
      <c r="H846" s="13">
        <v>46267.397083333337</v>
      </c>
      <c r="I846">
        <v>560</v>
      </c>
      <c r="J846" t="s">
        <v>264</v>
      </c>
      <c r="K846">
        <v>2</v>
      </c>
      <c r="L846">
        <v>0.08</v>
      </c>
      <c r="M846">
        <v>0.04</v>
      </c>
      <c r="N846">
        <v>2</v>
      </c>
      <c r="O846">
        <v>0.08</v>
      </c>
      <c r="P846">
        <v>23.24</v>
      </c>
      <c r="Q846">
        <v>10.76</v>
      </c>
      <c r="R846">
        <v>5.72</v>
      </c>
      <c r="S846" t="s">
        <v>263</v>
      </c>
      <c r="T846" t="s">
        <v>257</v>
      </c>
      <c r="U846">
        <v>11</v>
      </c>
      <c r="V846">
        <v>8134.55</v>
      </c>
      <c r="W846">
        <v>4999.3599999999997</v>
      </c>
      <c r="X846">
        <v>4976.76</v>
      </c>
      <c r="Y846">
        <v>0</v>
      </c>
      <c r="Z846">
        <v>0</v>
      </c>
      <c r="AA846">
        <v>35</v>
      </c>
      <c r="AB846">
        <v>50</v>
      </c>
      <c r="AC846">
        <v>5000</v>
      </c>
      <c r="AD846">
        <v>0</v>
      </c>
      <c r="AE846">
        <v>0</v>
      </c>
      <c r="AF846">
        <v>8141.23</v>
      </c>
      <c r="AG846">
        <v>8141.23</v>
      </c>
      <c r="AH846" s="14">
        <v>46267</v>
      </c>
      <c r="AI846" t="s">
        <v>269</v>
      </c>
      <c r="AJ846" s="13">
        <v>46265.054768518516</v>
      </c>
      <c r="AK846">
        <v>7052.98</v>
      </c>
      <c r="AL846" t="s">
        <v>259</v>
      </c>
      <c r="AM846" t="s">
        <v>260</v>
      </c>
      <c r="AN846">
        <v>1400</v>
      </c>
      <c r="AO846">
        <v>0</v>
      </c>
      <c r="AP846">
        <v>35</v>
      </c>
      <c r="AQ846">
        <v>85</v>
      </c>
      <c r="AR846">
        <v>35</v>
      </c>
      <c r="AS846">
        <v>2</v>
      </c>
      <c r="AT846">
        <v>23</v>
      </c>
      <c r="AU846">
        <v>1</v>
      </c>
      <c r="AV846">
        <v>0</v>
      </c>
      <c r="AW846">
        <v>10</v>
      </c>
      <c r="AX846">
        <v>1</v>
      </c>
      <c r="AY846">
        <v>7</v>
      </c>
      <c r="AZ846">
        <v>3</v>
      </c>
      <c r="BA846">
        <v>1</v>
      </c>
      <c r="BB846">
        <v>1440</v>
      </c>
      <c r="BC846">
        <v>0</v>
      </c>
      <c r="BD846">
        <v>0</v>
      </c>
      <c r="BE846">
        <v>14</v>
      </c>
      <c r="BF846">
        <v>25</v>
      </c>
      <c r="BG846">
        <v>3</v>
      </c>
      <c r="BH846">
        <v>8</v>
      </c>
      <c r="BI846">
        <v>3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0</v>
      </c>
      <c r="BQ846">
        <v>60</v>
      </c>
      <c r="BR846">
        <v>0</v>
      </c>
      <c r="BS846">
        <v>3</v>
      </c>
      <c r="BT846" t="s">
        <v>248</v>
      </c>
      <c r="BU846" t="s">
        <v>270</v>
      </c>
      <c r="BV846" t="b">
        <v>0</v>
      </c>
      <c r="BW846" t="s">
        <v>271</v>
      </c>
    </row>
    <row r="847" spans="1:75">
      <c r="A847" t="s">
        <v>248</v>
      </c>
      <c r="B847" t="s">
        <v>252</v>
      </c>
      <c r="C847">
        <v>729</v>
      </c>
      <c r="D847" t="s">
        <v>253</v>
      </c>
      <c r="E847" t="s">
        <v>254</v>
      </c>
      <c r="F847">
        <v>5</v>
      </c>
      <c r="G847" s="13">
        <v>46267.398229166669</v>
      </c>
      <c r="H847" s="13">
        <v>46267.398900462962</v>
      </c>
      <c r="I847">
        <v>58</v>
      </c>
      <c r="J847" t="s">
        <v>264</v>
      </c>
      <c r="K847">
        <v>1</v>
      </c>
      <c r="L847">
        <v>0.04</v>
      </c>
      <c r="M847">
        <v>0.04</v>
      </c>
      <c r="N847">
        <v>1</v>
      </c>
      <c r="O847">
        <v>0.04</v>
      </c>
      <c r="P847">
        <v>1.88</v>
      </c>
      <c r="Q847">
        <v>4</v>
      </c>
      <c r="R847">
        <v>3.28</v>
      </c>
      <c r="S847" t="s">
        <v>256</v>
      </c>
      <c r="T847" t="s">
        <v>257</v>
      </c>
      <c r="U847">
        <v>10</v>
      </c>
      <c r="V847">
        <v>8140.59</v>
      </c>
      <c r="W847">
        <v>4999.3599999999997</v>
      </c>
      <c r="X847">
        <v>4998.12</v>
      </c>
      <c r="Y847">
        <v>0</v>
      </c>
      <c r="Z847">
        <v>0</v>
      </c>
      <c r="AA847">
        <v>35</v>
      </c>
      <c r="AB847">
        <v>50</v>
      </c>
      <c r="AC847">
        <v>5000</v>
      </c>
      <c r="AD847">
        <v>0</v>
      </c>
      <c r="AE847">
        <v>0</v>
      </c>
      <c r="AF847">
        <v>8143.75</v>
      </c>
      <c r="AG847">
        <v>8143.75</v>
      </c>
      <c r="AH847" s="14">
        <v>46267</v>
      </c>
      <c r="AI847" t="s">
        <v>269</v>
      </c>
      <c r="AJ847" s="13">
        <v>46265.054768518516</v>
      </c>
      <c r="AK847">
        <v>7052.98</v>
      </c>
      <c r="AL847" t="s">
        <v>259</v>
      </c>
      <c r="AM847" t="s">
        <v>260</v>
      </c>
      <c r="AN847">
        <v>1400</v>
      </c>
      <c r="AO847">
        <v>0</v>
      </c>
      <c r="AP847">
        <v>35</v>
      </c>
      <c r="AQ847">
        <v>85</v>
      </c>
      <c r="AR847">
        <v>35</v>
      </c>
      <c r="AS847">
        <v>2</v>
      </c>
      <c r="AT847">
        <v>23</v>
      </c>
      <c r="AU847">
        <v>1</v>
      </c>
      <c r="AV847">
        <v>0</v>
      </c>
      <c r="AW847">
        <v>10</v>
      </c>
      <c r="AX847">
        <v>1</v>
      </c>
      <c r="AY847">
        <v>7</v>
      </c>
      <c r="AZ847">
        <v>3</v>
      </c>
      <c r="BA847">
        <v>1</v>
      </c>
      <c r="BB847">
        <v>1440</v>
      </c>
      <c r="BC847">
        <v>0</v>
      </c>
      <c r="BD847">
        <v>0</v>
      </c>
      <c r="BE847">
        <v>14</v>
      </c>
      <c r="BF847">
        <v>25</v>
      </c>
      <c r="BG847">
        <v>3</v>
      </c>
      <c r="BH847">
        <v>8</v>
      </c>
      <c r="BI847">
        <v>3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0</v>
      </c>
      <c r="BQ847">
        <v>60</v>
      </c>
      <c r="BR847">
        <v>0</v>
      </c>
      <c r="BS847">
        <v>3</v>
      </c>
      <c r="BT847" t="s">
        <v>248</v>
      </c>
      <c r="BU847" t="s">
        <v>270</v>
      </c>
      <c r="BV847" t="b">
        <v>0</v>
      </c>
      <c r="BW847" t="s">
        <v>271</v>
      </c>
    </row>
    <row r="848" spans="1:75">
      <c r="A848" t="s">
        <v>248</v>
      </c>
      <c r="B848" t="s">
        <v>252</v>
      </c>
      <c r="C848">
        <v>730</v>
      </c>
      <c r="D848" t="s">
        <v>253</v>
      </c>
      <c r="E848" t="s">
        <v>254</v>
      </c>
      <c r="F848">
        <v>5</v>
      </c>
      <c r="G848" s="13">
        <v>46267.40179398148</v>
      </c>
      <c r="H848" s="13">
        <v>46267.402604166666</v>
      </c>
      <c r="I848">
        <v>70</v>
      </c>
      <c r="J848" t="s">
        <v>255</v>
      </c>
      <c r="K848">
        <v>1</v>
      </c>
      <c r="L848">
        <v>0.04</v>
      </c>
      <c r="M848">
        <v>0.04</v>
      </c>
      <c r="N848">
        <v>1</v>
      </c>
      <c r="O848">
        <v>0.04</v>
      </c>
      <c r="P848">
        <v>2.6</v>
      </c>
      <c r="Q848">
        <v>9.52</v>
      </c>
      <c r="R848">
        <v>9.52</v>
      </c>
      <c r="S848" t="s">
        <v>256</v>
      </c>
      <c r="T848" t="s">
        <v>257</v>
      </c>
      <c r="U848">
        <v>11</v>
      </c>
      <c r="V848">
        <v>8143.07</v>
      </c>
      <c r="W848">
        <v>4999.32</v>
      </c>
      <c r="X848">
        <v>4997.3999999999996</v>
      </c>
      <c r="Y848">
        <v>0</v>
      </c>
      <c r="Z848">
        <v>0</v>
      </c>
      <c r="AA848">
        <v>35</v>
      </c>
      <c r="AB848">
        <v>50</v>
      </c>
      <c r="AC848">
        <v>5000</v>
      </c>
      <c r="AD848">
        <v>0</v>
      </c>
      <c r="AE848">
        <v>0</v>
      </c>
      <c r="AF848">
        <v>8151.87</v>
      </c>
      <c r="AG848">
        <v>8151.87</v>
      </c>
      <c r="AH848" s="14">
        <v>46267</v>
      </c>
      <c r="AI848" t="s">
        <v>269</v>
      </c>
      <c r="AJ848" s="13">
        <v>46265.054768518516</v>
      </c>
      <c r="AK848">
        <v>7052.98</v>
      </c>
      <c r="AL848" t="s">
        <v>259</v>
      </c>
      <c r="AM848" t="s">
        <v>260</v>
      </c>
      <c r="AN848">
        <v>1400</v>
      </c>
      <c r="AO848">
        <v>0</v>
      </c>
      <c r="AP848">
        <v>35</v>
      </c>
      <c r="AQ848">
        <v>85</v>
      </c>
      <c r="AR848">
        <v>35</v>
      </c>
      <c r="AS848">
        <v>2</v>
      </c>
      <c r="AT848">
        <v>23</v>
      </c>
      <c r="AU848">
        <v>1</v>
      </c>
      <c r="AV848">
        <v>0</v>
      </c>
      <c r="AW848">
        <v>10</v>
      </c>
      <c r="AX848">
        <v>1</v>
      </c>
      <c r="AY848">
        <v>7</v>
      </c>
      <c r="AZ848">
        <v>3</v>
      </c>
      <c r="BA848">
        <v>1</v>
      </c>
      <c r="BB848">
        <v>1440</v>
      </c>
      <c r="BC848">
        <v>0</v>
      </c>
      <c r="BD848">
        <v>0</v>
      </c>
      <c r="BE848">
        <v>14</v>
      </c>
      <c r="BF848">
        <v>25</v>
      </c>
      <c r="BG848">
        <v>3</v>
      </c>
      <c r="BH848">
        <v>8</v>
      </c>
      <c r="BI848">
        <v>3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0</v>
      </c>
      <c r="BQ848">
        <v>60</v>
      </c>
      <c r="BR848">
        <v>0</v>
      </c>
      <c r="BS848">
        <v>3</v>
      </c>
      <c r="BT848" t="s">
        <v>248</v>
      </c>
      <c r="BU848" t="s">
        <v>270</v>
      </c>
      <c r="BV848" t="b">
        <v>0</v>
      </c>
      <c r="BW848" t="s">
        <v>271</v>
      </c>
    </row>
    <row r="849" spans="1:75">
      <c r="A849" t="s">
        <v>248</v>
      </c>
      <c r="B849" t="s">
        <v>252</v>
      </c>
      <c r="C849">
        <v>731</v>
      </c>
      <c r="D849" t="s">
        <v>253</v>
      </c>
      <c r="E849" t="s">
        <v>254</v>
      </c>
      <c r="F849">
        <v>5</v>
      </c>
      <c r="G849" s="13">
        <v>46267.404189814813</v>
      </c>
      <c r="H849" s="13">
        <v>46267.418344907404</v>
      </c>
      <c r="I849">
        <v>1223</v>
      </c>
      <c r="J849" t="s">
        <v>255</v>
      </c>
      <c r="K849">
        <v>3</v>
      </c>
      <c r="L849">
        <v>0.12</v>
      </c>
      <c r="M849">
        <v>0.04</v>
      </c>
      <c r="N849">
        <v>3</v>
      </c>
      <c r="O849">
        <v>0.12</v>
      </c>
      <c r="P849">
        <v>47.8</v>
      </c>
      <c r="Q849">
        <v>7.84</v>
      </c>
      <c r="R849">
        <v>-0.48</v>
      </c>
      <c r="S849" t="s">
        <v>263</v>
      </c>
      <c r="T849" t="s">
        <v>256</v>
      </c>
      <c r="U849">
        <v>10</v>
      </c>
      <c r="V849">
        <v>8151.19</v>
      </c>
      <c r="W849">
        <v>4999.32</v>
      </c>
      <c r="X849">
        <v>4952.2</v>
      </c>
      <c r="Y849">
        <v>0</v>
      </c>
      <c r="Z849">
        <v>0</v>
      </c>
      <c r="AA849">
        <v>35</v>
      </c>
      <c r="AB849">
        <v>50</v>
      </c>
      <c r="AC849">
        <v>5000</v>
      </c>
      <c r="AD849">
        <v>0</v>
      </c>
      <c r="AE849">
        <v>0</v>
      </c>
      <c r="AF849">
        <v>8151.63</v>
      </c>
      <c r="AG849">
        <v>8151.63</v>
      </c>
      <c r="AH849" s="14">
        <v>46267</v>
      </c>
      <c r="AI849" t="s">
        <v>269</v>
      </c>
      <c r="AJ849" s="13">
        <v>46265.054768518516</v>
      </c>
      <c r="AK849">
        <v>7052.98</v>
      </c>
      <c r="AL849" t="s">
        <v>259</v>
      </c>
      <c r="AM849" t="s">
        <v>260</v>
      </c>
      <c r="AN849">
        <v>1400</v>
      </c>
      <c r="AO849">
        <v>0</v>
      </c>
      <c r="AP849">
        <v>35</v>
      </c>
      <c r="AQ849">
        <v>85</v>
      </c>
      <c r="AR849">
        <v>35</v>
      </c>
      <c r="AS849">
        <v>2</v>
      </c>
      <c r="AT849">
        <v>23</v>
      </c>
      <c r="AU849">
        <v>1</v>
      </c>
      <c r="AV849">
        <v>0</v>
      </c>
      <c r="AW849">
        <v>10</v>
      </c>
      <c r="AX849">
        <v>1</v>
      </c>
      <c r="AY849">
        <v>7</v>
      </c>
      <c r="AZ849">
        <v>3</v>
      </c>
      <c r="BA849">
        <v>1</v>
      </c>
      <c r="BB849">
        <v>1440</v>
      </c>
      <c r="BC849">
        <v>0</v>
      </c>
      <c r="BD849">
        <v>0</v>
      </c>
      <c r="BE849">
        <v>14</v>
      </c>
      <c r="BF849">
        <v>25</v>
      </c>
      <c r="BG849">
        <v>3</v>
      </c>
      <c r="BH849">
        <v>8</v>
      </c>
      <c r="BI849">
        <v>3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0</v>
      </c>
      <c r="BQ849">
        <v>60</v>
      </c>
      <c r="BR849">
        <v>0</v>
      </c>
      <c r="BS849">
        <v>3</v>
      </c>
      <c r="BT849" t="s">
        <v>248</v>
      </c>
      <c r="BU849" t="s">
        <v>270</v>
      </c>
      <c r="BV849" t="b">
        <v>0</v>
      </c>
      <c r="BW849" t="s">
        <v>271</v>
      </c>
    </row>
    <row r="850" spans="1:75">
      <c r="A850" t="s">
        <v>248</v>
      </c>
      <c r="B850" t="s">
        <v>252</v>
      </c>
      <c r="C850">
        <v>732</v>
      </c>
      <c r="D850" t="s">
        <v>253</v>
      </c>
      <c r="E850" t="s">
        <v>254</v>
      </c>
      <c r="F850">
        <v>5</v>
      </c>
      <c r="G850" s="13">
        <v>46267.421388888892</v>
      </c>
      <c r="H850" s="13">
        <v>46267.422048611108</v>
      </c>
      <c r="I850">
        <v>57</v>
      </c>
      <c r="J850" t="s">
        <v>255</v>
      </c>
      <c r="K850">
        <v>1</v>
      </c>
      <c r="L850">
        <v>0.04</v>
      </c>
      <c r="M850">
        <v>0.04</v>
      </c>
      <c r="N850">
        <v>1</v>
      </c>
      <c r="O850">
        <v>0.04</v>
      </c>
      <c r="P850">
        <v>1.44</v>
      </c>
      <c r="Q850">
        <v>13.36</v>
      </c>
      <c r="R850">
        <v>12.04</v>
      </c>
      <c r="S850" t="s">
        <v>256</v>
      </c>
      <c r="T850" t="s">
        <v>257</v>
      </c>
      <c r="U850">
        <v>10</v>
      </c>
      <c r="V850">
        <v>8150.95</v>
      </c>
      <c r="W850">
        <v>4999.32</v>
      </c>
      <c r="X850">
        <v>4998.5600000000004</v>
      </c>
      <c r="Y850">
        <v>0</v>
      </c>
      <c r="Z850">
        <v>0</v>
      </c>
      <c r="AA850">
        <v>35</v>
      </c>
      <c r="AB850">
        <v>50</v>
      </c>
      <c r="AC850">
        <v>5000</v>
      </c>
      <c r="AD850">
        <v>0</v>
      </c>
      <c r="AE850">
        <v>0</v>
      </c>
      <c r="AF850">
        <v>8163.59</v>
      </c>
      <c r="AG850">
        <v>8163.59</v>
      </c>
      <c r="AH850" s="14">
        <v>46267</v>
      </c>
      <c r="AI850" t="s">
        <v>269</v>
      </c>
      <c r="AJ850" s="13">
        <v>46265.054768518516</v>
      </c>
      <c r="AK850">
        <v>7052.98</v>
      </c>
      <c r="AL850" t="s">
        <v>259</v>
      </c>
      <c r="AM850" t="s">
        <v>260</v>
      </c>
      <c r="AN850">
        <v>1400</v>
      </c>
      <c r="AO850">
        <v>0</v>
      </c>
      <c r="AP850">
        <v>35</v>
      </c>
      <c r="AQ850">
        <v>85</v>
      </c>
      <c r="AR850">
        <v>35</v>
      </c>
      <c r="AS850">
        <v>2</v>
      </c>
      <c r="AT850">
        <v>23</v>
      </c>
      <c r="AU850">
        <v>1</v>
      </c>
      <c r="AV850">
        <v>0</v>
      </c>
      <c r="AW850">
        <v>10</v>
      </c>
      <c r="AX850">
        <v>1</v>
      </c>
      <c r="AY850">
        <v>7</v>
      </c>
      <c r="AZ850">
        <v>3</v>
      </c>
      <c r="BA850">
        <v>1</v>
      </c>
      <c r="BB850">
        <v>1440</v>
      </c>
      <c r="BC850">
        <v>0</v>
      </c>
      <c r="BD850">
        <v>0</v>
      </c>
      <c r="BE850">
        <v>14</v>
      </c>
      <c r="BF850">
        <v>25</v>
      </c>
      <c r="BG850">
        <v>3</v>
      </c>
      <c r="BH850">
        <v>8</v>
      </c>
      <c r="BI850">
        <v>3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0</v>
      </c>
      <c r="BQ850">
        <v>60</v>
      </c>
      <c r="BR850">
        <v>0</v>
      </c>
      <c r="BS850">
        <v>3</v>
      </c>
      <c r="BT850" t="s">
        <v>248</v>
      </c>
      <c r="BU850" t="s">
        <v>270</v>
      </c>
      <c r="BV850" t="b">
        <v>0</v>
      </c>
      <c r="BW850" t="s">
        <v>271</v>
      </c>
    </row>
    <row r="851" spans="1:75">
      <c r="A851" t="s">
        <v>248</v>
      </c>
      <c r="B851" t="s">
        <v>252</v>
      </c>
      <c r="C851">
        <v>733</v>
      </c>
      <c r="D851" t="s">
        <v>253</v>
      </c>
      <c r="E851" t="s">
        <v>254</v>
      </c>
      <c r="F851">
        <v>5</v>
      </c>
      <c r="G851" s="13">
        <v>46267.423993055556</v>
      </c>
      <c r="H851" s="13">
        <v>46267.439247685186</v>
      </c>
      <c r="I851">
        <v>1318</v>
      </c>
      <c r="J851" t="s">
        <v>255</v>
      </c>
      <c r="K851">
        <v>4</v>
      </c>
      <c r="L851">
        <v>0.16</v>
      </c>
      <c r="M851">
        <v>0.04</v>
      </c>
      <c r="N851">
        <v>4</v>
      </c>
      <c r="O851">
        <v>0.16</v>
      </c>
      <c r="P851">
        <v>50.32</v>
      </c>
      <c r="Q851">
        <v>12.32</v>
      </c>
      <c r="R851">
        <v>9.2799999999999994</v>
      </c>
      <c r="S851" t="s">
        <v>263</v>
      </c>
      <c r="T851" t="s">
        <v>257</v>
      </c>
      <c r="U851">
        <v>11</v>
      </c>
      <c r="V851">
        <v>8162.91</v>
      </c>
      <c r="W851">
        <v>4999.32</v>
      </c>
      <c r="X851">
        <v>4949.68</v>
      </c>
      <c r="Y851">
        <v>0</v>
      </c>
      <c r="Z851">
        <v>0</v>
      </c>
      <c r="AA851">
        <v>35</v>
      </c>
      <c r="AB851">
        <v>50</v>
      </c>
      <c r="AC851">
        <v>5000</v>
      </c>
      <c r="AD851">
        <v>0</v>
      </c>
      <c r="AE851">
        <v>0</v>
      </c>
      <c r="AF851">
        <v>8172.95</v>
      </c>
      <c r="AG851">
        <v>8172.95</v>
      </c>
      <c r="AH851" s="14">
        <v>46267</v>
      </c>
      <c r="AI851" t="s">
        <v>269</v>
      </c>
      <c r="AJ851" s="13">
        <v>46265.054768518516</v>
      </c>
      <c r="AK851">
        <v>7052.98</v>
      </c>
      <c r="AL851" t="s">
        <v>259</v>
      </c>
      <c r="AM851" t="s">
        <v>260</v>
      </c>
      <c r="AN851">
        <v>1400</v>
      </c>
      <c r="AO851">
        <v>0</v>
      </c>
      <c r="AP851">
        <v>35</v>
      </c>
      <c r="AQ851">
        <v>85</v>
      </c>
      <c r="AR851">
        <v>35</v>
      </c>
      <c r="AS851">
        <v>2</v>
      </c>
      <c r="AT851">
        <v>23</v>
      </c>
      <c r="AU851">
        <v>1</v>
      </c>
      <c r="AV851">
        <v>0</v>
      </c>
      <c r="AW851">
        <v>10</v>
      </c>
      <c r="AX851">
        <v>1</v>
      </c>
      <c r="AY851">
        <v>7</v>
      </c>
      <c r="AZ851">
        <v>3</v>
      </c>
      <c r="BA851">
        <v>1</v>
      </c>
      <c r="BB851">
        <v>1440</v>
      </c>
      <c r="BC851">
        <v>0</v>
      </c>
      <c r="BD851">
        <v>0</v>
      </c>
      <c r="BE851">
        <v>14</v>
      </c>
      <c r="BF851">
        <v>25</v>
      </c>
      <c r="BG851">
        <v>3</v>
      </c>
      <c r="BH851">
        <v>8</v>
      </c>
      <c r="BI851">
        <v>3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0</v>
      </c>
      <c r="BQ851">
        <v>60</v>
      </c>
      <c r="BR851">
        <v>0</v>
      </c>
      <c r="BS851">
        <v>3</v>
      </c>
      <c r="BT851" t="s">
        <v>248</v>
      </c>
      <c r="BU851" t="s">
        <v>270</v>
      </c>
      <c r="BV851" t="b">
        <v>0</v>
      </c>
      <c r="BW851" t="s">
        <v>271</v>
      </c>
    </row>
    <row r="852" spans="1:75">
      <c r="A852" t="s">
        <v>248</v>
      </c>
      <c r="B852" t="s">
        <v>252</v>
      </c>
      <c r="C852">
        <v>734</v>
      </c>
      <c r="D852" t="s">
        <v>253</v>
      </c>
      <c r="E852" t="s">
        <v>254</v>
      </c>
      <c r="F852">
        <v>5</v>
      </c>
      <c r="G852" s="13">
        <v>46267.443067129629</v>
      </c>
      <c r="H852" s="13">
        <v>46267.443564814814</v>
      </c>
      <c r="I852">
        <v>43</v>
      </c>
      <c r="J852" t="s">
        <v>255</v>
      </c>
      <c r="K852">
        <v>1</v>
      </c>
      <c r="L852">
        <v>0.04</v>
      </c>
      <c r="M852">
        <v>0.04</v>
      </c>
      <c r="N852">
        <v>1</v>
      </c>
      <c r="O852">
        <v>0.04</v>
      </c>
      <c r="P852">
        <v>1.56</v>
      </c>
      <c r="Q852">
        <v>4.76</v>
      </c>
      <c r="R852">
        <v>4.76</v>
      </c>
      <c r="S852" t="s">
        <v>256</v>
      </c>
      <c r="T852" t="s">
        <v>257</v>
      </c>
      <c r="U852">
        <v>10</v>
      </c>
      <c r="V852">
        <v>8172.31</v>
      </c>
      <c r="W852">
        <v>4999.3599999999997</v>
      </c>
      <c r="X852">
        <v>4998.4399999999996</v>
      </c>
      <c r="Y852">
        <v>0</v>
      </c>
      <c r="Z852">
        <v>0</v>
      </c>
      <c r="AA852">
        <v>35</v>
      </c>
      <c r="AB852">
        <v>50</v>
      </c>
      <c r="AC852">
        <v>5000</v>
      </c>
      <c r="AD852">
        <v>0</v>
      </c>
      <c r="AE852">
        <v>0</v>
      </c>
      <c r="AF852">
        <v>8176.31</v>
      </c>
      <c r="AG852">
        <v>8176.31</v>
      </c>
      <c r="AH852" s="14">
        <v>46267</v>
      </c>
      <c r="AI852" t="s">
        <v>269</v>
      </c>
      <c r="AJ852" s="13">
        <v>46265.054768518516</v>
      </c>
      <c r="AK852">
        <v>7052.98</v>
      </c>
      <c r="AL852" t="s">
        <v>259</v>
      </c>
      <c r="AM852" t="s">
        <v>260</v>
      </c>
      <c r="AN852">
        <v>1400</v>
      </c>
      <c r="AO852">
        <v>0</v>
      </c>
      <c r="AP852">
        <v>35</v>
      </c>
      <c r="AQ852">
        <v>85</v>
      </c>
      <c r="AR852">
        <v>35</v>
      </c>
      <c r="AS852">
        <v>2</v>
      </c>
      <c r="AT852">
        <v>23</v>
      </c>
      <c r="AU852">
        <v>1</v>
      </c>
      <c r="AV852">
        <v>0</v>
      </c>
      <c r="AW852">
        <v>10</v>
      </c>
      <c r="AX852">
        <v>1</v>
      </c>
      <c r="AY852">
        <v>7</v>
      </c>
      <c r="AZ852">
        <v>3</v>
      </c>
      <c r="BA852">
        <v>1</v>
      </c>
      <c r="BB852">
        <v>1440</v>
      </c>
      <c r="BC852">
        <v>0</v>
      </c>
      <c r="BD852">
        <v>0</v>
      </c>
      <c r="BE852">
        <v>14</v>
      </c>
      <c r="BF852">
        <v>25</v>
      </c>
      <c r="BG852">
        <v>3</v>
      </c>
      <c r="BH852">
        <v>8</v>
      </c>
      <c r="BI852">
        <v>3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0</v>
      </c>
      <c r="BQ852">
        <v>60</v>
      </c>
      <c r="BR852">
        <v>0</v>
      </c>
      <c r="BS852">
        <v>3</v>
      </c>
      <c r="BT852" t="s">
        <v>248</v>
      </c>
      <c r="BU852" t="s">
        <v>270</v>
      </c>
      <c r="BV852" t="b">
        <v>0</v>
      </c>
      <c r="BW852" t="s">
        <v>271</v>
      </c>
    </row>
    <row r="853" spans="1:75">
      <c r="A853" t="s">
        <v>248</v>
      </c>
      <c r="B853" t="s">
        <v>252</v>
      </c>
      <c r="C853">
        <v>735</v>
      </c>
      <c r="D853" t="s">
        <v>253</v>
      </c>
      <c r="E853" t="s">
        <v>254</v>
      </c>
      <c r="F853">
        <v>5</v>
      </c>
      <c r="G853" s="13">
        <v>46267.447141203702</v>
      </c>
      <c r="H853" s="13">
        <v>46267.447581018518</v>
      </c>
      <c r="I853">
        <v>38</v>
      </c>
      <c r="J853" t="s">
        <v>264</v>
      </c>
      <c r="K853">
        <v>1</v>
      </c>
      <c r="L853">
        <v>0.04</v>
      </c>
      <c r="M853">
        <v>0.04</v>
      </c>
      <c r="N853">
        <v>1</v>
      </c>
      <c r="O853">
        <v>0.04</v>
      </c>
      <c r="P853">
        <v>0.68</v>
      </c>
      <c r="Q853">
        <v>6.44</v>
      </c>
      <c r="R853">
        <v>6.44</v>
      </c>
      <c r="S853" t="s">
        <v>256</v>
      </c>
      <c r="T853" t="s">
        <v>257</v>
      </c>
      <c r="U853">
        <v>10</v>
      </c>
      <c r="V853">
        <v>8175.63</v>
      </c>
      <c r="W853">
        <v>4999.32</v>
      </c>
      <c r="X853">
        <v>4999.32</v>
      </c>
      <c r="Y853">
        <v>0</v>
      </c>
      <c r="Z853">
        <v>0</v>
      </c>
      <c r="AA853">
        <v>35</v>
      </c>
      <c r="AB853">
        <v>50</v>
      </c>
      <c r="AC853">
        <v>5000</v>
      </c>
      <c r="AD853">
        <v>0</v>
      </c>
      <c r="AE853">
        <v>0</v>
      </c>
      <c r="AF853">
        <v>8181.35</v>
      </c>
      <c r="AG853">
        <v>8181.35</v>
      </c>
      <c r="AH853" s="14">
        <v>46267</v>
      </c>
      <c r="AI853" t="s">
        <v>269</v>
      </c>
      <c r="AJ853" s="13">
        <v>46265.054768518516</v>
      </c>
      <c r="AK853">
        <v>7052.98</v>
      </c>
      <c r="AL853" t="s">
        <v>259</v>
      </c>
      <c r="AM853" t="s">
        <v>260</v>
      </c>
      <c r="AN853">
        <v>1400</v>
      </c>
      <c r="AO853">
        <v>0</v>
      </c>
      <c r="AP853">
        <v>35</v>
      </c>
      <c r="AQ853">
        <v>85</v>
      </c>
      <c r="AR853">
        <v>35</v>
      </c>
      <c r="AS853">
        <v>2</v>
      </c>
      <c r="AT853">
        <v>23</v>
      </c>
      <c r="AU853">
        <v>1</v>
      </c>
      <c r="AV853">
        <v>0</v>
      </c>
      <c r="AW853">
        <v>10</v>
      </c>
      <c r="AX853">
        <v>1</v>
      </c>
      <c r="AY853">
        <v>7</v>
      </c>
      <c r="AZ853">
        <v>3</v>
      </c>
      <c r="BA853">
        <v>1</v>
      </c>
      <c r="BB853">
        <v>1440</v>
      </c>
      <c r="BC853">
        <v>0</v>
      </c>
      <c r="BD853">
        <v>0</v>
      </c>
      <c r="BE853">
        <v>14</v>
      </c>
      <c r="BF853">
        <v>25</v>
      </c>
      <c r="BG853">
        <v>3</v>
      </c>
      <c r="BH853">
        <v>8</v>
      </c>
      <c r="BI853">
        <v>3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0</v>
      </c>
      <c r="BQ853">
        <v>60</v>
      </c>
      <c r="BR853">
        <v>0</v>
      </c>
      <c r="BS853">
        <v>3</v>
      </c>
      <c r="BT853" t="s">
        <v>248</v>
      </c>
      <c r="BU853" t="s">
        <v>270</v>
      </c>
      <c r="BV853" t="b">
        <v>0</v>
      </c>
      <c r="BW853" t="s">
        <v>271</v>
      </c>
    </row>
    <row r="854" spans="1:75">
      <c r="A854" t="s">
        <v>248</v>
      </c>
      <c r="B854" t="s">
        <v>252</v>
      </c>
      <c r="C854">
        <v>736</v>
      </c>
      <c r="D854" t="s">
        <v>253</v>
      </c>
      <c r="E854" t="s">
        <v>254</v>
      </c>
      <c r="F854">
        <v>5</v>
      </c>
      <c r="G854" s="13">
        <v>46267.459814814814</v>
      </c>
      <c r="H854" s="13">
        <v>46267.461689814816</v>
      </c>
      <c r="I854">
        <v>162</v>
      </c>
      <c r="J854" t="s">
        <v>255</v>
      </c>
      <c r="K854">
        <v>1</v>
      </c>
      <c r="L854">
        <v>0.04</v>
      </c>
      <c r="M854">
        <v>0.04</v>
      </c>
      <c r="N854">
        <v>1</v>
      </c>
      <c r="O854">
        <v>0.04</v>
      </c>
      <c r="P854">
        <v>9.8000000000000007</v>
      </c>
      <c r="Q854">
        <v>7</v>
      </c>
      <c r="R854">
        <v>6.64</v>
      </c>
      <c r="S854" t="s">
        <v>256</v>
      </c>
      <c r="T854" t="s">
        <v>257</v>
      </c>
      <c r="U854">
        <v>11</v>
      </c>
      <c r="V854">
        <v>8180.67</v>
      </c>
      <c r="W854">
        <v>4999.32</v>
      </c>
      <c r="X854">
        <v>4990.2</v>
      </c>
      <c r="Y854">
        <v>0</v>
      </c>
      <c r="Z854">
        <v>0</v>
      </c>
      <c r="AA854">
        <v>35</v>
      </c>
      <c r="AB854">
        <v>50</v>
      </c>
      <c r="AC854">
        <v>5000</v>
      </c>
      <c r="AD854">
        <v>0</v>
      </c>
      <c r="AE854">
        <v>0</v>
      </c>
      <c r="AF854">
        <v>8186.91</v>
      </c>
      <c r="AG854">
        <v>8186.91</v>
      </c>
      <c r="AH854" s="14">
        <v>46267</v>
      </c>
      <c r="AI854" t="s">
        <v>269</v>
      </c>
      <c r="AJ854" s="13">
        <v>46265.054768518516</v>
      </c>
      <c r="AK854">
        <v>7052.98</v>
      </c>
      <c r="AL854" t="s">
        <v>259</v>
      </c>
      <c r="AM854" t="s">
        <v>260</v>
      </c>
      <c r="AN854">
        <v>1400</v>
      </c>
      <c r="AO854">
        <v>0</v>
      </c>
      <c r="AP854">
        <v>35</v>
      </c>
      <c r="AQ854">
        <v>85</v>
      </c>
      <c r="AR854">
        <v>35</v>
      </c>
      <c r="AS854">
        <v>2</v>
      </c>
      <c r="AT854">
        <v>23</v>
      </c>
      <c r="AU854">
        <v>1</v>
      </c>
      <c r="AV854">
        <v>0</v>
      </c>
      <c r="AW854">
        <v>10</v>
      </c>
      <c r="AX854">
        <v>1</v>
      </c>
      <c r="AY854">
        <v>7</v>
      </c>
      <c r="AZ854">
        <v>3</v>
      </c>
      <c r="BA854">
        <v>1</v>
      </c>
      <c r="BB854">
        <v>1440</v>
      </c>
      <c r="BC854">
        <v>0</v>
      </c>
      <c r="BD854">
        <v>0</v>
      </c>
      <c r="BE854">
        <v>14</v>
      </c>
      <c r="BF854">
        <v>25</v>
      </c>
      <c r="BG854">
        <v>3</v>
      </c>
      <c r="BH854">
        <v>8</v>
      </c>
      <c r="BI854">
        <v>3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0</v>
      </c>
      <c r="BQ854">
        <v>60</v>
      </c>
      <c r="BR854">
        <v>0</v>
      </c>
      <c r="BS854">
        <v>3</v>
      </c>
      <c r="BT854" t="s">
        <v>248</v>
      </c>
      <c r="BU854" t="s">
        <v>270</v>
      </c>
      <c r="BV854" t="b">
        <v>0</v>
      </c>
      <c r="BW854" t="s">
        <v>271</v>
      </c>
    </row>
    <row r="855" spans="1:75">
      <c r="A855" t="s">
        <v>248</v>
      </c>
      <c r="B855" t="s">
        <v>252</v>
      </c>
      <c r="C855">
        <v>737</v>
      </c>
      <c r="D855" t="s">
        <v>253</v>
      </c>
      <c r="E855" t="s">
        <v>254</v>
      </c>
      <c r="F855">
        <v>5</v>
      </c>
      <c r="G855" s="13">
        <v>46267.462893518517</v>
      </c>
      <c r="H855" s="13">
        <v>46267.468530092592</v>
      </c>
      <c r="I855">
        <v>487</v>
      </c>
      <c r="J855" t="s">
        <v>264</v>
      </c>
      <c r="K855">
        <v>2</v>
      </c>
      <c r="L855">
        <v>0.08</v>
      </c>
      <c r="M855">
        <v>0.04</v>
      </c>
      <c r="N855">
        <v>2</v>
      </c>
      <c r="O855">
        <v>0.08</v>
      </c>
      <c r="P855">
        <v>33.96</v>
      </c>
      <c r="Q855">
        <v>7.36</v>
      </c>
      <c r="R855">
        <v>0.4</v>
      </c>
      <c r="S855" t="s">
        <v>263</v>
      </c>
      <c r="T855" t="s">
        <v>257</v>
      </c>
      <c r="U855">
        <v>10</v>
      </c>
      <c r="V855">
        <v>8186.27</v>
      </c>
      <c r="W855">
        <v>4999.3599999999997</v>
      </c>
      <c r="X855">
        <v>4966.04</v>
      </c>
      <c r="Y855">
        <v>0</v>
      </c>
      <c r="Z855">
        <v>0</v>
      </c>
      <c r="AA855">
        <v>35</v>
      </c>
      <c r="AB855">
        <v>50</v>
      </c>
      <c r="AC855">
        <v>5000</v>
      </c>
      <c r="AD855">
        <v>0</v>
      </c>
      <c r="AE855">
        <v>0</v>
      </c>
      <c r="AF855">
        <v>8187.43</v>
      </c>
      <c r="AG855">
        <v>8187.43</v>
      </c>
      <c r="AH855" s="14">
        <v>46267</v>
      </c>
      <c r="AI855" t="s">
        <v>269</v>
      </c>
      <c r="AJ855" s="13">
        <v>46265.054768518516</v>
      </c>
      <c r="AK855">
        <v>7052.98</v>
      </c>
      <c r="AL855" t="s">
        <v>259</v>
      </c>
      <c r="AM855" t="s">
        <v>260</v>
      </c>
      <c r="AN855">
        <v>1400</v>
      </c>
      <c r="AO855">
        <v>0</v>
      </c>
      <c r="AP855">
        <v>35</v>
      </c>
      <c r="AQ855">
        <v>85</v>
      </c>
      <c r="AR855">
        <v>35</v>
      </c>
      <c r="AS855">
        <v>2</v>
      </c>
      <c r="AT855">
        <v>23</v>
      </c>
      <c r="AU855">
        <v>1</v>
      </c>
      <c r="AV855">
        <v>0</v>
      </c>
      <c r="AW855">
        <v>10</v>
      </c>
      <c r="AX855">
        <v>1</v>
      </c>
      <c r="AY855">
        <v>7</v>
      </c>
      <c r="AZ855">
        <v>3</v>
      </c>
      <c r="BA855">
        <v>1</v>
      </c>
      <c r="BB855">
        <v>1440</v>
      </c>
      <c r="BC855">
        <v>0</v>
      </c>
      <c r="BD855">
        <v>0</v>
      </c>
      <c r="BE855">
        <v>14</v>
      </c>
      <c r="BF855">
        <v>25</v>
      </c>
      <c r="BG855">
        <v>3</v>
      </c>
      <c r="BH855">
        <v>8</v>
      </c>
      <c r="BI855">
        <v>3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0</v>
      </c>
      <c r="BQ855">
        <v>60</v>
      </c>
      <c r="BR855">
        <v>0</v>
      </c>
      <c r="BS855">
        <v>3</v>
      </c>
      <c r="BT855" t="s">
        <v>248</v>
      </c>
      <c r="BU855" t="s">
        <v>270</v>
      </c>
      <c r="BV855" t="b">
        <v>0</v>
      </c>
      <c r="BW855" t="s">
        <v>271</v>
      </c>
    </row>
    <row r="856" spans="1:75">
      <c r="A856" t="s">
        <v>248</v>
      </c>
      <c r="B856" t="s">
        <v>252</v>
      </c>
      <c r="C856">
        <v>738</v>
      </c>
      <c r="D856" t="s">
        <v>253</v>
      </c>
      <c r="E856" t="s">
        <v>254</v>
      </c>
      <c r="F856">
        <v>5</v>
      </c>
      <c r="G856" s="13">
        <v>46267.478171296294</v>
      </c>
      <c r="H856" s="13">
        <v>46267.482592592591</v>
      </c>
      <c r="I856">
        <v>382</v>
      </c>
      <c r="J856" t="s">
        <v>264</v>
      </c>
      <c r="K856">
        <v>2</v>
      </c>
      <c r="L856">
        <v>0.08</v>
      </c>
      <c r="M856">
        <v>0.04</v>
      </c>
      <c r="N856">
        <v>2</v>
      </c>
      <c r="O856">
        <v>0.08</v>
      </c>
      <c r="P856">
        <v>13</v>
      </c>
      <c r="Q856">
        <v>8.1999999999999993</v>
      </c>
      <c r="R856">
        <v>3.8</v>
      </c>
      <c r="S856" t="s">
        <v>263</v>
      </c>
      <c r="T856" t="s">
        <v>257</v>
      </c>
      <c r="U856">
        <v>11</v>
      </c>
      <c r="V856">
        <v>8186.75</v>
      </c>
      <c r="W856">
        <v>4999.32</v>
      </c>
      <c r="X856">
        <v>4987</v>
      </c>
      <c r="Y856">
        <v>0</v>
      </c>
      <c r="Z856">
        <v>0</v>
      </c>
      <c r="AA856">
        <v>35</v>
      </c>
      <c r="AB856">
        <v>50</v>
      </c>
      <c r="AC856">
        <v>5000</v>
      </c>
      <c r="AD856">
        <v>0</v>
      </c>
      <c r="AE856">
        <v>0</v>
      </c>
      <c r="AF856">
        <v>8191.23</v>
      </c>
      <c r="AG856">
        <v>8191.23</v>
      </c>
      <c r="AH856" s="14">
        <v>46267</v>
      </c>
      <c r="AI856" t="s">
        <v>269</v>
      </c>
      <c r="AJ856" s="13">
        <v>46265.054768518516</v>
      </c>
      <c r="AK856">
        <v>7052.98</v>
      </c>
      <c r="AL856" t="s">
        <v>259</v>
      </c>
      <c r="AM856" t="s">
        <v>260</v>
      </c>
      <c r="AN856">
        <v>1400</v>
      </c>
      <c r="AO856">
        <v>0</v>
      </c>
      <c r="AP856">
        <v>35</v>
      </c>
      <c r="AQ856">
        <v>85</v>
      </c>
      <c r="AR856">
        <v>35</v>
      </c>
      <c r="AS856">
        <v>2</v>
      </c>
      <c r="AT856">
        <v>23</v>
      </c>
      <c r="AU856">
        <v>1</v>
      </c>
      <c r="AV856">
        <v>0</v>
      </c>
      <c r="AW856">
        <v>10</v>
      </c>
      <c r="AX856">
        <v>1</v>
      </c>
      <c r="AY856">
        <v>7</v>
      </c>
      <c r="AZ856">
        <v>3</v>
      </c>
      <c r="BA856">
        <v>1</v>
      </c>
      <c r="BB856">
        <v>1440</v>
      </c>
      <c r="BC856">
        <v>0</v>
      </c>
      <c r="BD856">
        <v>0</v>
      </c>
      <c r="BE856">
        <v>14</v>
      </c>
      <c r="BF856">
        <v>25</v>
      </c>
      <c r="BG856">
        <v>3</v>
      </c>
      <c r="BH856">
        <v>8</v>
      </c>
      <c r="BI856">
        <v>3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0</v>
      </c>
      <c r="BQ856">
        <v>60</v>
      </c>
      <c r="BR856">
        <v>0</v>
      </c>
      <c r="BS856">
        <v>3</v>
      </c>
      <c r="BT856" t="s">
        <v>248</v>
      </c>
      <c r="BU856" t="s">
        <v>270</v>
      </c>
      <c r="BV856" t="b">
        <v>0</v>
      </c>
      <c r="BW856" t="s">
        <v>271</v>
      </c>
    </row>
    <row r="857" spans="1:75">
      <c r="A857" t="s">
        <v>248</v>
      </c>
      <c r="B857" t="s">
        <v>252</v>
      </c>
      <c r="C857">
        <v>739</v>
      </c>
      <c r="D857" t="s">
        <v>253</v>
      </c>
      <c r="E857" t="s">
        <v>254</v>
      </c>
      <c r="F857">
        <v>5</v>
      </c>
      <c r="G857" s="13">
        <v>46267.4846412037</v>
      </c>
      <c r="H857" s="13">
        <v>46267.485023148147</v>
      </c>
      <c r="I857">
        <v>33</v>
      </c>
      <c r="J857" t="s">
        <v>255</v>
      </c>
      <c r="K857">
        <v>1</v>
      </c>
      <c r="L857">
        <v>0.04</v>
      </c>
      <c r="M857">
        <v>0.04</v>
      </c>
      <c r="N857">
        <v>1</v>
      </c>
      <c r="O857">
        <v>0.04</v>
      </c>
      <c r="P857">
        <v>0.76</v>
      </c>
      <c r="Q857">
        <v>6.04</v>
      </c>
      <c r="R857">
        <v>4.88</v>
      </c>
      <c r="S857" t="s">
        <v>256</v>
      </c>
      <c r="T857" t="s">
        <v>257</v>
      </c>
      <c r="U857">
        <v>11</v>
      </c>
      <c r="V857">
        <v>8190.55</v>
      </c>
      <c r="W857">
        <v>4999.32</v>
      </c>
      <c r="X857">
        <v>4999.24</v>
      </c>
      <c r="Y857">
        <v>0</v>
      </c>
      <c r="Z857">
        <v>0</v>
      </c>
      <c r="AA857">
        <v>35</v>
      </c>
      <c r="AB857">
        <v>50</v>
      </c>
      <c r="AC857">
        <v>5000</v>
      </c>
      <c r="AD857">
        <v>0</v>
      </c>
      <c r="AE857">
        <v>0</v>
      </c>
      <c r="AF857">
        <v>8195.8700000000008</v>
      </c>
      <c r="AG857">
        <v>8195.8700000000008</v>
      </c>
      <c r="AH857" s="14">
        <v>46267</v>
      </c>
      <c r="AI857" t="s">
        <v>269</v>
      </c>
      <c r="AJ857" s="13">
        <v>46265.054768518516</v>
      </c>
      <c r="AK857">
        <v>7052.98</v>
      </c>
      <c r="AL857" t="s">
        <v>259</v>
      </c>
      <c r="AM857" t="s">
        <v>260</v>
      </c>
      <c r="AN857">
        <v>1400</v>
      </c>
      <c r="AO857">
        <v>0</v>
      </c>
      <c r="AP857">
        <v>35</v>
      </c>
      <c r="AQ857">
        <v>85</v>
      </c>
      <c r="AR857">
        <v>35</v>
      </c>
      <c r="AS857">
        <v>2</v>
      </c>
      <c r="AT857">
        <v>23</v>
      </c>
      <c r="AU857">
        <v>1</v>
      </c>
      <c r="AV857">
        <v>0</v>
      </c>
      <c r="AW857">
        <v>10</v>
      </c>
      <c r="AX857">
        <v>1</v>
      </c>
      <c r="AY857">
        <v>7</v>
      </c>
      <c r="AZ857">
        <v>3</v>
      </c>
      <c r="BA857">
        <v>1</v>
      </c>
      <c r="BB857">
        <v>1440</v>
      </c>
      <c r="BC857">
        <v>0</v>
      </c>
      <c r="BD857">
        <v>0</v>
      </c>
      <c r="BE857">
        <v>14</v>
      </c>
      <c r="BF857">
        <v>25</v>
      </c>
      <c r="BG857">
        <v>3</v>
      </c>
      <c r="BH857">
        <v>8</v>
      </c>
      <c r="BI857">
        <v>3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0</v>
      </c>
      <c r="BQ857">
        <v>60</v>
      </c>
      <c r="BR857">
        <v>0</v>
      </c>
      <c r="BS857">
        <v>3</v>
      </c>
      <c r="BT857" t="s">
        <v>248</v>
      </c>
      <c r="BU857" t="s">
        <v>270</v>
      </c>
      <c r="BV857" t="b">
        <v>0</v>
      </c>
      <c r="BW857" t="s">
        <v>271</v>
      </c>
    </row>
    <row r="858" spans="1:75">
      <c r="A858" t="s">
        <v>248</v>
      </c>
      <c r="B858" t="s">
        <v>252</v>
      </c>
      <c r="C858">
        <v>740</v>
      </c>
      <c r="D858" t="s">
        <v>253</v>
      </c>
      <c r="E858" t="s">
        <v>254</v>
      </c>
      <c r="F858">
        <v>5</v>
      </c>
      <c r="G858" s="13">
        <v>46267.48846064815</v>
      </c>
      <c r="H858" s="13">
        <v>46267.489351851851</v>
      </c>
      <c r="I858">
        <v>77</v>
      </c>
      <c r="J858" t="s">
        <v>264</v>
      </c>
      <c r="K858">
        <v>1</v>
      </c>
      <c r="L858">
        <v>0.04</v>
      </c>
      <c r="M858">
        <v>0.04</v>
      </c>
      <c r="N858">
        <v>1</v>
      </c>
      <c r="O858">
        <v>0.04</v>
      </c>
      <c r="P858">
        <v>2.68</v>
      </c>
      <c r="Q858">
        <v>7.6</v>
      </c>
      <c r="R858">
        <v>7.6</v>
      </c>
      <c r="S858" t="s">
        <v>256</v>
      </c>
      <c r="T858" t="s">
        <v>257</v>
      </c>
      <c r="U858">
        <v>11</v>
      </c>
      <c r="V858">
        <v>8195.23</v>
      </c>
      <c r="W858">
        <v>4999.3599999999997</v>
      </c>
      <c r="X858">
        <v>4997.32</v>
      </c>
      <c r="Y858">
        <v>0</v>
      </c>
      <c r="Z858">
        <v>0</v>
      </c>
      <c r="AA858">
        <v>35</v>
      </c>
      <c r="AB858">
        <v>50</v>
      </c>
      <c r="AC858">
        <v>5000</v>
      </c>
      <c r="AD858">
        <v>0</v>
      </c>
      <c r="AE858">
        <v>0</v>
      </c>
      <c r="AF858">
        <v>8202.07</v>
      </c>
      <c r="AG858">
        <v>8202.07</v>
      </c>
      <c r="AH858" s="14">
        <v>46267</v>
      </c>
      <c r="AI858" t="s">
        <v>269</v>
      </c>
      <c r="AJ858" s="13">
        <v>46265.054768518516</v>
      </c>
      <c r="AK858">
        <v>7052.98</v>
      </c>
      <c r="AL858" t="s">
        <v>259</v>
      </c>
      <c r="AM858" t="s">
        <v>260</v>
      </c>
      <c r="AN858">
        <v>1400</v>
      </c>
      <c r="AO858">
        <v>0</v>
      </c>
      <c r="AP858">
        <v>35</v>
      </c>
      <c r="AQ858">
        <v>85</v>
      </c>
      <c r="AR858">
        <v>35</v>
      </c>
      <c r="AS858">
        <v>2</v>
      </c>
      <c r="AT858">
        <v>23</v>
      </c>
      <c r="AU858">
        <v>1</v>
      </c>
      <c r="AV858">
        <v>0</v>
      </c>
      <c r="AW858">
        <v>10</v>
      </c>
      <c r="AX858">
        <v>1</v>
      </c>
      <c r="AY858">
        <v>7</v>
      </c>
      <c r="AZ858">
        <v>3</v>
      </c>
      <c r="BA858">
        <v>1</v>
      </c>
      <c r="BB858">
        <v>1440</v>
      </c>
      <c r="BC858">
        <v>0</v>
      </c>
      <c r="BD858">
        <v>0</v>
      </c>
      <c r="BE858">
        <v>14</v>
      </c>
      <c r="BF858">
        <v>25</v>
      </c>
      <c r="BG858">
        <v>3</v>
      </c>
      <c r="BH858">
        <v>8</v>
      </c>
      <c r="BI858">
        <v>3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0</v>
      </c>
      <c r="BQ858">
        <v>60</v>
      </c>
      <c r="BR858">
        <v>0</v>
      </c>
      <c r="BS858">
        <v>3</v>
      </c>
      <c r="BT858" t="s">
        <v>248</v>
      </c>
      <c r="BU858" t="s">
        <v>270</v>
      </c>
      <c r="BV858" t="b">
        <v>0</v>
      </c>
      <c r="BW858" t="s">
        <v>271</v>
      </c>
    </row>
    <row r="859" spans="1:75">
      <c r="A859" t="s">
        <v>248</v>
      </c>
      <c r="B859" t="s">
        <v>252</v>
      </c>
      <c r="C859">
        <v>741</v>
      </c>
      <c r="D859" t="s">
        <v>253</v>
      </c>
      <c r="E859" t="s">
        <v>254</v>
      </c>
      <c r="F859">
        <v>5</v>
      </c>
      <c r="G859" s="13">
        <v>46267.494409722225</v>
      </c>
      <c r="H859" s="13">
        <v>46267.494583333333</v>
      </c>
      <c r="I859">
        <v>15</v>
      </c>
      <c r="J859" t="s">
        <v>264</v>
      </c>
      <c r="K859">
        <v>1</v>
      </c>
      <c r="L859">
        <v>0.04</v>
      </c>
      <c r="M859">
        <v>0.04</v>
      </c>
      <c r="N859">
        <v>1</v>
      </c>
      <c r="O859">
        <v>0.04</v>
      </c>
      <c r="P859">
        <v>1.32</v>
      </c>
      <c r="Q859">
        <v>4.76</v>
      </c>
      <c r="R859">
        <v>3.64</v>
      </c>
      <c r="S859" t="s">
        <v>256</v>
      </c>
      <c r="T859" t="s">
        <v>257</v>
      </c>
      <c r="U859">
        <v>11</v>
      </c>
      <c r="V859">
        <v>8201.39</v>
      </c>
      <c r="W859">
        <v>4999.32</v>
      </c>
      <c r="X859">
        <v>4998.68</v>
      </c>
      <c r="Y859">
        <v>0</v>
      </c>
      <c r="Z859">
        <v>0</v>
      </c>
      <c r="AA859">
        <v>35</v>
      </c>
      <c r="AB859">
        <v>50</v>
      </c>
      <c r="AC859">
        <v>5000</v>
      </c>
      <c r="AD859">
        <v>0</v>
      </c>
      <c r="AE859">
        <v>0</v>
      </c>
      <c r="AF859">
        <v>8205.43</v>
      </c>
      <c r="AG859">
        <v>8205.43</v>
      </c>
      <c r="AH859" s="14">
        <v>46267</v>
      </c>
      <c r="AI859" t="s">
        <v>269</v>
      </c>
      <c r="AJ859" s="13">
        <v>46265.054768518516</v>
      </c>
      <c r="AK859">
        <v>7052.98</v>
      </c>
      <c r="AL859" t="s">
        <v>259</v>
      </c>
      <c r="AM859" t="s">
        <v>260</v>
      </c>
      <c r="AN859">
        <v>1400</v>
      </c>
      <c r="AO859">
        <v>0</v>
      </c>
      <c r="AP859">
        <v>35</v>
      </c>
      <c r="AQ859">
        <v>85</v>
      </c>
      <c r="AR859">
        <v>35</v>
      </c>
      <c r="AS859">
        <v>2</v>
      </c>
      <c r="AT859">
        <v>23</v>
      </c>
      <c r="AU859">
        <v>1</v>
      </c>
      <c r="AV859">
        <v>0</v>
      </c>
      <c r="AW859">
        <v>10</v>
      </c>
      <c r="AX859">
        <v>1</v>
      </c>
      <c r="AY859">
        <v>7</v>
      </c>
      <c r="AZ859">
        <v>3</v>
      </c>
      <c r="BA859">
        <v>1</v>
      </c>
      <c r="BB859">
        <v>1440</v>
      </c>
      <c r="BC859">
        <v>0</v>
      </c>
      <c r="BD859">
        <v>0</v>
      </c>
      <c r="BE859">
        <v>14</v>
      </c>
      <c r="BF859">
        <v>25</v>
      </c>
      <c r="BG859">
        <v>3</v>
      </c>
      <c r="BH859">
        <v>8</v>
      </c>
      <c r="BI859">
        <v>3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0</v>
      </c>
      <c r="BQ859">
        <v>60</v>
      </c>
      <c r="BR859">
        <v>0</v>
      </c>
      <c r="BS859">
        <v>3</v>
      </c>
      <c r="BT859" t="s">
        <v>248</v>
      </c>
      <c r="BU859" t="s">
        <v>270</v>
      </c>
      <c r="BV859" t="b">
        <v>0</v>
      </c>
      <c r="BW859" t="s">
        <v>271</v>
      </c>
    </row>
    <row r="860" spans="1:75">
      <c r="A860" t="s">
        <v>248</v>
      </c>
      <c r="B860" t="s">
        <v>252</v>
      </c>
      <c r="C860">
        <v>742</v>
      </c>
      <c r="D860" t="s">
        <v>253</v>
      </c>
      <c r="E860" t="s">
        <v>254</v>
      </c>
      <c r="F860">
        <v>5</v>
      </c>
      <c r="G860" s="13">
        <v>46267.497812499998</v>
      </c>
      <c r="H860" s="13">
        <v>46267.503738425927</v>
      </c>
      <c r="I860">
        <v>512</v>
      </c>
      <c r="J860" t="s">
        <v>255</v>
      </c>
      <c r="K860">
        <v>2</v>
      </c>
      <c r="L860">
        <v>0.08</v>
      </c>
      <c r="M860">
        <v>0.04</v>
      </c>
      <c r="N860">
        <v>2</v>
      </c>
      <c r="O860">
        <v>0.08</v>
      </c>
      <c r="P860">
        <v>18.8</v>
      </c>
      <c r="Q860">
        <v>9.48</v>
      </c>
      <c r="R860">
        <v>4.84</v>
      </c>
      <c r="S860" t="s">
        <v>263</v>
      </c>
      <c r="T860" t="s">
        <v>257</v>
      </c>
      <c r="U860">
        <v>11</v>
      </c>
      <c r="V860">
        <v>8204.7900000000009</v>
      </c>
      <c r="W860">
        <v>4999.3599999999997</v>
      </c>
      <c r="X860">
        <v>4981.2</v>
      </c>
      <c r="Y860">
        <v>0</v>
      </c>
      <c r="Z860">
        <v>0</v>
      </c>
      <c r="AA860">
        <v>35</v>
      </c>
      <c r="AB860">
        <v>50</v>
      </c>
      <c r="AC860">
        <v>5000</v>
      </c>
      <c r="AD860">
        <v>0</v>
      </c>
      <c r="AE860">
        <v>0</v>
      </c>
      <c r="AF860">
        <v>8210.43</v>
      </c>
      <c r="AG860">
        <v>8210.43</v>
      </c>
      <c r="AH860" s="14">
        <v>46267</v>
      </c>
      <c r="AI860" t="s">
        <v>269</v>
      </c>
      <c r="AJ860" s="13">
        <v>46265.054768518516</v>
      </c>
      <c r="AK860">
        <v>7052.98</v>
      </c>
      <c r="AL860" t="s">
        <v>259</v>
      </c>
      <c r="AM860" t="s">
        <v>260</v>
      </c>
      <c r="AN860">
        <v>1400</v>
      </c>
      <c r="AO860">
        <v>0</v>
      </c>
      <c r="AP860">
        <v>35</v>
      </c>
      <c r="AQ860">
        <v>85</v>
      </c>
      <c r="AR860">
        <v>35</v>
      </c>
      <c r="AS860">
        <v>2</v>
      </c>
      <c r="AT860">
        <v>23</v>
      </c>
      <c r="AU860">
        <v>1</v>
      </c>
      <c r="AV860">
        <v>0</v>
      </c>
      <c r="AW860">
        <v>10</v>
      </c>
      <c r="AX860">
        <v>1</v>
      </c>
      <c r="AY860">
        <v>7</v>
      </c>
      <c r="AZ860">
        <v>3</v>
      </c>
      <c r="BA860">
        <v>1</v>
      </c>
      <c r="BB860">
        <v>1440</v>
      </c>
      <c r="BC860">
        <v>0</v>
      </c>
      <c r="BD860">
        <v>0</v>
      </c>
      <c r="BE860">
        <v>14</v>
      </c>
      <c r="BF860">
        <v>25</v>
      </c>
      <c r="BG860">
        <v>3</v>
      </c>
      <c r="BH860">
        <v>8</v>
      </c>
      <c r="BI860">
        <v>3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0</v>
      </c>
      <c r="BQ860">
        <v>60</v>
      </c>
      <c r="BR860">
        <v>0</v>
      </c>
      <c r="BS860">
        <v>3</v>
      </c>
      <c r="BT860" t="s">
        <v>248</v>
      </c>
      <c r="BU860" t="s">
        <v>270</v>
      </c>
      <c r="BV860" t="b">
        <v>0</v>
      </c>
      <c r="BW860" t="s">
        <v>271</v>
      </c>
    </row>
    <row r="861" spans="1:75">
      <c r="A861" t="s">
        <v>248</v>
      </c>
      <c r="B861" t="s">
        <v>252</v>
      </c>
      <c r="C861">
        <v>743</v>
      </c>
      <c r="D861" t="s">
        <v>253</v>
      </c>
      <c r="E861" t="s">
        <v>254</v>
      </c>
      <c r="F861">
        <v>5</v>
      </c>
      <c r="G861" s="13">
        <v>46267.503900462965</v>
      </c>
      <c r="H861" s="13">
        <v>46267.504328703704</v>
      </c>
      <c r="I861">
        <v>37</v>
      </c>
      <c r="J861" t="s">
        <v>255</v>
      </c>
      <c r="K861">
        <v>1</v>
      </c>
      <c r="L861">
        <v>0.04</v>
      </c>
      <c r="M861">
        <v>0.04</v>
      </c>
      <c r="N861">
        <v>1</v>
      </c>
      <c r="O861">
        <v>0.04</v>
      </c>
      <c r="P861">
        <v>1.72</v>
      </c>
      <c r="Q861">
        <v>7.48</v>
      </c>
      <c r="R861">
        <v>6.32</v>
      </c>
      <c r="S861" t="s">
        <v>256</v>
      </c>
      <c r="T861" t="s">
        <v>257</v>
      </c>
      <c r="U861">
        <v>10</v>
      </c>
      <c r="V861">
        <v>8209.75</v>
      </c>
      <c r="W861">
        <v>4999.32</v>
      </c>
      <c r="X861">
        <v>4998.28</v>
      </c>
      <c r="Y861">
        <v>0</v>
      </c>
      <c r="Z861">
        <v>0</v>
      </c>
      <c r="AA861">
        <v>35</v>
      </c>
      <c r="AB861">
        <v>50</v>
      </c>
      <c r="AC861">
        <v>5000</v>
      </c>
      <c r="AD861">
        <v>0</v>
      </c>
      <c r="AE861">
        <v>0</v>
      </c>
      <c r="AF861">
        <v>8216.4699999999993</v>
      </c>
      <c r="AG861">
        <v>8216.4699999999993</v>
      </c>
      <c r="AH861" s="14">
        <v>46267</v>
      </c>
      <c r="AI861" t="s">
        <v>269</v>
      </c>
      <c r="AJ861" s="13">
        <v>46265.054768518516</v>
      </c>
      <c r="AK861">
        <v>7052.98</v>
      </c>
      <c r="AL861" t="s">
        <v>259</v>
      </c>
      <c r="AM861" t="s">
        <v>260</v>
      </c>
      <c r="AN861">
        <v>1400</v>
      </c>
      <c r="AO861">
        <v>0</v>
      </c>
      <c r="AP861">
        <v>35</v>
      </c>
      <c r="AQ861">
        <v>85</v>
      </c>
      <c r="AR861">
        <v>35</v>
      </c>
      <c r="AS861">
        <v>2</v>
      </c>
      <c r="AT861">
        <v>23</v>
      </c>
      <c r="AU861">
        <v>1</v>
      </c>
      <c r="AV861">
        <v>0</v>
      </c>
      <c r="AW861">
        <v>10</v>
      </c>
      <c r="AX861">
        <v>1</v>
      </c>
      <c r="AY861">
        <v>7</v>
      </c>
      <c r="AZ861">
        <v>3</v>
      </c>
      <c r="BA861">
        <v>1</v>
      </c>
      <c r="BB861">
        <v>1440</v>
      </c>
      <c r="BC861">
        <v>0</v>
      </c>
      <c r="BD861">
        <v>0</v>
      </c>
      <c r="BE861">
        <v>14</v>
      </c>
      <c r="BF861">
        <v>25</v>
      </c>
      <c r="BG861">
        <v>3</v>
      </c>
      <c r="BH861">
        <v>8</v>
      </c>
      <c r="BI861">
        <v>3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0</v>
      </c>
      <c r="BQ861">
        <v>60</v>
      </c>
      <c r="BR861">
        <v>0</v>
      </c>
      <c r="BS861">
        <v>3</v>
      </c>
      <c r="BT861" t="s">
        <v>248</v>
      </c>
      <c r="BU861" t="s">
        <v>270</v>
      </c>
      <c r="BV861" t="b">
        <v>0</v>
      </c>
      <c r="BW861" t="s">
        <v>271</v>
      </c>
    </row>
    <row r="862" spans="1:75">
      <c r="A862" t="s">
        <v>248</v>
      </c>
      <c r="B862" t="s">
        <v>252</v>
      </c>
      <c r="C862">
        <v>744</v>
      </c>
      <c r="D862" t="s">
        <v>253</v>
      </c>
      <c r="E862" t="s">
        <v>254</v>
      </c>
      <c r="F862">
        <v>5</v>
      </c>
      <c r="G862" s="13">
        <v>46267.509687500002</v>
      </c>
      <c r="H862" s="13">
        <v>46267.510555555556</v>
      </c>
      <c r="I862">
        <v>75</v>
      </c>
      <c r="J862" t="s">
        <v>264</v>
      </c>
      <c r="K862">
        <v>1</v>
      </c>
      <c r="L862">
        <v>0.04</v>
      </c>
      <c r="M862">
        <v>0.04</v>
      </c>
      <c r="N862">
        <v>1</v>
      </c>
      <c r="O862">
        <v>0.04</v>
      </c>
      <c r="P862">
        <v>0.76</v>
      </c>
      <c r="Q862">
        <v>6.76</v>
      </c>
      <c r="R862">
        <v>5.84</v>
      </c>
      <c r="S862" t="s">
        <v>256</v>
      </c>
      <c r="T862" t="s">
        <v>257</v>
      </c>
      <c r="U862">
        <v>11</v>
      </c>
      <c r="V862">
        <v>8215.83</v>
      </c>
      <c r="W862">
        <v>4999.3599999999997</v>
      </c>
      <c r="X862">
        <v>4999.24</v>
      </c>
      <c r="Y862">
        <v>0</v>
      </c>
      <c r="Z862">
        <v>0</v>
      </c>
      <c r="AA862">
        <v>35</v>
      </c>
      <c r="AB862">
        <v>50</v>
      </c>
      <c r="AC862">
        <v>5000</v>
      </c>
      <c r="AD862">
        <v>0</v>
      </c>
      <c r="AE862">
        <v>0</v>
      </c>
      <c r="AF862">
        <v>8221.83</v>
      </c>
      <c r="AG862">
        <v>8221.83</v>
      </c>
      <c r="AH862" s="14">
        <v>46267</v>
      </c>
      <c r="AI862" t="s">
        <v>269</v>
      </c>
      <c r="AJ862" s="13">
        <v>46265.054768518516</v>
      </c>
      <c r="AK862">
        <v>7052.98</v>
      </c>
      <c r="AL862" t="s">
        <v>259</v>
      </c>
      <c r="AM862" t="s">
        <v>260</v>
      </c>
      <c r="AN862">
        <v>1400</v>
      </c>
      <c r="AO862">
        <v>0</v>
      </c>
      <c r="AP862">
        <v>35</v>
      </c>
      <c r="AQ862">
        <v>85</v>
      </c>
      <c r="AR862">
        <v>35</v>
      </c>
      <c r="AS862">
        <v>2</v>
      </c>
      <c r="AT862">
        <v>23</v>
      </c>
      <c r="AU862">
        <v>1</v>
      </c>
      <c r="AV862">
        <v>0</v>
      </c>
      <c r="AW862">
        <v>10</v>
      </c>
      <c r="AX862">
        <v>1</v>
      </c>
      <c r="AY862">
        <v>7</v>
      </c>
      <c r="AZ862">
        <v>3</v>
      </c>
      <c r="BA862">
        <v>1</v>
      </c>
      <c r="BB862">
        <v>1440</v>
      </c>
      <c r="BC862">
        <v>0</v>
      </c>
      <c r="BD862">
        <v>0</v>
      </c>
      <c r="BE862">
        <v>14</v>
      </c>
      <c r="BF862">
        <v>25</v>
      </c>
      <c r="BG862">
        <v>3</v>
      </c>
      <c r="BH862">
        <v>8</v>
      </c>
      <c r="BI862">
        <v>3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0</v>
      </c>
      <c r="BQ862">
        <v>60</v>
      </c>
      <c r="BR862">
        <v>0</v>
      </c>
      <c r="BS862">
        <v>3</v>
      </c>
      <c r="BT862" t="s">
        <v>248</v>
      </c>
      <c r="BU862" t="s">
        <v>270</v>
      </c>
      <c r="BV862" t="b">
        <v>0</v>
      </c>
      <c r="BW862" t="s">
        <v>271</v>
      </c>
    </row>
    <row r="863" spans="1:75">
      <c r="A863" t="s">
        <v>248</v>
      </c>
      <c r="B863" t="s">
        <v>252</v>
      </c>
      <c r="C863">
        <v>745</v>
      </c>
      <c r="D863" t="s">
        <v>253</v>
      </c>
      <c r="E863" t="s">
        <v>254</v>
      </c>
      <c r="F863">
        <v>5</v>
      </c>
      <c r="G863" s="13">
        <v>46267.5155787037</v>
      </c>
      <c r="H863" s="13">
        <v>46267.517013888886</v>
      </c>
      <c r="I863">
        <v>124</v>
      </c>
      <c r="J863" t="s">
        <v>264</v>
      </c>
      <c r="K863">
        <v>1</v>
      </c>
      <c r="L863">
        <v>0.04</v>
      </c>
      <c r="M863">
        <v>0.04</v>
      </c>
      <c r="N863">
        <v>1</v>
      </c>
      <c r="O863">
        <v>0.04</v>
      </c>
      <c r="P863">
        <v>2.36</v>
      </c>
      <c r="Q863">
        <v>7.4</v>
      </c>
      <c r="R863">
        <v>6.32</v>
      </c>
      <c r="S863" t="s">
        <v>256</v>
      </c>
      <c r="T863" t="s">
        <v>257</v>
      </c>
      <c r="U863">
        <v>10</v>
      </c>
      <c r="V863">
        <v>8221.19</v>
      </c>
      <c r="W863">
        <v>4999.3599999999997</v>
      </c>
      <c r="X863">
        <v>4997.6400000000003</v>
      </c>
      <c r="Y863">
        <v>0</v>
      </c>
      <c r="Z863">
        <v>0</v>
      </c>
      <c r="AA863">
        <v>35</v>
      </c>
      <c r="AB863">
        <v>50</v>
      </c>
      <c r="AC863">
        <v>5000</v>
      </c>
      <c r="AD863">
        <v>0</v>
      </c>
      <c r="AE863">
        <v>0</v>
      </c>
      <c r="AF863">
        <v>8227.7900000000009</v>
      </c>
      <c r="AG863">
        <v>8227.7900000000009</v>
      </c>
      <c r="AH863" s="14">
        <v>46267</v>
      </c>
      <c r="AI863" t="s">
        <v>269</v>
      </c>
      <c r="AJ863" s="13">
        <v>46265.054768518516</v>
      </c>
      <c r="AK863">
        <v>7052.98</v>
      </c>
      <c r="AL863" t="s">
        <v>259</v>
      </c>
      <c r="AM863" t="s">
        <v>260</v>
      </c>
      <c r="AN863">
        <v>1400</v>
      </c>
      <c r="AO863">
        <v>0</v>
      </c>
      <c r="AP863">
        <v>35</v>
      </c>
      <c r="AQ863">
        <v>85</v>
      </c>
      <c r="AR863">
        <v>35</v>
      </c>
      <c r="AS863">
        <v>2</v>
      </c>
      <c r="AT863">
        <v>23</v>
      </c>
      <c r="AU863">
        <v>1</v>
      </c>
      <c r="AV863">
        <v>0</v>
      </c>
      <c r="AW863">
        <v>10</v>
      </c>
      <c r="AX863">
        <v>1</v>
      </c>
      <c r="AY863">
        <v>7</v>
      </c>
      <c r="AZ863">
        <v>3</v>
      </c>
      <c r="BA863">
        <v>1</v>
      </c>
      <c r="BB863">
        <v>1440</v>
      </c>
      <c r="BC863">
        <v>0</v>
      </c>
      <c r="BD863">
        <v>0</v>
      </c>
      <c r="BE863">
        <v>14</v>
      </c>
      <c r="BF863">
        <v>25</v>
      </c>
      <c r="BG863">
        <v>3</v>
      </c>
      <c r="BH863">
        <v>8</v>
      </c>
      <c r="BI863">
        <v>3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0</v>
      </c>
      <c r="BQ863">
        <v>60</v>
      </c>
      <c r="BR863">
        <v>0</v>
      </c>
      <c r="BS863">
        <v>3</v>
      </c>
      <c r="BT863" t="s">
        <v>248</v>
      </c>
      <c r="BU863" t="s">
        <v>270</v>
      </c>
      <c r="BV863" t="b">
        <v>0</v>
      </c>
      <c r="BW863" t="s">
        <v>271</v>
      </c>
    </row>
    <row r="864" spans="1:75">
      <c r="A864" t="s">
        <v>248</v>
      </c>
      <c r="B864" t="s">
        <v>252</v>
      </c>
      <c r="C864">
        <v>746</v>
      </c>
      <c r="D864" t="s">
        <v>253</v>
      </c>
      <c r="E864" t="s">
        <v>254</v>
      </c>
      <c r="F864">
        <v>5</v>
      </c>
      <c r="G864" s="13">
        <v>46267.518449074072</v>
      </c>
      <c r="H864" s="13">
        <v>46267.545324074075</v>
      </c>
      <c r="I864">
        <v>2322</v>
      </c>
      <c r="J864" t="s">
        <v>264</v>
      </c>
      <c r="K864">
        <v>2</v>
      </c>
      <c r="L864">
        <v>0.08</v>
      </c>
      <c r="M864">
        <v>0.04</v>
      </c>
      <c r="N864">
        <v>2</v>
      </c>
      <c r="O864">
        <v>0.08</v>
      </c>
      <c r="P864">
        <v>25.16</v>
      </c>
      <c r="Q864">
        <v>14.6</v>
      </c>
      <c r="R864">
        <v>10.119999999999999</v>
      </c>
      <c r="S864" t="s">
        <v>263</v>
      </c>
      <c r="T864" t="s">
        <v>257</v>
      </c>
      <c r="U864">
        <v>11</v>
      </c>
      <c r="V864">
        <v>8227.15</v>
      </c>
      <c r="W864">
        <v>4999.3599999999997</v>
      </c>
      <c r="X864">
        <v>4974.84</v>
      </c>
      <c r="Y864">
        <v>0</v>
      </c>
      <c r="Z864">
        <v>0</v>
      </c>
      <c r="AA864">
        <v>35</v>
      </c>
      <c r="AB864">
        <v>50</v>
      </c>
      <c r="AC864">
        <v>5000</v>
      </c>
      <c r="AD864">
        <v>0</v>
      </c>
      <c r="AE864">
        <v>0</v>
      </c>
      <c r="AF864">
        <v>8238.0300000000007</v>
      </c>
      <c r="AG864">
        <v>8238.0300000000007</v>
      </c>
      <c r="AH864" s="14">
        <v>46267</v>
      </c>
      <c r="AI864" t="s">
        <v>269</v>
      </c>
      <c r="AJ864" s="13">
        <v>46265.054768518516</v>
      </c>
      <c r="AK864">
        <v>7052.98</v>
      </c>
      <c r="AL864" t="s">
        <v>259</v>
      </c>
      <c r="AM864" t="s">
        <v>260</v>
      </c>
      <c r="AN864">
        <v>1400</v>
      </c>
      <c r="AO864">
        <v>0</v>
      </c>
      <c r="AP864">
        <v>35</v>
      </c>
      <c r="AQ864">
        <v>85</v>
      </c>
      <c r="AR864">
        <v>35</v>
      </c>
      <c r="AS864">
        <v>2</v>
      </c>
      <c r="AT864">
        <v>23</v>
      </c>
      <c r="AU864">
        <v>1</v>
      </c>
      <c r="AV864">
        <v>0</v>
      </c>
      <c r="AW864">
        <v>10</v>
      </c>
      <c r="AX864">
        <v>1</v>
      </c>
      <c r="AY864">
        <v>7</v>
      </c>
      <c r="AZ864">
        <v>3</v>
      </c>
      <c r="BA864">
        <v>1</v>
      </c>
      <c r="BB864">
        <v>1440</v>
      </c>
      <c r="BC864">
        <v>0</v>
      </c>
      <c r="BD864">
        <v>0</v>
      </c>
      <c r="BE864">
        <v>14</v>
      </c>
      <c r="BF864">
        <v>25</v>
      </c>
      <c r="BG864">
        <v>3</v>
      </c>
      <c r="BH864">
        <v>8</v>
      </c>
      <c r="BI864">
        <v>3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0</v>
      </c>
      <c r="BQ864">
        <v>60</v>
      </c>
      <c r="BR864">
        <v>0</v>
      </c>
      <c r="BS864">
        <v>3</v>
      </c>
      <c r="BT864" t="s">
        <v>248</v>
      </c>
      <c r="BU864" t="s">
        <v>270</v>
      </c>
      <c r="BV864" t="b">
        <v>0</v>
      </c>
      <c r="BW864" t="s">
        <v>271</v>
      </c>
    </row>
    <row r="865" spans="1:75">
      <c r="A865" t="s">
        <v>248</v>
      </c>
      <c r="B865" t="s">
        <v>252</v>
      </c>
      <c r="C865">
        <v>747</v>
      </c>
      <c r="D865" t="s">
        <v>253</v>
      </c>
      <c r="E865" t="s">
        <v>254</v>
      </c>
      <c r="F865">
        <v>5</v>
      </c>
      <c r="G865" s="13">
        <v>46267.546377314815</v>
      </c>
      <c r="H865" s="13">
        <v>46267.714305555557</v>
      </c>
      <c r="I865">
        <v>14509</v>
      </c>
      <c r="J865" t="s">
        <v>264</v>
      </c>
      <c r="K865">
        <v>23</v>
      </c>
      <c r="L865">
        <v>0.92</v>
      </c>
      <c r="M865">
        <v>0.04</v>
      </c>
      <c r="N865">
        <v>23</v>
      </c>
      <c r="O865">
        <v>0.92</v>
      </c>
      <c r="P865">
        <v>5021.68</v>
      </c>
      <c r="Q865">
        <v>1.4</v>
      </c>
      <c r="R865">
        <v>-5021.68</v>
      </c>
      <c r="S865" t="s">
        <v>265</v>
      </c>
      <c r="T865" t="s">
        <v>265</v>
      </c>
      <c r="U865">
        <v>11</v>
      </c>
      <c r="V865">
        <v>8237.35</v>
      </c>
      <c r="W865">
        <v>4999.32</v>
      </c>
      <c r="X865">
        <v>-21.68</v>
      </c>
      <c r="Y865">
        <v>1</v>
      </c>
      <c r="Z865">
        <v>0</v>
      </c>
      <c r="AA865">
        <v>35</v>
      </c>
      <c r="AB865">
        <v>50</v>
      </c>
      <c r="AC865">
        <v>5000</v>
      </c>
      <c r="AD865">
        <v>0</v>
      </c>
      <c r="AE865">
        <v>0</v>
      </c>
      <c r="AF865">
        <v>3221.27</v>
      </c>
      <c r="AG865">
        <v>3221.27</v>
      </c>
      <c r="AH865" s="14">
        <v>46267</v>
      </c>
      <c r="AI865" t="s">
        <v>269</v>
      </c>
      <c r="AJ865" s="13">
        <v>46265.054768518516</v>
      </c>
      <c r="AK865">
        <v>7052.98</v>
      </c>
      <c r="AL865" t="s">
        <v>259</v>
      </c>
      <c r="AM865" t="s">
        <v>260</v>
      </c>
      <c r="AN865">
        <v>1400</v>
      </c>
      <c r="AO865">
        <v>0</v>
      </c>
      <c r="AP865">
        <v>35</v>
      </c>
      <c r="AQ865">
        <v>85</v>
      </c>
      <c r="AR865">
        <v>35</v>
      </c>
      <c r="AS865">
        <v>2</v>
      </c>
      <c r="AT865">
        <v>23</v>
      </c>
      <c r="AU865">
        <v>1</v>
      </c>
      <c r="AV865">
        <v>0</v>
      </c>
      <c r="AW865">
        <v>10</v>
      </c>
      <c r="AX865">
        <v>1</v>
      </c>
      <c r="AY865">
        <v>7</v>
      </c>
      <c r="AZ865">
        <v>3</v>
      </c>
      <c r="BA865">
        <v>1</v>
      </c>
      <c r="BB865">
        <v>1440</v>
      </c>
      <c r="BC865">
        <v>0</v>
      </c>
      <c r="BD865">
        <v>0</v>
      </c>
      <c r="BE865">
        <v>14</v>
      </c>
      <c r="BF865">
        <v>25</v>
      </c>
      <c r="BG865">
        <v>3</v>
      </c>
      <c r="BH865">
        <v>8</v>
      </c>
      <c r="BI865">
        <v>3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0</v>
      </c>
      <c r="BQ865">
        <v>60</v>
      </c>
      <c r="BR865">
        <v>0</v>
      </c>
      <c r="BS865">
        <v>3</v>
      </c>
      <c r="BT865" t="s">
        <v>248</v>
      </c>
      <c r="BU865" t="s">
        <v>270</v>
      </c>
      <c r="BV865" t="b">
        <v>0</v>
      </c>
      <c r="BW865" t="s">
        <v>271</v>
      </c>
    </row>
    <row r="866" spans="1:75">
      <c r="A866" t="s">
        <v>248</v>
      </c>
      <c r="B866" t="s">
        <v>252</v>
      </c>
      <c r="C866">
        <v>748</v>
      </c>
      <c r="D866" t="s">
        <v>253</v>
      </c>
      <c r="E866" t="s">
        <v>254</v>
      </c>
      <c r="F866">
        <v>5</v>
      </c>
      <c r="G866" s="13">
        <v>46268.714791666665</v>
      </c>
      <c r="H866" s="13">
        <v>46268.734375</v>
      </c>
      <c r="I866">
        <v>1692</v>
      </c>
      <c r="J866" t="s">
        <v>264</v>
      </c>
      <c r="K866">
        <v>5</v>
      </c>
      <c r="L866">
        <v>0.2</v>
      </c>
      <c r="M866">
        <v>0.04</v>
      </c>
      <c r="N866">
        <v>5</v>
      </c>
      <c r="O866">
        <v>0.2</v>
      </c>
      <c r="P866">
        <v>166.68</v>
      </c>
      <c r="Q866">
        <v>8.84</v>
      </c>
      <c r="R866">
        <v>2.44</v>
      </c>
      <c r="S866" t="s">
        <v>263</v>
      </c>
      <c r="T866" t="s">
        <v>257</v>
      </c>
      <c r="U866">
        <v>11</v>
      </c>
      <c r="V866">
        <v>3220.59</v>
      </c>
      <c r="W866">
        <v>4999.32</v>
      </c>
      <c r="X866">
        <v>4833.32</v>
      </c>
      <c r="Y866">
        <v>0</v>
      </c>
      <c r="Z866">
        <v>0</v>
      </c>
      <c r="AA866">
        <v>35</v>
      </c>
      <c r="AB866">
        <v>50</v>
      </c>
      <c r="AC866">
        <v>5000</v>
      </c>
      <c r="AD866">
        <v>0</v>
      </c>
      <c r="AE866">
        <v>0</v>
      </c>
      <c r="AF866">
        <v>3222.59</v>
      </c>
      <c r="AG866">
        <v>3222.59</v>
      </c>
      <c r="AH866" s="14">
        <v>46268</v>
      </c>
      <c r="AI866" t="s">
        <v>269</v>
      </c>
      <c r="AJ866" s="13">
        <v>46265.054768518516</v>
      </c>
      <c r="AK866">
        <v>7052.98</v>
      </c>
      <c r="AL866" t="s">
        <v>259</v>
      </c>
      <c r="AM866" t="s">
        <v>260</v>
      </c>
      <c r="AN866">
        <v>1400</v>
      </c>
      <c r="AO866">
        <v>0</v>
      </c>
      <c r="AP866">
        <v>35</v>
      </c>
      <c r="AQ866">
        <v>85</v>
      </c>
      <c r="AR866">
        <v>35</v>
      </c>
      <c r="AS866">
        <v>2</v>
      </c>
      <c r="AT866">
        <v>23</v>
      </c>
      <c r="AU866">
        <v>1</v>
      </c>
      <c r="AV866">
        <v>0</v>
      </c>
      <c r="AW866">
        <v>10</v>
      </c>
      <c r="AX866">
        <v>1</v>
      </c>
      <c r="AY866">
        <v>7</v>
      </c>
      <c r="AZ866">
        <v>3</v>
      </c>
      <c r="BA866">
        <v>1</v>
      </c>
      <c r="BB866">
        <v>1440</v>
      </c>
      <c r="BC866">
        <v>0</v>
      </c>
      <c r="BD866">
        <v>0</v>
      </c>
      <c r="BE866">
        <v>14</v>
      </c>
      <c r="BF866">
        <v>25</v>
      </c>
      <c r="BG866">
        <v>3</v>
      </c>
      <c r="BH866">
        <v>8</v>
      </c>
      <c r="BI866">
        <v>3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0</v>
      </c>
      <c r="BQ866">
        <v>60</v>
      </c>
      <c r="BR866">
        <v>0</v>
      </c>
      <c r="BS866">
        <v>3</v>
      </c>
      <c r="BT866" t="s">
        <v>248</v>
      </c>
      <c r="BU866" t="s">
        <v>270</v>
      </c>
      <c r="BV866" t="b">
        <v>0</v>
      </c>
      <c r="BW866" t="s">
        <v>271</v>
      </c>
    </row>
    <row r="867" spans="1:75">
      <c r="A867" t="s">
        <v>248</v>
      </c>
      <c r="B867" t="s">
        <v>252</v>
      </c>
      <c r="C867">
        <v>749</v>
      </c>
      <c r="D867" t="s">
        <v>253</v>
      </c>
      <c r="E867" t="s">
        <v>254</v>
      </c>
      <c r="F867">
        <v>5</v>
      </c>
      <c r="G867" s="13">
        <v>46268.736793981479</v>
      </c>
      <c r="H867" s="13">
        <v>46268.782280092593</v>
      </c>
      <c r="I867">
        <v>3930</v>
      </c>
      <c r="J867" t="s">
        <v>264</v>
      </c>
      <c r="K867">
        <v>12</v>
      </c>
      <c r="L867">
        <v>0.48</v>
      </c>
      <c r="M867">
        <v>0.04</v>
      </c>
      <c r="N867">
        <v>12</v>
      </c>
      <c r="O867">
        <v>0.48</v>
      </c>
      <c r="P867">
        <v>691.52</v>
      </c>
      <c r="Q867">
        <v>60.52</v>
      </c>
      <c r="R867">
        <v>60.52</v>
      </c>
      <c r="S867" t="s">
        <v>263</v>
      </c>
      <c r="T867" t="s">
        <v>257</v>
      </c>
      <c r="U867">
        <v>11</v>
      </c>
      <c r="V867">
        <v>3221.91</v>
      </c>
      <c r="W867">
        <v>4999.32</v>
      </c>
      <c r="X867">
        <v>4308.4799999999996</v>
      </c>
      <c r="Y867">
        <v>0</v>
      </c>
      <c r="Z867">
        <v>0</v>
      </c>
      <c r="AA867">
        <v>35</v>
      </c>
      <c r="AB867">
        <v>50</v>
      </c>
      <c r="AC867">
        <v>5000</v>
      </c>
      <c r="AD867">
        <v>0</v>
      </c>
      <c r="AE867">
        <v>0</v>
      </c>
      <c r="AF867">
        <v>3271.55</v>
      </c>
      <c r="AG867">
        <v>3271.55</v>
      </c>
      <c r="AH867" s="14">
        <v>46268</v>
      </c>
      <c r="AI867" t="s">
        <v>269</v>
      </c>
      <c r="AJ867" s="13">
        <v>46265.054768518516</v>
      </c>
      <c r="AK867">
        <v>7052.98</v>
      </c>
      <c r="AL867" t="s">
        <v>259</v>
      </c>
      <c r="AM867" t="s">
        <v>260</v>
      </c>
      <c r="AN867">
        <v>1400</v>
      </c>
      <c r="AO867">
        <v>0</v>
      </c>
      <c r="AP867">
        <v>35</v>
      </c>
      <c r="AQ867">
        <v>85</v>
      </c>
      <c r="AR867">
        <v>35</v>
      </c>
      <c r="AS867">
        <v>2</v>
      </c>
      <c r="AT867">
        <v>23</v>
      </c>
      <c r="AU867">
        <v>1</v>
      </c>
      <c r="AV867">
        <v>0</v>
      </c>
      <c r="AW867">
        <v>10</v>
      </c>
      <c r="AX867">
        <v>1</v>
      </c>
      <c r="AY867">
        <v>7</v>
      </c>
      <c r="AZ867">
        <v>3</v>
      </c>
      <c r="BA867">
        <v>1</v>
      </c>
      <c r="BB867">
        <v>1440</v>
      </c>
      <c r="BC867">
        <v>0</v>
      </c>
      <c r="BD867">
        <v>0</v>
      </c>
      <c r="BE867">
        <v>14</v>
      </c>
      <c r="BF867">
        <v>25</v>
      </c>
      <c r="BG867">
        <v>3</v>
      </c>
      <c r="BH867">
        <v>8</v>
      </c>
      <c r="BI867">
        <v>3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0</v>
      </c>
      <c r="BQ867">
        <v>60</v>
      </c>
      <c r="BR867">
        <v>0</v>
      </c>
      <c r="BS867">
        <v>3</v>
      </c>
      <c r="BT867" t="s">
        <v>248</v>
      </c>
      <c r="BU867" t="s">
        <v>270</v>
      </c>
      <c r="BV867" t="b">
        <v>0</v>
      </c>
      <c r="BW867" t="s">
        <v>271</v>
      </c>
    </row>
    <row r="868" spans="1:75">
      <c r="A868" t="s">
        <v>248</v>
      </c>
      <c r="B868" t="s">
        <v>252</v>
      </c>
      <c r="C868">
        <v>750</v>
      </c>
      <c r="D868" t="s">
        <v>253</v>
      </c>
      <c r="E868" t="s">
        <v>254</v>
      </c>
      <c r="F868">
        <v>5</v>
      </c>
      <c r="G868" s="13">
        <v>46268.785636574074</v>
      </c>
      <c r="H868" s="13">
        <v>46268.79184027778</v>
      </c>
      <c r="I868">
        <v>536</v>
      </c>
      <c r="J868" t="s">
        <v>255</v>
      </c>
      <c r="K868">
        <v>2</v>
      </c>
      <c r="L868">
        <v>0.08</v>
      </c>
      <c r="M868">
        <v>0.04</v>
      </c>
      <c r="N868">
        <v>2</v>
      </c>
      <c r="O868">
        <v>0.08</v>
      </c>
      <c r="P868">
        <v>22.16</v>
      </c>
      <c r="Q868">
        <v>21</v>
      </c>
      <c r="R868">
        <v>5.32</v>
      </c>
      <c r="S868" t="s">
        <v>263</v>
      </c>
      <c r="T868" t="s">
        <v>257</v>
      </c>
      <c r="U868">
        <v>11</v>
      </c>
      <c r="V868">
        <v>3270.87</v>
      </c>
      <c r="W868">
        <v>4999.32</v>
      </c>
      <c r="X868">
        <v>4977.84</v>
      </c>
      <c r="Y868">
        <v>0</v>
      </c>
      <c r="Z868">
        <v>0</v>
      </c>
      <c r="AA868">
        <v>35</v>
      </c>
      <c r="AB868">
        <v>50</v>
      </c>
      <c r="AC868">
        <v>5000</v>
      </c>
      <c r="AD868">
        <v>0</v>
      </c>
      <c r="AE868">
        <v>0</v>
      </c>
      <c r="AF868">
        <v>3277.11</v>
      </c>
      <c r="AG868">
        <v>3277.11</v>
      </c>
      <c r="AH868" s="14">
        <v>46268</v>
      </c>
      <c r="AI868" t="s">
        <v>269</v>
      </c>
      <c r="AJ868" s="13">
        <v>46265.054768518516</v>
      </c>
      <c r="AK868">
        <v>7052.98</v>
      </c>
      <c r="AL868" t="s">
        <v>259</v>
      </c>
      <c r="AM868" t="s">
        <v>260</v>
      </c>
      <c r="AN868">
        <v>1400</v>
      </c>
      <c r="AO868">
        <v>0</v>
      </c>
      <c r="AP868">
        <v>35</v>
      </c>
      <c r="AQ868">
        <v>85</v>
      </c>
      <c r="AR868">
        <v>35</v>
      </c>
      <c r="AS868">
        <v>2</v>
      </c>
      <c r="AT868">
        <v>23</v>
      </c>
      <c r="AU868">
        <v>1</v>
      </c>
      <c r="AV868">
        <v>0</v>
      </c>
      <c r="AW868">
        <v>10</v>
      </c>
      <c r="AX868">
        <v>1</v>
      </c>
      <c r="AY868">
        <v>7</v>
      </c>
      <c r="AZ868">
        <v>3</v>
      </c>
      <c r="BA868">
        <v>1</v>
      </c>
      <c r="BB868">
        <v>1440</v>
      </c>
      <c r="BC868">
        <v>0</v>
      </c>
      <c r="BD868">
        <v>0</v>
      </c>
      <c r="BE868">
        <v>14</v>
      </c>
      <c r="BF868">
        <v>25</v>
      </c>
      <c r="BG868">
        <v>3</v>
      </c>
      <c r="BH868">
        <v>8</v>
      </c>
      <c r="BI868">
        <v>3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0</v>
      </c>
      <c r="BQ868">
        <v>60</v>
      </c>
      <c r="BR868">
        <v>0</v>
      </c>
      <c r="BS868">
        <v>3</v>
      </c>
      <c r="BT868" t="s">
        <v>248</v>
      </c>
      <c r="BU868" t="s">
        <v>270</v>
      </c>
      <c r="BV868" t="b">
        <v>0</v>
      </c>
      <c r="BW868" t="s">
        <v>271</v>
      </c>
    </row>
    <row r="869" spans="1:75">
      <c r="A869" t="s">
        <v>248</v>
      </c>
      <c r="B869" t="s">
        <v>252</v>
      </c>
      <c r="C869">
        <v>751</v>
      </c>
      <c r="D869" t="s">
        <v>253</v>
      </c>
      <c r="E869" t="s">
        <v>254</v>
      </c>
      <c r="F869">
        <v>5</v>
      </c>
      <c r="G869" s="13">
        <v>46268.797025462962</v>
      </c>
      <c r="H869" s="13">
        <v>46268.79760416667</v>
      </c>
      <c r="I869">
        <v>50</v>
      </c>
      <c r="J869" t="s">
        <v>255</v>
      </c>
      <c r="K869">
        <v>1</v>
      </c>
      <c r="L869">
        <v>0.04</v>
      </c>
      <c r="M869">
        <v>0.04</v>
      </c>
      <c r="N869">
        <v>1</v>
      </c>
      <c r="O869">
        <v>0.04</v>
      </c>
      <c r="P869">
        <v>1.24</v>
      </c>
      <c r="Q869">
        <v>5.2</v>
      </c>
      <c r="R869">
        <v>4.92</v>
      </c>
      <c r="S869" t="s">
        <v>256</v>
      </c>
      <c r="T869" t="s">
        <v>257</v>
      </c>
      <c r="U869">
        <v>11</v>
      </c>
      <c r="V869">
        <v>3276.47</v>
      </c>
      <c r="W869">
        <v>4999.3599999999997</v>
      </c>
      <c r="X869">
        <v>4998.76</v>
      </c>
      <c r="Y869">
        <v>0</v>
      </c>
      <c r="Z869">
        <v>0</v>
      </c>
      <c r="AA869">
        <v>35</v>
      </c>
      <c r="AB869">
        <v>50</v>
      </c>
      <c r="AC869">
        <v>5000</v>
      </c>
      <c r="AD869">
        <v>0</v>
      </c>
      <c r="AE869">
        <v>0</v>
      </c>
      <c r="AF869">
        <v>3280.91</v>
      </c>
      <c r="AG869">
        <v>3280.91</v>
      </c>
      <c r="AH869" s="14">
        <v>46268</v>
      </c>
      <c r="AI869" t="s">
        <v>269</v>
      </c>
      <c r="AJ869" s="13">
        <v>46265.054768518516</v>
      </c>
      <c r="AK869">
        <v>7052.98</v>
      </c>
      <c r="AL869" t="s">
        <v>259</v>
      </c>
      <c r="AM869" t="s">
        <v>260</v>
      </c>
      <c r="AN869">
        <v>1400</v>
      </c>
      <c r="AO869">
        <v>0</v>
      </c>
      <c r="AP869">
        <v>35</v>
      </c>
      <c r="AQ869">
        <v>85</v>
      </c>
      <c r="AR869">
        <v>35</v>
      </c>
      <c r="AS869">
        <v>2</v>
      </c>
      <c r="AT869">
        <v>23</v>
      </c>
      <c r="AU869">
        <v>1</v>
      </c>
      <c r="AV869">
        <v>0</v>
      </c>
      <c r="AW869">
        <v>10</v>
      </c>
      <c r="AX869">
        <v>1</v>
      </c>
      <c r="AY869">
        <v>7</v>
      </c>
      <c r="AZ869">
        <v>3</v>
      </c>
      <c r="BA869">
        <v>1</v>
      </c>
      <c r="BB869">
        <v>1440</v>
      </c>
      <c r="BC869">
        <v>0</v>
      </c>
      <c r="BD869">
        <v>0</v>
      </c>
      <c r="BE869">
        <v>14</v>
      </c>
      <c r="BF869">
        <v>25</v>
      </c>
      <c r="BG869">
        <v>3</v>
      </c>
      <c r="BH869">
        <v>8</v>
      </c>
      <c r="BI869">
        <v>3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0</v>
      </c>
      <c r="BQ869">
        <v>60</v>
      </c>
      <c r="BR869">
        <v>0</v>
      </c>
      <c r="BS869">
        <v>3</v>
      </c>
      <c r="BT869" t="s">
        <v>248</v>
      </c>
      <c r="BU869" t="s">
        <v>270</v>
      </c>
      <c r="BV869" t="b">
        <v>0</v>
      </c>
      <c r="BW869" t="s">
        <v>271</v>
      </c>
    </row>
    <row r="870" spans="1:75">
      <c r="A870" t="s">
        <v>248</v>
      </c>
      <c r="B870" t="s">
        <v>252</v>
      </c>
      <c r="C870">
        <v>752</v>
      </c>
      <c r="D870" t="s">
        <v>253</v>
      </c>
      <c r="E870" t="s">
        <v>254</v>
      </c>
      <c r="F870">
        <v>5</v>
      </c>
      <c r="G870" s="13">
        <v>46268.811319444445</v>
      </c>
      <c r="H870" s="13">
        <v>46268.812974537039</v>
      </c>
      <c r="I870">
        <v>143</v>
      </c>
      <c r="J870" t="s">
        <v>255</v>
      </c>
      <c r="K870">
        <v>1</v>
      </c>
      <c r="L870">
        <v>0.04</v>
      </c>
      <c r="M870">
        <v>0.04</v>
      </c>
      <c r="N870">
        <v>1</v>
      </c>
      <c r="O870">
        <v>0.04</v>
      </c>
      <c r="P870">
        <v>9.64</v>
      </c>
      <c r="Q870">
        <v>3.92</v>
      </c>
      <c r="R870">
        <v>3.92</v>
      </c>
      <c r="S870" t="s">
        <v>256</v>
      </c>
      <c r="T870" t="s">
        <v>257</v>
      </c>
      <c r="U870">
        <v>11</v>
      </c>
      <c r="V870">
        <v>3280.23</v>
      </c>
      <c r="W870">
        <v>4999.32</v>
      </c>
      <c r="X870">
        <v>4990.3599999999997</v>
      </c>
      <c r="Y870">
        <v>0</v>
      </c>
      <c r="Z870">
        <v>0</v>
      </c>
      <c r="AA870">
        <v>35</v>
      </c>
      <c r="AB870">
        <v>50</v>
      </c>
      <c r="AC870">
        <v>5000</v>
      </c>
      <c r="AD870">
        <v>0</v>
      </c>
      <c r="AE870">
        <v>0</v>
      </c>
      <c r="AF870">
        <v>3283.43</v>
      </c>
      <c r="AG870">
        <v>3283.43</v>
      </c>
      <c r="AH870" s="14">
        <v>46268</v>
      </c>
      <c r="AI870" t="s">
        <v>269</v>
      </c>
      <c r="AJ870" s="13">
        <v>46265.054768518516</v>
      </c>
      <c r="AK870">
        <v>7052.98</v>
      </c>
      <c r="AL870" t="s">
        <v>259</v>
      </c>
      <c r="AM870" t="s">
        <v>260</v>
      </c>
      <c r="AN870">
        <v>1400</v>
      </c>
      <c r="AO870">
        <v>0</v>
      </c>
      <c r="AP870">
        <v>35</v>
      </c>
      <c r="AQ870">
        <v>85</v>
      </c>
      <c r="AR870">
        <v>35</v>
      </c>
      <c r="AS870">
        <v>2</v>
      </c>
      <c r="AT870">
        <v>23</v>
      </c>
      <c r="AU870">
        <v>1</v>
      </c>
      <c r="AV870">
        <v>0</v>
      </c>
      <c r="AW870">
        <v>10</v>
      </c>
      <c r="AX870">
        <v>1</v>
      </c>
      <c r="AY870">
        <v>7</v>
      </c>
      <c r="AZ870">
        <v>3</v>
      </c>
      <c r="BA870">
        <v>1</v>
      </c>
      <c r="BB870">
        <v>1440</v>
      </c>
      <c r="BC870">
        <v>0</v>
      </c>
      <c r="BD870">
        <v>0</v>
      </c>
      <c r="BE870">
        <v>14</v>
      </c>
      <c r="BF870">
        <v>25</v>
      </c>
      <c r="BG870">
        <v>3</v>
      </c>
      <c r="BH870">
        <v>8</v>
      </c>
      <c r="BI870">
        <v>3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0</v>
      </c>
      <c r="BQ870">
        <v>60</v>
      </c>
      <c r="BR870">
        <v>0</v>
      </c>
      <c r="BS870">
        <v>3</v>
      </c>
      <c r="BT870" t="s">
        <v>248</v>
      </c>
      <c r="BU870" t="s">
        <v>270</v>
      </c>
      <c r="BV870" t="b">
        <v>0</v>
      </c>
      <c r="BW870" t="s">
        <v>271</v>
      </c>
    </row>
    <row r="871" spans="1:75">
      <c r="A871" t="s">
        <v>248</v>
      </c>
      <c r="B871" t="s">
        <v>252</v>
      </c>
      <c r="C871">
        <v>753</v>
      </c>
      <c r="D871" t="s">
        <v>253</v>
      </c>
      <c r="E871" t="s">
        <v>254</v>
      </c>
      <c r="F871">
        <v>5</v>
      </c>
      <c r="G871" s="13">
        <v>46268.813946759263</v>
      </c>
      <c r="H871" s="13">
        <v>46268.814247685186</v>
      </c>
      <c r="I871">
        <v>26</v>
      </c>
      <c r="J871" t="s">
        <v>264</v>
      </c>
      <c r="K871">
        <v>1</v>
      </c>
      <c r="L871">
        <v>0.04</v>
      </c>
      <c r="M871">
        <v>0.04</v>
      </c>
      <c r="N871">
        <v>1</v>
      </c>
      <c r="O871">
        <v>0.04</v>
      </c>
      <c r="P871">
        <v>1.28</v>
      </c>
      <c r="Q871">
        <v>8.8800000000000008</v>
      </c>
      <c r="R871">
        <v>8.4</v>
      </c>
      <c r="S871" t="s">
        <v>256</v>
      </c>
      <c r="T871" t="s">
        <v>257</v>
      </c>
      <c r="U871">
        <v>11</v>
      </c>
      <c r="V871">
        <v>3282.79</v>
      </c>
      <c r="W871">
        <v>4999.3599999999997</v>
      </c>
      <c r="X871">
        <v>4998.72</v>
      </c>
      <c r="Y871">
        <v>0</v>
      </c>
      <c r="Z871">
        <v>0</v>
      </c>
      <c r="AA871">
        <v>35</v>
      </c>
      <c r="AB871">
        <v>50</v>
      </c>
      <c r="AC871">
        <v>5000</v>
      </c>
      <c r="AD871">
        <v>0</v>
      </c>
      <c r="AE871">
        <v>0</v>
      </c>
      <c r="AF871">
        <v>3290.91</v>
      </c>
      <c r="AG871">
        <v>3290.91</v>
      </c>
      <c r="AH871" s="14">
        <v>46268</v>
      </c>
      <c r="AI871" t="s">
        <v>269</v>
      </c>
      <c r="AJ871" s="13">
        <v>46265.054768518516</v>
      </c>
      <c r="AK871">
        <v>7052.98</v>
      </c>
      <c r="AL871" t="s">
        <v>259</v>
      </c>
      <c r="AM871" t="s">
        <v>260</v>
      </c>
      <c r="AN871">
        <v>1400</v>
      </c>
      <c r="AO871">
        <v>0</v>
      </c>
      <c r="AP871">
        <v>35</v>
      </c>
      <c r="AQ871">
        <v>85</v>
      </c>
      <c r="AR871">
        <v>35</v>
      </c>
      <c r="AS871">
        <v>2</v>
      </c>
      <c r="AT871">
        <v>23</v>
      </c>
      <c r="AU871">
        <v>1</v>
      </c>
      <c r="AV871">
        <v>0</v>
      </c>
      <c r="AW871">
        <v>10</v>
      </c>
      <c r="AX871">
        <v>1</v>
      </c>
      <c r="AY871">
        <v>7</v>
      </c>
      <c r="AZ871">
        <v>3</v>
      </c>
      <c r="BA871">
        <v>1</v>
      </c>
      <c r="BB871">
        <v>1440</v>
      </c>
      <c r="BC871">
        <v>0</v>
      </c>
      <c r="BD871">
        <v>0</v>
      </c>
      <c r="BE871">
        <v>14</v>
      </c>
      <c r="BF871">
        <v>25</v>
      </c>
      <c r="BG871">
        <v>3</v>
      </c>
      <c r="BH871">
        <v>8</v>
      </c>
      <c r="BI871">
        <v>3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0</v>
      </c>
      <c r="BQ871">
        <v>60</v>
      </c>
      <c r="BR871">
        <v>0</v>
      </c>
      <c r="BS871">
        <v>3</v>
      </c>
      <c r="BT871" t="s">
        <v>248</v>
      </c>
      <c r="BU871" t="s">
        <v>270</v>
      </c>
      <c r="BV871" t="b">
        <v>0</v>
      </c>
      <c r="BW871" t="s">
        <v>271</v>
      </c>
    </row>
    <row r="872" spans="1:75">
      <c r="A872" t="s">
        <v>248</v>
      </c>
      <c r="B872" t="s">
        <v>252</v>
      </c>
      <c r="C872">
        <v>754</v>
      </c>
      <c r="D872" t="s">
        <v>253</v>
      </c>
      <c r="E872" t="s">
        <v>254</v>
      </c>
      <c r="F872">
        <v>5</v>
      </c>
      <c r="G872" s="13">
        <v>46268.821620370371</v>
      </c>
      <c r="H872" s="13">
        <v>46268.827905092592</v>
      </c>
      <c r="I872">
        <v>543</v>
      </c>
      <c r="J872" t="s">
        <v>264</v>
      </c>
      <c r="K872">
        <v>3</v>
      </c>
      <c r="L872">
        <v>0.12</v>
      </c>
      <c r="M872">
        <v>0.04</v>
      </c>
      <c r="N872">
        <v>3</v>
      </c>
      <c r="O872">
        <v>0.12</v>
      </c>
      <c r="P872">
        <v>23.96</v>
      </c>
      <c r="Q872">
        <v>7.72</v>
      </c>
      <c r="R872">
        <v>4.72</v>
      </c>
      <c r="S872" t="s">
        <v>263</v>
      </c>
      <c r="T872" t="s">
        <v>257</v>
      </c>
      <c r="U872">
        <v>10</v>
      </c>
      <c r="V872">
        <v>3290.27</v>
      </c>
      <c r="W872">
        <v>4999.3599999999997</v>
      </c>
      <c r="X872">
        <v>4976.04</v>
      </c>
      <c r="Y872">
        <v>0</v>
      </c>
      <c r="Z872">
        <v>0</v>
      </c>
      <c r="AA872">
        <v>35</v>
      </c>
      <c r="AB872">
        <v>50</v>
      </c>
      <c r="AC872">
        <v>5000</v>
      </c>
      <c r="AD872">
        <v>0</v>
      </c>
      <c r="AE872">
        <v>0</v>
      </c>
      <c r="AF872">
        <v>3293.23</v>
      </c>
      <c r="AG872">
        <v>3293.23</v>
      </c>
      <c r="AH872" s="14">
        <v>46268</v>
      </c>
      <c r="AI872" t="s">
        <v>269</v>
      </c>
      <c r="AJ872" s="13">
        <v>46265.054768518516</v>
      </c>
      <c r="AK872">
        <v>7052.98</v>
      </c>
      <c r="AL872" t="s">
        <v>259</v>
      </c>
      <c r="AM872" t="s">
        <v>260</v>
      </c>
      <c r="AN872">
        <v>1400</v>
      </c>
      <c r="AO872">
        <v>0</v>
      </c>
      <c r="AP872">
        <v>35</v>
      </c>
      <c r="AQ872">
        <v>85</v>
      </c>
      <c r="AR872">
        <v>35</v>
      </c>
      <c r="AS872">
        <v>2</v>
      </c>
      <c r="AT872">
        <v>23</v>
      </c>
      <c r="AU872">
        <v>1</v>
      </c>
      <c r="AV872">
        <v>0</v>
      </c>
      <c r="AW872">
        <v>10</v>
      </c>
      <c r="AX872">
        <v>1</v>
      </c>
      <c r="AY872">
        <v>7</v>
      </c>
      <c r="AZ872">
        <v>3</v>
      </c>
      <c r="BA872">
        <v>1</v>
      </c>
      <c r="BB872">
        <v>1440</v>
      </c>
      <c r="BC872">
        <v>0</v>
      </c>
      <c r="BD872">
        <v>0</v>
      </c>
      <c r="BE872">
        <v>14</v>
      </c>
      <c r="BF872">
        <v>25</v>
      </c>
      <c r="BG872">
        <v>3</v>
      </c>
      <c r="BH872">
        <v>8</v>
      </c>
      <c r="BI872">
        <v>3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0</v>
      </c>
      <c r="BQ872">
        <v>60</v>
      </c>
      <c r="BR872">
        <v>0</v>
      </c>
      <c r="BS872">
        <v>3</v>
      </c>
      <c r="BT872" t="s">
        <v>248</v>
      </c>
      <c r="BU872" t="s">
        <v>270</v>
      </c>
      <c r="BV872" t="b">
        <v>0</v>
      </c>
      <c r="BW872" t="s">
        <v>271</v>
      </c>
    </row>
    <row r="873" spans="1:75">
      <c r="A873" t="s">
        <v>248</v>
      </c>
      <c r="B873" t="s">
        <v>252</v>
      </c>
      <c r="C873">
        <v>755</v>
      </c>
      <c r="D873" t="s">
        <v>253</v>
      </c>
      <c r="E873" t="s">
        <v>254</v>
      </c>
      <c r="F873">
        <v>5</v>
      </c>
      <c r="G873" s="13">
        <v>46268.83525462963</v>
      </c>
      <c r="H873" s="13">
        <v>46268.879166666666</v>
      </c>
      <c r="I873">
        <v>3794</v>
      </c>
      <c r="J873" t="s">
        <v>264</v>
      </c>
      <c r="K873">
        <v>4</v>
      </c>
      <c r="L873">
        <v>0.16</v>
      </c>
      <c r="M873">
        <v>0.04</v>
      </c>
      <c r="N873">
        <v>4</v>
      </c>
      <c r="O873">
        <v>0.16</v>
      </c>
      <c r="P873">
        <v>43.2</v>
      </c>
      <c r="Q873">
        <v>30.8</v>
      </c>
      <c r="R873">
        <v>24.72</v>
      </c>
      <c r="S873" t="s">
        <v>263</v>
      </c>
      <c r="T873" t="s">
        <v>257</v>
      </c>
      <c r="U873">
        <v>11</v>
      </c>
      <c r="V873">
        <v>3292.59</v>
      </c>
      <c r="W873">
        <v>4999.3599999999997</v>
      </c>
      <c r="X873">
        <v>4956.8</v>
      </c>
      <c r="Y873">
        <v>0</v>
      </c>
      <c r="Z873">
        <v>0</v>
      </c>
      <c r="AA873">
        <v>35</v>
      </c>
      <c r="AB873">
        <v>50</v>
      </c>
      <c r="AC873">
        <v>5000</v>
      </c>
      <c r="AD873">
        <v>0</v>
      </c>
      <c r="AE873">
        <v>0</v>
      </c>
      <c r="AF873">
        <v>3318.87</v>
      </c>
      <c r="AG873">
        <v>3318.87</v>
      </c>
      <c r="AH873" s="14">
        <v>46268</v>
      </c>
      <c r="AI873" t="s">
        <v>269</v>
      </c>
      <c r="AJ873" s="13">
        <v>46265.054768518516</v>
      </c>
      <c r="AK873">
        <v>7052.98</v>
      </c>
      <c r="AL873" t="s">
        <v>259</v>
      </c>
      <c r="AM873" t="s">
        <v>260</v>
      </c>
      <c r="AN873">
        <v>1400</v>
      </c>
      <c r="AO873">
        <v>0</v>
      </c>
      <c r="AP873">
        <v>35</v>
      </c>
      <c r="AQ873">
        <v>85</v>
      </c>
      <c r="AR873">
        <v>35</v>
      </c>
      <c r="AS873">
        <v>2</v>
      </c>
      <c r="AT873">
        <v>23</v>
      </c>
      <c r="AU873">
        <v>1</v>
      </c>
      <c r="AV873">
        <v>0</v>
      </c>
      <c r="AW873">
        <v>10</v>
      </c>
      <c r="AX873">
        <v>1</v>
      </c>
      <c r="AY873">
        <v>7</v>
      </c>
      <c r="AZ873">
        <v>3</v>
      </c>
      <c r="BA873">
        <v>1</v>
      </c>
      <c r="BB873">
        <v>1440</v>
      </c>
      <c r="BC873">
        <v>0</v>
      </c>
      <c r="BD873">
        <v>0</v>
      </c>
      <c r="BE873">
        <v>14</v>
      </c>
      <c r="BF873">
        <v>25</v>
      </c>
      <c r="BG873">
        <v>3</v>
      </c>
      <c r="BH873">
        <v>8</v>
      </c>
      <c r="BI873">
        <v>3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0</v>
      </c>
      <c r="BQ873">
        <v>60</v>
      </c>
      <c r="BR873">
        <v>0</v>
      </c>
      <c r="BS873">
        <v>3</v>
      </c>
      <c r="BT873" t="s">
        <v>248</v>
      </c>
      <c r="BU873" t="s">
        <v>270</v>
      </c>
      <c r="BV873" t="b">
        <v>0</v>
      </c>
      <c r="BW873" t="s">
        <v>271</v>
      </c>
    </row>
    <row r="874" spans="1:75">
      <c r="A874" t="s">
        <v>248</v>
      </c>
      <c r="B874" t="s">
        <v>252</v>
      </c>
      <c r="C874">
        <v>756</v>
      </c>
      <c r="D874" t="s">
        <v>253</v>
      </c>
      <c r="E874" t="s">
        <v>254</v>
      </c>
      <c r="F874">
        <v>5</v>
      </c>
      <c r="G874" s="13">
        <v>46268.884016203701</v>
      </c>
      <c r="H874" s="13">
        <v>46268.885231481479</v>
      </c>
      <c r="I874">
        <v>105</v>
      </c>
      <c r="J874" t="s">
        <v>264</v>
      </c>
      <c r="K874">
        <v>1</v>
      </c>
      <c r="L874">
        <v>0.04</v>
      </c>
      <c r="M874">
        <v>0.04</v>
      </c>
      <c r="N874">
        <v>1</v>
      </c>
      <c r="O874">
        <v>0.04</v>
      </c>
      <c r="P874">
        <v>4</v>
      </c>
      <c r="Q874">
        <v>3.84</v>
      </c>
      <c r="R874">
        <v>2.48</v>
      </c>
      <c r="S874" t="s">
        <v>256</v>
      </c>
      <c r="T874" t="s">
        <v>257</v>
      </c>
      <c r="U874">
        <v>10</v>
      </c>
      <c r="V874">
        <v>3318.23</v>
      </c>
      <c r="W874">
        <v>4999.3599999999997</v>
      </c>
      <c r="X874">
        <v>4996</v>
      </c>
      <c r="Y874">
        <v>0</v>
      </c>
      <c r="Z874">
        <v>0</v>
      </c>
      <c r="AA874">
        <v>35</v>
      </c>
      <c r="AB874">
        <v>50</v>
      </c>
      <c r="AC874">
        <v>5000</v>
      </c>
      <c r="AD874">
        <v>0</v>
      </c>
      <c r="AE874">
        <v>0</v>
      </c>
      <c r="AF874">
        <v>3321.31</v>
      </c>
      <c r="AG874">
        <v>3321.31</v>
      </c>
      <c r="AH874" s="14">
        <v>46268</v>
      </c>
      <c r="AI874" t="s">
        <v>269</v>
      </c>
      <c r="AJ874" s="13">
        <v>46265.054768518516</v>
      </c>
      <c r="AK874">
        <v>7052.98</v>
      </c>
      <c r="AL874" t="s">
        <v>259</v>
      </c>
      <c r="AM874" t="s">
        <v>260</v>
      </c>
      <c r="AN874">
        <v>1400</v>
      </c>
      <c r="AO874">
        <v>0</v>
      </c>
      <c r="AP874">
        <v>35</v>
      </c>
      <c r="AQ874">
        <v>85</v>
      </c>
      <c r="AR874">
        <v>35</v>
      </c>
      <c r="AS874">
        <v>2</v>
      </c>
      <c r="AT874">
        <v>23</v>
      </c>
      <c r="AU874">
        <v>1</v>
      </c>
      <c r="AV874">
        <v>0</v>
      </c>
      <c r="AW874">
        <v>10</v>
      </c>
      <c r="AX874">
        <v>1</v>
      </c>
      <c r="AY874">
        <v>7</v>
      </c>
      <c r="AZ874">
        <v>3</v>
      </c>
      <c r="BA874">
        <v>1</v>
      </c>
      <c r="BB874">
        <v>1440</v>
      </c>
      <c r="BC874">
        <v>0</v>
      </c>
      <c r="BD874">
        <v>0</v>
      </c>
      <c r="BE874">
        <v>14</v>
      </c>
      <c r="BF874">
        <v>25</v>
      </c>
      <c r="BG874">
        <v>3</v>
      </c>
      <c r="BH874">
        <v>8</v>
      </c>
      <c r="BI874">
        <v>3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0</v>
      </c>
      <c r="BQ874">
        <v>60</v>
      </c>
      <c r="BR874">
        <v>0</v>
      </c>
      <c r="BS874">
        <v>3</v>
      </c>
      <c r="BT874" t="s">
        <v>248</v>
      </c>
      <c r="BU874" t="s">
        <v>270</v>
      </c>
      <c r="BV874" t="b">
        <v>0</v>
      </c>
      <c r="BW874" t="s">
        <v>271</v>
      </c>
    </row>
    <row r="875" spans="1:75">
      <c r="A875" t="s">
        <v>248</v>
      </c>
      <c r="B875" t="s">
        <v>252</v>
      </c>
      <c r="C875">
        <v>757</v>
      </c>
      <c r="D875" t="s">
        <v>253</v>
      </c>
      <c r="E875" t="s">
        <v>254</v>
      </c>
      <c r="F875">
        <v>5</v>
      </c>
      <c r="G875" s="13">
        <v>46268.891412037039</v>
      </c>
      <c r="H875" s="13">
        <v>46268.891701388886</v>
      </c>
      <c r="I875">
        <v>25</v>
      </c>
      <c r="J875" t="s">
        <v>264</v>
      </c>
      <c r="K875">
        <v>1</v>
      </c>
      <c r="L875">
        <v>0.04</v>
      </c>
      <c r="M875">
        <v>0.04</v>
      </c>
      <c r="N875">
        <v>1</v>
      </c>
      <c r="O875">
        <v>0.04</v>
      </c>
      <c r="P875">
        <v>0.84</v>
      </c>
      <c r="Q875">
        <v>5.68</v>
      </c>
      <c r="R875">
        <v>4.5999999999999996</v>
      </c>
      <c r="S875" t="s">
        <v>256</v>
      </c>
      <c r="T875" t="s">
        <v>257</v>
      </c>
      <c r="U875">
        <v>10</v>
      </c>
      <c r="V875">
        <v>3320.67</v>
      </c>
      <c r="W875">
        <v>4999.3599999999997</v>
      </c>
      <c r="X875">
        <v>4999.16</v>
      </c>
      <c r="Y875">
        <v>0</v>
      </c>
      <c r="Z875">
        <v>0</v>
      </c>
      <c r="AA875">
        <v>35</v>
      </c>
      <c r="AB875">
        <v>50</v>
      </c>
      <c r="AC875">
        <v>5000</v>
      </c>
      <c r="AD875">
        <v>0</v>
      </c>
      <c r="AE875">
        <v>0</v>
      </c>
      <c r="AF875">
        <v>3325.59</v>
      </c>
      <c r="AG875">
        <v>3325.59</v>
      </c>
      <c r="AH875" s="14">
        <v>46268</v>
      </c>
      <c r="AI875" t="s">
        <v>269</v>
      </c>
      <c r="AJ875" s="13">
        <v>46265.054768518516</v>
      </c>
      <c r="AK875">
        <v>7052.98</v>
      </c>
      <c r="AL875" t="s">
        <v>259</v>
      </c>
      <c r="AM875" t="s">
        <v>260</v>
      </c>
      <c r="AN875">
        <v>1400</v>
      </c>
      <c r="AO875">
        <v>0</v>
      </c>
      <c r="AP875">
        <v>35</v>
      </c>
      <c r="AQ875">
        <v>85</v>
      </c>
      <c r="AR875">
        <v>35</v>
      </c>
      <c r="AS875">
        <v>2</v>
      </c>
      <c r="AT875">
        <v>23</v>
      </c>
      <c r="AU875">
        <v>1</v>
      </c>
      <c r="AV875">
        <v>0</v>
      </c>
      <c r="AW875">
        <v>10</v>
      </c>
      <c r="AX875">
        <v>1</v>
      </c>
      <c r="AY875">
        <v>7</v>
      </c>
      <c r="AZ875">
        <v>3</v>
      </c>
      <c r="BA875">
        <v>1</v>
      </c>
      <c r="BB875">
        <v>1440</v>
      </c>
      <c r="BC875">
        <v>0</v>
      </c>
      <c r="BD875">
        <v>0</v>
      </c>
      <c r="BE875">
        <v>14</v>
      </c>
      <c r="BF875">
        <v>25</v>
      </c>
      <c r="BG875">
        <v>3</v>
      </c>
      <c r="BH875">
        <v>8</v>
      </c>
      <c r="BI875">
        <v>3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0</v>
      </c>
      <c r="BQ875">
        <v>60</v>
      </c>
      <c r="BR875">
        <v>0</v>
      </c>
      <c r="BS875">
        <v>3</v>
      </c>
      <c r="BT875" t="s">
        <v>248</v>
      </c>
      <c r="BU875" t="s">
        <v>270</v>
      </c>
      <c r="BV875" t="b">
        <v>0</v>
      </c>
      <c r="BW875" t="s">
        <v>271</v>
      </c>
    </row>
    <row r="876" spans="1:75">
      <c r="A876" t="s">
        <v>248</v>
      </c>
      <c r="B876" t="s">
        <v>252</v>
      </c>
      <c r="C876">
        <v>758</v>
      </c>
      <c r="D876" t="s">
        <v>253</v>
      </c>
      <c r="E876" t="s">
        <v>254</v>
      </c>
      <c r="F876">
        <v>5</v>
      </c>
      <c r="G876" s="13">
        <v>46268.89508101852</v>
      </c>
      <c r="H876" s="13">
        <v>46268.895277777781</v>
      </c>
      <c r="I876">
        <v>17</v>
      </c>
      <c r="J876" t="s">
        <v>264</v>
      </c>
      <c r="K876">
        <v>1</v>
      </c>
      <c r="L876">
        <v>0.04</v>
      </c>
      <c r="M876">
        <v>0.04</v>
      </c>
      <c r="N876">
        <v>1</v>
      </c>
      <c r="O876">
        <v>0.04</v>
      </c>
      <c r="P876">
        <v>2.08</v>
      </c>
      <c r="Q876">
        <v>3.32</v>
      </c>
      <c r="R876">
        <v>2.4</v>
      </c>
      <c r="S876" t="s">
        <v>256</v>
      </c>
      <c r="T876" t="s">
        <v>257</v>
      </c>
      <c r="U876">
        <v>10</v>
      </c>
      <c r="V876">
        <v>3324.95</v>
      </c>
      <c r="W876">
        <v>4999.3599999999997</v>
      </c>
      <c r="X876">
        <v>4997.92</v>
      </c>
      <c r="Y876">
        <v>0</v>
      </c>
      <c r="Z876">
        <v>0</v>
      </c>
      <c r="AA876">
        <v>35</v>
      </c>
      <c r="AB876">
        <v>50</v>
      </c>
      <c r="AC876">
        <v>5000</v>
      </c>
      <c r="AD876">
        <v>0</v>
      </c>
      <c r="AE876">
        <v>0</v>
      </c>
      <c r="AF876">
        <v>3327.51</v>
      </c>
      <c r="AG876">
        <v>3327.51</v>
      </c>
      <c r="AH876" s="14">
        <v>46268</v>
      </c>
      <c r="AI876" t="s">
        <v>269</v>
      </c>
      <c r="AJ876" s="13">
        <v>46265.054768518516</v>
      </c>
      <c r="AK876">
        <v>7052.98</v>
      </c>
      <c r="AL876" t="s">
        <v>259</v>
      </c>
      <c r="AM876" t="s">
        <v>260</v>
      </c>
      <c r="AN876">
        <v>1400</v>
      </c>
      <c r="AO876">
        <v>0</v>
      </c>
      <c r="AP876">
        <v>35</v>
      </c>
      <c r="AQ876">
        <v>85</v>
      </c>
      <c r="AR876">
        <v>35</v>
      </c>
      <c r="AS876">
        <v>2</v>
      </c>
      <c r="AT876">
        <v>23</v>
      </c>
      <c r="AU876">
        <v>1</v>
      </c>
      <c r="AV876">
        <v>0</v>
      </c>
      <c r="AW876">
        <v>10</v>
      </c>
      <c r="AX876">
        <v>1</v>
      </c>
      <c r="AY876">
        <v>7</v>
      </c>
      <c r="AZ876">
        <v>3</v>
      </c>
      <c r="BA876">
        <v>1</v>
      </c>
      <c r="BB876">
        <v>1440</v>
      </c>
      <c r="BC876">
        <v>0</v>
      </c>
      <c r="BD876">
        <v>0</v>
      </c>
      <c r="BE876">
        <v>14</v>
      </c>
      <c r="BF876">
        <v>25</v>
      </c>
      <c r="BG876">
        <v>3</v>
      </c>
      <c r="BH876">
        <v>8</v>
      </c>
      <c r="BI876">
        <v>3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0</v>
      </c>
      <c r="BQ876">
        <v>60</v>
      </c>
      <c r="BR876">
        <v>0</v>
      </c>
      <c r="BS876">
        <v>3</v>
      </c>
      <c r="BT876" t="s">
        <v>248</v>
      </c>
      <c r="BU876" t="s">
        <v>270</v>
      </c>
      <c r="BV876" t="b">
        <v>0</v>
      </c>
      <c r="BW876" t="s">
        <v>271</v>
      </c>
    </row>
    <row r="877" spans="1:75">
      <c r="A877" t="s">
        <v>248</v>
      </c>
      <c r="B877" t="s">
        <v>252</v>
      </c>
      <c r="C877">
        <v>759</v>
      </c>
      <c r="D877" t="s">
        <v>253</v>
      </c>
      <c r="E877" t="s">
        <v>254</v>
      </c>
      <c r="F877">
        <v>5</v>
      </c>
      <c r="G877" s="13">
        <v>46268.896724537037</v>
      </c>
      <c r="H877" s="13">
        <v>46268.897280092591</v>
      </c>
      <c r="I877">
        <v>48</v>
      </c>
      <c r="J877" t="s">
        <v>264</v>
      </c>
      <c r="K877">
        <v>1</v>
      </c>
      <c r="L877">
        <v>0.04</v>
      </c>
      <c r="M877">
        <v>0.04</v>
      </c>
      <c r="N877">
        <v>1</v>
      </c>
      <c r="O877">
        <v>0.04</v>
      </c>
      <c r="P877">
        <v>3.12</v>
      </c>
      <c r="Q877">
        <v>3.84</v>
      </c>
      <c r="R877">
        <v>3.16</v>
      </c>
      <c r="S877" t="s">
        <v>256</v>
      </c>
      <c r="T877" t="s">
        <v>257</v>
      </c>
      <c r="U877">
        <v>11</v>
      </c>
      <c r="V877">
        <v>3326.87</v>
      </c>
      <c r="W877">
        <v>4999.3599999999997</v>
      </c>
      <c r="X877">
        <v>4996.88</v>
      </c>
      <c r="Y877">
        <v>0</v>
      </c>
      <c r="Z877">
        <v>0</v>
      </c>
      <c r="AA877">
        <v>35</v>
      </c>
      <c r="AB877">
        <v>50</v>
      </c>
      <c r="AC877">
        <v>5000</v>
      </c>
      <c r="AD877">
        <v>0</v>
      </c>
      <c r="AE877">
        <v>0</v>
      </c>
      <c r="AF877">
        <v>3329.95</v>
      </c>
      <c r="AG877">
        <v>3329.95</v>
      </c>
      <c r="AH877" s="14">
        <v>46268</v>
      </c>
      <c r="AI877" t="s">
        <v>269</v>
      </c>
      <c r="AJ877" s="13">
        <v>46265.054768518516</v>
      </c>
      <c r="AK877">
        <v>7052.98</v>
      </c>
      <c r="AL877" t="s">
        <v>259</v>
      </c>
      <c r="AM877" t="s">
        <v>260</v>
      </c>
      <c r="AN877">
        <v>1400</v>
      </c>
      <c r="AO877">
        <v>0</v>
      </c>
      <c r="AP877">
        <v>35</v>
      </c>
      <c r="AQ877">
        <v>85</v>
      </c>
      <c r="AR877">
        <v>35</v>
      </c>
      <c r="AS877">
        <v>2</v>
      </c>
      <c r="AT877">
        <v>23</v>
      </c>
      <c r="AU877">
        <v>1</v>
      </c>
      <c r="AV877">
        <v>0</v>
      </c>
      <c r="AW877">
        <v>10</v>
      </c>
      <c r="AX877">
        <v>1</v>
      </c>
      <c r="AY877">
        <v>7</v>
      </c>
      <c r="AZ877">
        <v>3</v>
      </c>
      <c r="BA877">
        <v>1</v>
      </c>
      <c r="BB877">
        <v>1440</v>
      </c>
      <c r="BC877">
        <v>0</v>
      </c>
      <c r="BD877">
        <v>0</v>
      </c>
      <c r="BE877">
        <v>14</v>
      </c>
      <c r="BF877">
        <v>25</v>
      </c>
      <c r="BG877">
        <v>3</v>
      </c>
      <c r="BH877">
        <v>8</v>
      </c>
      <c r="BI877">
        <v>3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0</v>
      </c>
      <c r="BQ877">
        <v>60</v>
      </c>
      <c r="BR877">
        <v>0</v>
      </c>
      <c r="BS877">
        <v>3</v>
      </c>
      <c r="BT877" t="s">
        <v>248</v>
      </c>
      <c r="BU877" t="s">
        <v>270</v>
      </c>
      <c r="BV877" t="b">
        <v>0</v>
      </c>
      <c r="BW877" t="s">
        <v>271</v>
      </c>
    </row>
    <row r="878" spans="1:75">
      <c r="A878" t="s">
        <v>248</v>
      </c>
      <c r="B878" t="s">
        <v>252</v>
      </c>
      <c r="C878">
        <v>760</v>
      </c>
      <c r="D878" t="s">
        <v>253</v>
      </c>
      <c r="E878" t="s">
        <v>254</v>
      </c>
      <c r="F878">
        <v>5</v>
      </c>
      <c r="G878" s="13">
        <v>46268.901493055557</v>
      </c>
      <c r="H878" s="13">
        <v>46269.122175925928</v>
      </c>
      <c r="I878">
        <v>19067</v>
      </c>
      <c r="J878" t="s">
        <v>255</v>
      </c>
      <c r="K878">
        <v>5</v>
      </c>
      <c r="L878">
        <v>0.2</v>
      </c>
      <c r="M878">
        <v>0.04</v>
      </c>
      <c r="N878">
        <v>5</v>
      </c>
      <c r="O878">
        <v>0.2</v>
      </c>
      <c r="P878">
        <v>98.6</v>
      </c>
      <c r="Q878">
        <v>7.8</v>
      </c>
      <c r="R878">
        <v>0.8</v>
      </c>
      <c r="S878" t="s">
        <v>263</v>
      </c>
      <c r="T878" t="s">
        <v>257</v>
      </c>
      <c r="U878">
        <v>10</v>
      </c>
      <c r="V878">
        <v>3329.27</v>
      </c>
      <c r="W878">
        <v>4999.32</v>
      </c>
      <c r="X878">
        <v>4901.3999999999996</v>
      </c>
      <c r="Y878">
        <v>0</v>
      </c>
      <c r="Z878">
        <v>0</v>
      </c>
      <c r="AA878">
        <v>35</v>
      </c>
      <c r="AB878">
        <v>50</v>
      </c>
      <c r="AC878">
        <v>5000</v>
      </c>
      <c r="AD878">
        <v>0</v>
      </c>
      <c r="AE878">
        <v>0</v>
      </c>
      <c r="AF878">
        <v>3331.27</v>
      </c>
      <c r="AG878">
        <v>3331.27</v>
      </c>
      <c r="AH878" s="14">
        <v>46268</v>
      </c>
      <c r="AI878" t="s">
        <v>269</v>
      </c>
      <c r="AJ878" s="13">
        <v>46265.054768518516</v>
      </c>
      <c r="AK878">
        <v>7052.98</v>
      </c>
      <c r="AL878" t="s">
        <v>259</v>
      </c>
      <c r="AM878" t="s">
        <v>260</v>
      </c>
      <c r="AN878">
        <v>1400</v>
      </c>
      <c r="AO878">
        <v>0</v>
      </c>
      <c r="AP878">
        <v>35</v>
      </c>
      <c r="AQ878">
        <v>85</v>
      </c>
      <c r="AR878">
        <v>35</v>
      </c>
      <c r="AS878">
        <v>2</v>
      </c>
      <c r="AT878">
        <v>23</v>
      </c>
      <c r="AU878">
        <v>1</v>
      </c>
      <c r="AV878">
        <v>0</v>
      </c>
      <c r="AW878">
        <v>10</v>
      </c>
      <c r="AX878">
        <v>1</v>
      </c>
      <c r="AY878">
        <v>7</v>
      </c>
      <c r="AZ878">
        <v>3</v>
      </c>
      <c r="BA878">
        <v>1</v>
      </c>
      <c r="BB878">
        <v>1440</v>
      </c>
      <c r="BC878">
        <v>0</v>
      </c>
      <c r="BD878">
        <v>0</v>
      </c>
      <c r="BE878">
        <v>14</v>
      </c>
      <c r="BF878">
        <v>25</v>
      </c>
      <c r="BG878">
        <v>3</v>
      </c>
      <c r="BH878">
        <v>8</v>
      </c>
      <c r="BI878">
        <v>3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0</v>
      </c>
      <c r="BQ878">
        <v>60</v>
      </c>
      <c r="BR878">
        <v>0</v>
      </c>
      <c r="BS878">
        <v>3</v>
      </c>
      <c r="BT878" t="s">
        <v>248</v>
      </c>
      <c r="BU878" t="s">
        <v>270</v>
      </c>
      <c r="BV878" t="b">
        <v>0</v>
      </c>
      <c r="BW878" t="s">
        <v>271</v>
      </c>
    </row>
    <row r="879" spans="1:75">
      <c r="A879" t="s">
        <v>248</v>
      </c>
      <c r="B879" t="s">
        <v>252</v>
      </c>
      <c r="C879">
        <v>761</v>
      </c>
      <c r="D879" t="s">
        <v>253</v>
      </c>
      <c r="E879" t="s">
        <v>254</v>
      </c>
      <c r="F879">
        <v>5</v>
      </c>
      <c r="G879" s="13">
        <v>46269.134884259256</v>
      </c>
      <c r="H879" s="13">
        <v>46269.155543981484</v>
      </c>
      <c r="I879">
        <v>1785</v>
      </c>
      <c r="J879" t="s">
        <v>255</v>
      </c>
      <c r="K879">
        <v>4</v>
      </c>
      <c r="L879">
        <v>0.16</v>
      </c>
      <c r="M879">
        <v>0.04</v>
      </c>
      <c r="N879">
        <v>4</v>
      </c>
      <c r="O879">
        <v>0.16</v>
      </c>
      <c r="P879">
        <v>69.680000000000007</v>
      </c>
      <c r="Q879">
        <v>20.72</v>
      </c>
      <c r="R879">
        <v>17.36</v>
      </c>
      <c r="S879" t="s">
        <v>263</v>
      </c>
      <c r="T879" t="s">
        <v>257</v>
      </c>
      <c r="U879">
        <v>11</v>
      </c>
      <c r="V879">
        <v>3330.63</v>
      </c>
      <c r="W879">
        <v>4999.3599999999997</v>
      </c>
      <c r="X879">
        <v>4930.32</v>
      </c>
      <c r="Y879">
        <v>0</v>
      </c>
      <c r="Z879">
        <v>0</v>
      </c>
      <c r="AA879">
        <v>35</v>
      </c>
      <c r="AB879">
        <v>50</v>
      </c>
      <c r="AC879">
        <v>5000</v>
      </c>
      <c r="AD879">
        <v>0</v>
      </c>
      <c r="AE879">
        <v>0</v>
      </c>
      <c r="AF879">
        <v>3348.35</v>
      </c>
      <c r="AG879">
        <v>3348.35</v>
      </c>
      <c r="AH879" s="14">
        <v>46269</v>
      </c>
      <c r="AI879" t="s">
        <v>269</v>
      </c>
      <c r="AJ879" s="13">
        <v>46265.054768518516</v>
      </c>
      <c r="AK879">
        <v>7052.98</v>
      </c>
      <c r="AL879" t="s">
        <v>259</v>
      </c>
      <c r="AM879" t="s">
        <v>260</v>
      </c>
      <c r="AN879">
        <v>1400</v>
      </c>
      <c r="AO879">
        <v>0</v>
      </c>
      <c r="AP879">
        <v>35</v>
      </c>
      <c r="AQ879">
        <v>85</v>
      </c>
      <c r="AR879">
        <v>35</v>
      </c>
      <c r="AS879">
        <v>2</v>
      </c>
      <c r="AT879">
        <v>23</v>
      </c>
      <c r="AU879">
        <v>1</v>
      </c>
      <c r="AV879">
        <v>0</v>
      </c>
      <c r="AW879">
        <v>10</v>
      </c>
      <c r="AX879">
        <v>1</v>
      </c>
      <c r="AY879">
        <v>7</v>
      </c>
      <c r="AZ879">
        <v>3</v>
      </c>
      <c r="BA879">
        <v>1</v>
      </c>
      <c r="BB879">
        <v>1440</v>
      </c>
      <c r="BC879">
        <v>0</v>
      </c>
      <c r="BD879">
        <v>0</v>
      </c>
      <c r="BE879">
        <v>14</v>
      </c>
      <c r="BF879">
        <v>25</v>
      </c>
      <c r="BG879">
        <v>3</v>
      </c>
      <c r="BH879">
        <v>8</v>
      </c>
      <c r="BI879">
        <v>3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0</v>
      </c>
      <c r="BQ879">
        <v>60</v>
      </c>
      <c r="BR879">
        <v>0</v>
      </c>
      <c r="BS879">
        <v>3</v>
      </c>
      <c r="BT879" t="s">
        <v>248</v>
      </c>
      <c r="BU879" t="s">
        <v>270</v>
      </c>
      <c r="BV879" t="b">
        <v>0</v>
      </c>
      <c r="BW879" t="s">
        <v>271</v>
      </c>
    </row>
    <row r="880" spans="1:75">
      <c r="A880" t="s">
        <v>248</v>
      </c>
      <c r="B880" t="s">
        <v>252</v>
      </c>
      <c r="C880">
        <v>762</v>
      </c>
      <c r="D880" t="s">
        <v>253</v>
      </c>
      <c r="E880" t="s">
        <v>254</v>
      </c>
      <c r="F880">
        <v>5</v>
      </c>
      <c r="G880" s="13">
        <v>46269.159710648149</v>
      </c>
      <c r="H880" s="13">
        <v>46269.168263888889</v>
      </c>
      <c r="I880">
        <v>739</v>
      </c>
      <c r="J880" t="s">
        <v>264</v>
      </c>
      <c r="K880">
        <v>3</v>
      </c>
      <c r="L880">
        <v>0.12</v>
      </c>
      <c r="M880">
        <v>0.04</v>
      </c>
      <c r="N880">
        <v>3</v>
      </c>
      <c r="O880">
        <v>0.12</v>
      </c>
      <c r="P880">
        <v>49.2</v>
      </c>
      <c r="Q880">
        <v>9.9600000000000009</v>
      </c>
      <c r="R880">
        <v>6.36</v>
      </c>
      <c r="S880" t="s">
        <v>263</v>
      </c>
      <c r="T880" t="s">
        <v>257</v>
      </c>
      <c r="U880">
        <v>10</v>
      </c>
      <c r="V880">
        <v>3347.71</v>
      </c>
      <c r="W880">
        <v>4999.3599999999997</v>
      </c>
      <c r="X880">
        <v>4950.8</v>
      </c>
      <c r="Y880">
        <v>0</v>
      </c>
      <c r="Z880">
        <v>0</v>
      </c>
      <c r="AA880">
        <v>35</v>
      </c>
      <c r="AB880">
        <v>50</v>
      </c>
      <c r="AC880">
        <v>5000</v>
      </c>
      <c r="AD880">
        <v>0</v>
      </c>
      <c r="AE880">
        <v>0</v>
      </c>
      <c r="AF880">
        <v>3353.07</v>
      </c>
      <c r="AG880">
        <v>3353.07</v>
      </c>
      <c r="AH880" s="14">
        <v>46269</v>
      </c>
      <c r="AI880" t="s">
        <v>269</v>
      </c>
      <c r="AJ880" s="13">
        <v>46265.054768518516</v>
      </c>
      <c r="AK880">
        <v>7052.98</v>
      </c>
      <c r="AL880" t="s">
        <v>259</v>
      </c>
      <c r="AM880" t="s">
        <v>260</v>
      </c>
      <c r="AN880">
        <v>1400</v>
      </c>
      <c r="AO880">
        <v>0</v>
      </c>
      <c r="AP880">
        <v>35</v>
      </c>
      <c r="AQ880">
        <v>85</v>
      </c>
      <c r="AR880">
        <v>35</v>
      </c>
      <c r="AS880">
        <v>2</v>
      </c>
      <c r="AT880">
        <v>23</v>
      </c>
      <c r="AU880">
        <v>1</v>
      </c>
      <c r="AV880">
        <v>0</v>
      </c>
      <c r="AW880">
        <v>10</v>
      </c>
      <c r="AX880">
        <v>1</v>
      </c>
      <c r="AY880">
        <v>7</v>
      </c>
      <c r="AZ880">
        <v>3</v>
      </c>
      <c r="BA880">
        <v>1</v>
      </c>
      <c r="BB880">
        <v>1440</v>
      </c>
      <c r="BC880">
        <v>0</v>
      </c>
      <c r="BD880">
        <v>0</v>
      </c>
      <c r="BE880">
        <v>14</v>
      </c>
      <c r="BF880">
        <v>25</v>
      </c>
      <c r="BG880">
        <v>3</v>
      </c>
      <c r="BH880">
        <v>8</v>
      </c>
      <c r="BI880">
        <v>3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0</v>
      </c>
      <c r="BQ880">
        <v>60</v>
      </c>
      <c r="BR880">
        <v>0</v>
      </c>
      <c r="BS880">
        <v>3</v>
      </c>
      <c r="BT880" t="s">
        <v>248</v>
      </c>
      <c r="BU880" t="s">
        <v>270</v>
      </c>
      <c r="BV880" t="b">
        <v>0</v>
      </c>
      <c r="BW880" t="s">
        <v>271</v>
      </c>
    </row>
    <row r="881" spans="1:75">
      <c r="A881" t="s">
        <v>248</v>
      </c>
      <c r="B881" t="s">
        <v>252</v>
      </c>
      <c r="C881">
        <v>763</v>
      </c>
      <c r="D881" t="s">
        <v>253</v>
      </c>
      <c r="E881" t="s">
        <v>254</v>
      </c>
      <c r="F881">
        <v>5</v>
      </c>
      <c r="G881" s="13">
        <v>46269.170428240737</v>
      </c>
      <c r="H881" s="13">
        <v>46269.170937499999</v>
      </c>
      <c r="I881">
        <v>44</v>
      </c>
      <c r="J881" t="s">
        <v>264</v>
      </c>
      <c r="K881">
        <v>1</v>
      </c>
      <c r="L881">
        <v>0.04</v>
      </c>
      <c r="M881">
        <v>0.04</v>
      </c>
      <c r="N881">
        <v>1</v>
      </c>
      <c r="O881">
        <v>0.04</v>
      </c>
      <c r="P881">
        <v>2.2799999999999998</v>
      </c>
      <c r="Q881">
        <v>4.4000000000000004</v>
      </c>
      <c r="R881">
        <v>3.88</v>
      </c>
      <c r="S881" t="s">
        <v>256</v>
      </c>
      <c r="T881" t="s">
        <v>257</v>
      </c>
      <c r="U881">
        <v>11</v>
      </c>
      <c r="V881">
        <v>3352.39</v>
      </c>
      <c r="W881">
        <v>4999.32</v>
      </c>
      <c r="X881">
        <v>4997.72</v>
      </c>
      <c r="Y881">
        <v>0</v>
      </c>
      <c r="Z881">
        <v>0</v>
      </c>
      <c r="AA881">
        <v>35</v>
      </c>
      <c r="AB881">
        <v>50</v>
      </c>
      <c r="AC881">
        <v>5000</v>
      </c>
      <c r="AD881">
        <v>0</v>
      </c>
      <c r="AE881">
        <v>0</v>
      </c>
      <c r="AF881">
        <v>3356.07</v>
      </c>
      <c r="AG881">
        <v>3356.07</v>
      </c>
      <c r="AH881" s="14">
        <v>46269</v>
      </c>
      <c r="AI881" t="s">
        <v>269</v>
      </c>
      <c r="AJ881" s="13">
        <v>46265.054768518516</v>
      </c>
      <c r="AK881">
        <v>7052.98</v>
      </c>
      <c r="AL881" t="s">
        <v>259</v>
      </c>
      <c r="AM881" t="s">
        <v>260</v>
      </c>
      <c r="AN881">
        <v>1400</v>
      </c>
      <c r="AO881">
        <v>0</v>
      </c>
      <c r="AP881">
        <v>35</v>
      </c>
      <c r="AQ881">
        <v>85</v>
      </c>
      <c r="AR881">
        <v>35</v>
      </c>
      <c r="AS881">
        <v>2</v>
      </c>
      <c r="AT881">
        <v>23</v>
      </c>
      <c r="AU881">
        <v>1</v>
      </c>
      <c r="AV881">
        <v>0</v>
      </c>
      <c r="AW881">
        <v>10</v>
      </c>
      <c r="AX881">
        <v>1</v>
      </c>
      <c r="AY881">
        <v>7</v>
      </c>
      <c r="AZ881">
        <v>3</v>
      </c>
      <c r="BA881">
        <v>1</v>
      </c>
      <c r="BB881">
        <v>1440</v>
      </c>
      <c r="BC881">
        <v>0</v>
      </c>
      <c r="BD881">
        <v>0</v>
      </c>
      <c r="BE881">
        <v>14</v>
      </c>
      <c r="BF881">
        <v>25</v>
      </c>
      <c r="BG881">
        <v>3</v>
      </c>
      <c r="BH881">
        <v>8</v>
      </c>
      <c r="BI881">
        <v>3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0</v>
      </c>
      <c r="BQ881">
        <v>60</v>
      </c>
      <c r="BR881">
        <v>0</v>
      </c>
      <c r="BS881">
        <v>3</v>
      </c>
      <c r="BT881" t="s">
        <v>248</v>
      </c>
      <c r="BU881" t="s">
        <v>270</v>
      </c>
      <c r="BV881" t="b">
        <v>0</v>
      </c>
      <c r="BW881" t="s">
        <v>271</v>
      </c>
    </row>
    <row r="882" spans="1:75">
      <c r="A882" t="s">
        <v>248</v>
      </c>
      <c r="B882" t="s">
        <v>252</v>
      </c>
      <c r="C882">
        <v>764</v>
      </c>
      <c r="D882" t="s">
        <v>253</v>
      </c>
      <c r="E882" t="s">
        <v>254</v>
      </c>
      <c r="F882">
        <v>5</v>
      </c>
      <c r="G882" s="13">
        <v>46269.174849537034</v>
      </c>
      <c r="H882" s="13">
        <v>46269.174884259257</v>
      </c>
      <c r="I882">
        <v>3</v>
      </c>
      <c r="J882" t="s">
        <v>255</v>
      </c>
      <c r="K882">
        <v>1</v>
      </c>
      <c r="L882">
        <v>0.04</v>
      </c>
      <c r="M882">
        <v>0.04</v>
      </c>
      <c r="N882">
        <v>1</v>
      </c>
      <c r="O882">
        <v>0.04</v>
      </c>
      <c r="P882">
        <v>0.68</v>
      </c>
      <c r="Q882">
        <v>4.32</v>
      </c>
      <c r="R882">
        <v>3.28</v>
      </c>
      <c r="S882" t="s">
        <v>256</v>
      </c>
      <c r="T882" t="s">
        <v>257</v>
      </c>
      <c r="U882">
        <v>11</v>
      </c>
      <c r="V882">
        <v>3355.39</v>
      </c>
      <c r="W882">
        <v>4999.32</v>
      </c>
      <c r="X882">
        <v>4999.32</v>
      </c>
      <c r="Y882">
        <v>0</v>
      </c>
      <c r="Z882">
        <v>0</v>
      </c>
      <c r="AA882">
        <v>35</v>
      </c>
      <c r="AB882">
        <v>50</v>
      </c>
      <c r="AC882">
        <v>5000</v>
      </c>
      <c r="AD882">
        <v>0</v>
      </c>
      <c r="AE882">
        <v>0</v>
      </c>
      <c r="AF882">
        <v>3358.99</v>
      </c>
      <c r="AG882">
        <v>3358.99</v>
      </c>
      <c r="AH882" s="14">
        <v>46269</v>
      </c>
      <c r="AI882" t="s">
        <v>269</v>
      </c>
      <c r="AJ882" s="13">
        <v>46265.054768518516</v>
      </c>
      <c r="AK882">
        <v>7052.98</v>
      </c>
      <c r="AL882" t="s">
        <v>259</v>
      </c>
      <c r="AM882" t="s">
        <v>260</v>
      </c>
      <c r="AN882">
        <v>1400</v>
      </c>
      <c r="AO882">
        <v>0</v>
      </c>
      <c r="AP882">
        <v>35</v>
      </c>
      <c r="AQ882">
        <v>85</v>
      </c>
      <c r="AR882">
        <v>35</v>
      </c>
      <c r="AS882">
        <v>2</v>
      </c>
      <c r="AT882">
        <v>23</v>
      </c>
      <c r="AU882">
        <v>1</v>
      </c>
      <c r="AV882">
        <v>0</v>
      </c>
      <c r="AW882">
        <v>10</v>
      </c>
      <c r="AX882">
        <v>1</v>
      </c>
      <c r="AY882">
        <v>7</v>
      </c>
      <c r="AZ882">
        <v>3</v>
      </c>
      <c r="BA882">
        <v>1</v>
      </c>
      <c r="BB882">
        <v>1440</v>
      </c>
      <c r="BC882">
        <v>0</v>
      </c>
      <c r="BD882">
        <v>0</v>
      </c>
      <c r="BE882">
        <v>14</v>
      </c>
      <c r="BF882">
        <v>25</v>
      </c>
      <c r="BG882">
        <v>3</v>
      </c>
      <c r="BH882">
        <v>8</v>
      </c>
      <c r="BI882">
        <v>3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0</v>
      </c>
      <c r="BQ882">
        <v>60</v>
      </c>
      <c r="BR882">
        <v>0</v>
      </c>
      <c r="BS882">
        <v>3</v>
      </c>
      <c r="BT882" t="s">
        <v>248</v>
      </c>
      <c r="BU882" t="s">
        <v>270</v>
      </c>
      <c r="BV882" t="b">
        <v>0</v>
      </c>
      <c r="BW882" t="s">
        <v>271</v>
      </c>
    </row>
    <row r="883" spans="1:75">
      <c r="A883" t="s">
        <v>248</v>
      </c>
      <c r="B883" t="s">
        <v>252</v>
      </c>
      <c r="C883">
        <v>765</v>
      </c>
      <c r="D883" t="s">
        <v>253</v>
      </c>
      <c r="E883" t="s">
        <v>254</v>
      </c>
      <c r="F883">
        <v>5</v>
      </c>
      <c r="G883" s="13">
        <v>46269.177418981482</v>
      </c>
      <c r="H883" s="13">
        <v>46269.178819444445</v>
      </c>
      <c r="I883">
        <v>121</v>
      </c>
      <c r="J883" t="s">
        <v>255</v>
      </c>
      <c r="K883">
        <v>1</v>
      </c>
      <c r="L883">
        <v>0.04</v>
      </c>
      <c r="M883">
        <v>0.04</v>
      </c>
      <c r="N883">
        <v>1</v>
      </c>
      <c r="O883">
        <v>0.04</v>
      </c>
      <c r="P883">
        <v>6.72</v>
      </c>
      <c r="Q883">
        <v>4.28</v>
      </c>
      <c r="R883">
        <v>3</v>
      </c>
      <c r="S883" t="s">
        <v>256</v>
      </c>
      <c r="T883" t="s">
        <v>257</v>
      </c>
      <c r="U883">
        <v>10</v>
      </c>
      <c r="V883">
        <v>3358.31</v>
      </c>
      <c r="W883">
        <v>4999.32</v>
      </c>
      <c r="X883">
        <v>4993.28</v>
      </c>
      <c r="Y883">
        <v>0</v>
      </c>
      <c r="Z883">
        <v>0</v>
      </c>
      <c r="AA883">
        <v>35</v>
      </c>
      <c r="AB883">
        <v>50</v>
      </c>
      <c r="AC883">
        <v>5000</v>
      </c>
      <c r="AD883">
        <v>0</v>
      </c>
      <c r="AE883">
        <v>0</v>
      </c>
      <c r="AF883">
        <v>3361.87</v>
      </c>
      <c r="AG883">
        <v>3361.87</v>
      </c>
      <c r="AH883" s="14">
        <v>46269</v>
      </c>
      <c r="AI883" t="s">
        <v>269</v>
      </c>
      <c r="AJ883" s="13">
        <v>46265.054768518516</v>
      </c>
      <c r="AK883">
        <v>7052.98</v>
      </c>
      <c r="AL883" t="s">
        <v>259</v>
      </c>
      <c r="AM883" t="s">
        <v>260</v>
      </c>
      <c r="AN883">
        <v>1400</v>
      </c>
      <c r="AO883">
        <v>0</v>
      </c>
      <c r="AP883">
        <v>35</v>
      </c>
      <c r="AQ883">
        <v>85</v>
      </c>
      <c r="AR883">
        <v>35</v>
      </c>
      <c r="AS883">
        <v>2</v>
      </c>
      <c r="AT883">
        <v>23</v>
      </c>
      <c r="AU883">
        <v>1</v>
      </c>
      <c r="AV883">
        <v>0</v>
      </c>
      <c r="AW883">
        <v>10</v>
      </c>
      <c r="AX883">
        <v>1</v>
      </c>
      <c r="AY883">
        <v>7</v>
      </c>
      <c r="AZ883">
        <v>3</v>
      </c>
      <c r="BA883">
        <v>1</v>
      </c>
      <c r="BB883">
        <v>1440</v>
      </c>
      <c r="BC883">
        <v>0</v>
      </c>
      <c r="BD883">
        <v>0</v>
      </c>
      <c r="BE883">
        <v>14</v>
      </c>
      <c r="BF883">
        <v>25</v>
      </c>
      <c r="BG883">
        <v>3</v>
      </c>
      <c r="BH883">
        <v>8</v>
      </c>
      <c r="BI883">
        <v>3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0</v>
      </c>
      <c r="BQ883">
        <v>60</v>
      </c>
      <c r="BR883">
        <v>0</v>
      </c>
      <c r="BS883">
        <v>3</v>
      </c>
      <c r="BT883" t="s">
        <v>248</v>
      </c>
      <c r="BU883" t="s">
        <v>270</v>
      </c>
      <c r="BV883" t="b">
        <v>0</v>
      </c>
      <c r="BW883" t="s">
        <v>271</v>
      </c>
    </row>
    <row r="884" spans="1:75">
      <c r="A884" t="s">
        <v>248</v>
      </c>
      <c r="B884" t="s">
        <v>252</v>
      </c>
      <c r="C884">
        <v>766</v>
      </c>
      <c r="D884" t="s">
        <v>253</v>
      </c>
      <c r="E884" t="s">
        <v>254</v>
      </c>
      <c r="F884">
        <v>5</v>
      </c>
      <c r="G884" s="13">
        <v>46269.182175925926</v>
      </c>
      <c r="H884" s="13">
        <v>46269.192337962966</v>
      </c>
      <c r="I884">
        <v>878</v>
      </c>
      <c r="J884" t="s">
        <v>255</v>
      </c>
      <c r="K884">
        <v>3</v>
      </c>
      <c r="L884">
        <v>0.12</v>
      </c>
      <c r="M884">
        <v>0.04</v>
      </c>
      <c r="N884">
        <v>3</v>
      </c>
      <c r="O884">
        <v>0.12</v>
      </c>
      <c r="P884">
        <v>53.6</v>
      </c>
      <c r="Q884">
        <v>9.7200000000000006</v>
      </c>
      <c r="R884">
        <v>6.6</v>
      </c>
      <c r="S884" t="s">
        <v>263</v>
      </c>
      <c r="T884" t="s">
        <v>257</v>
      </c>
      <c r="U884">
        <v>10</v>
      </c>
      <c r="V884">
        <v>3361.19</v>
      </c>
      <c r="W884">
        <v>4999.32</v>
      </c>
      <c r="X884">
        <v>4946.3999999999996</v>
      </c>
      <c r="Y884">
        <v>0</v>
      </c>
      <c r="Z884">
        <v>0</v>
      </c>
      <c r="AA884">
        <v>35</v>
      </c>
      <c r="AB884">
        <v>50</v>
      </c>
      <c r="AC884">
        <v>5000</v>
      </c>
      <c r="AD884">
        <v>0</v>
      </c>
      <c r="AE884">
        <v>0</v>
      </c>
      <c r="AF884">
        <v>3367.75</v>
      </c>
      <c r="AG884">
        <v>3367.75</v>
      </c>
      <c r="AH884" s="14">
        <v>46269</v>
      </c>
      <c r="AI884" t="s">
        <v>269</v>
      </c>
      <c r="AJ884" s="13">
        <v>46265.054768518516</v>
      </c>
      <c r="AK884">
        <v>7052.98</v>
      </c>
      <c r="AL884" t="s">
        <v>259</v>
      </c>
      <c r="AM884" t="s">
        <v>260</v>
      </c>
      <c r="AN884">
        <v>1400</v>
      </c>
      <c r="AO884">
        <v>0</v>
      </c>
      <c r="AP884">
        <v>35</v>
      </c>
      <c r="AQ884">
        <v>85</v>
      </c>
      <c r="AR884">
        <v>35</v>
      </c>
      <c r="AS884">
        <v>2</v>
      </c>
      <c r="AT884">
        <v>23</v>
      </c>
      <c r="AU884">
        <v>1</v>
      </c>
      <c r="AV884">
        <v>0</v>
      </c>
      <c r="AW884">
        <v>10</v>
      </c>
      <c r="AX884">
        <v>1</v>
      </c>
      <c r="AY884">
        <v>7</v>
      </c>
      <c r="AZ884">
        <v>3</v>
      </c>
      <c r="BA884">
        <v>1</v>
      </c>
      <c r="BB884">
        <v>1440</v>
      </c>
      <c r="BC884">
        <v>0</v>
      </c>
      <c r="BD884">
        <v>0</v>
      </c>
      <c r="BE884">
        <v>14</v>
      </c>
      <c r="BF884">
        <v>25</v>
      </c>
      <c r="BG884">
        <v>3</v>
      </c>
      <c r="BH884">
        <v>8</v>
      </c>
      <c r="BI884">
        <v>3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0</v>
      </c>
      <c r="BQ884">
        <v>60</v>
      </c>
      <c r="BR884">
        <v>0</v>
      </c>
      <c r="BS884">
        <v>3</v>
      </c>
      <c r="BT884" t="s">
        <v>248</v>
      </c>
      <c r="BU884" t="s">
        <v>270</v>
      </c>
      <c r="BV884" t="b">
        <v>0</v>
      </c>
      <c r="BW884" t="s">
        <v>271</v>
      </c>
    </row>
    <row r="885" spans="1:75">
      <c r="A885" t="s">
        <v>248</v>
      </c>
      <c r="B885" t="s">
        <v>252</v>
      </c>
      <c r="C885">
        <v>767</v>
      </c>
      <c r="D885" t="s">
        <v>253</v>
      </c>
      <c r="E885" t="s">
        <v>254</v>
      </c>
      <c r="F885">
        <v>5</v>
      </c>
      <c r="G885" s="13">
        <v>46269.195648148147</v>
      </c>
      <c r="H885" s="13">
        <v>46269.205729166664</v>
      </c>
      <c r="I885">
        <v>871</v>
      </c>
      <c r="J885" t="s">
        <v>255</v>
      </c>
      <c r="K885">
        <v>2</v>
      </c>
      <c r="L885">
        <v>0.08</v>
      </c>
      <c r="M885">
        <v>0.04</v>
      </c>
      <c r="N885">
        <v>2</v>
      </c>
      <c r="O885">
        <v>0.08</v>
      </c>
      <c r="P885">
        <v>39.04</v>
      </c>
      <c r="Q885">
        <v>14.36</v>
      </c>
      <c r="R885">
        <v>11.24</v>
      </c>
      <c r="S885" t="s">
        <v>263</v>
      </c>
      <c r="T885" t="s">
        <v>257</v>
      </c>
      <c r="U885">
        <v>10</v>
      </c>
      <c r="V885">
        <v>3367.11</v>
      </c>
      <c r="W885">
        <v>4999.3599999999997</v>
      </c>
      <c r="X885">
        <v>4960.96</v>
      </c>
      <c r="Y885">
        <v>0</v>
      </c>
      <c r="Z885">
        <v>0</v>
      </c>
      <c r="AA885">
        <v>35</v>
      </c>
      <c r="AB885">
        <v>50</v>
      </c>
      <c r="AC885">
        <v>5000</v>
      </c>
      <c r="AD885">
        <v>0</v>
      </c>
      <c r="AE885">
        <v>0</v>
      </c>
      <c r="AF885">
        <v>3375.35</v>
      </c>
      <c r="AG885">
        <v>3375.35</v>
      </c>
      <c r="AH885" s="14">
        <v>46269</v>
      </c>
      <c r="AI885" t="s">
        <v>269</v>
      </c>
      <c r="AJ885" s="13">
        <v>46265.054768518516</v>
      </c>
      <c r="AK885">
        <v>7052.98</v>
      </c>
      <c r="AL885" t="s">
        <v>259</v>
      </c>
      <c r="AM885" t="s">
        <v>260</v>
      </c>
      <c r="AN885">
        <v>1400</v>
      </c>
      <c r="AO885">
        <v>0</v>
      </c>
      <c r="AP885">
        <v>35</v>
      </c>
      <c r="AQ885">
        <v>85</v>
      </c>
      <c r="AR885">
        <v>35</v>
      </c>
      <c r="AS885">
        <v>2</v>
      </c>
      <c r="AT885">
        <v>23</v>
      </c>
      <c r="AU885">
        <v>1</v>
      </c>
      <c r="AV885">
        <v>0</v>
      </c>
      <c r="AW885">
        <v>10</v>
      </c>
      <c r="AX885">
        <v>1</v>
      </c>
      <c r="AY885">
        <v>7</v>
      </c>
      <c r="AZ885">
        <v>3</v>
      </c>
      <c r="BA885">
        <v>1</v>
      </c>
      <c r="BB885">
        <v>1440</v>
      </c>
      <c r="BC885">
        <v>0</v>
      </c>
      <c r="BD885">
        <v>0</v>
      </c>
      <c r="BE885">
        <v>14</v>
      </c>
      <c r="BF885">
        <v>25</v>
      </c>
      <c r="BG885">
        <v>3</v>
      </c>
      <c r="BH885">
        <v>8</v>
      </c>
      <c r="BI885">
        <v>3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0</v>
      </c>
      <c r="BQ885">
        <v>60</v>
      </c>
      <c r="BR885">
        <v>0</v>
      </c>
      <c r="BS885">
        <v>3</v>
      </c>
      <c r="BT885" t="s">
        <v>248</v>
      </c>
      <c r="BU885" t="s">
        <v>270</v>
      </c>
      <c r="BV885" t="b">
        <v>0</v>
      </c>
      <c r="BW885" t="s">
        <v>271</v>
      </c>
    </row>
    <row r="886" spans="1:75">
      <c r="A886" t="s">
        <v>248</v>
      </c>
      <c r="B886" t="s">
        <v>252</v>
      </c>
      <c r="C886">
        <v>768</v>
      </c>
      <c r="D886" t="s">
        <v>253</v>
      </c>
      <c r="E886" t="s">
        <v>254</v>
      </c>
      <c r="F886">
        <v>5</v>
      </c>
      <c r="G886" s="13">
        <v>46269.206388888888</v>
      </c>
      <c r="H886" s="13">
        <v>46269.207546296297</v>
      </c>
      <c r="I886">
        <v>100</v>
      </c>
      <c r="J886" t="s">
        <v>255</v>
      </c>
      <c r="K886">
        <v>1</v>
      </c>
      <c r="L886">
        <v>0.04</v>
      </c>
      <c r="M886">
        <v>0.04</v>
      </c>
      <c r="N886">
        <v>1</v>
      </c>
      <c r="O886">
        <v>0.04</v>
      </c>
      <c r="P886">
        <v>4.5599999999999996</v>
      </c>
      <c r="Q886">
        <v>13.6</v>
      </c>
      <c r="R886">
        <v>12.4</v>
      </c>
      <c r="S886" t="s">
        <v>256</v>
      </c>
      <c r="T886" t="s">
        <v>257</v>
      </c>
      <c r="U886">
        <v>10</v>
      </c>
      <c r="V886">
        <v>3374.71</v>
      </c>
      <c r="W886">
        <v>4999.3599999999997</v>
      </c>
      <c r="X886">
        <v>4995.4399999999996</v>
      </c>
      <c r="Y886">
        <v>0</v>
      </c>
      <c r="Z886">
        <v>0</v>
      </c>
      <c r="AA886">
        <v>35</v>
      </c>
      <c r="AB886">
        <v>50</v>
      </c>
      <c r="AC886">
        <v>5000</v>
      </c>
      <c r="AD886">
        <v>0</v>
      </c>
      <c r="AE886">
        <v>0</v>
      </c>
      <c r="AF886">
        <v>3387.55</v>
      </c>
      <c r="AG886">
        <v>3387.55</v>
      </c>
      <c r="AH886" s="14">
        <v>46269</v>
      </c>
      <c r="AI886" t="s">
        <v>269</v>
      </c>
      <c r="AJ886" s="13">
        <v>46265.054768518516</v>
      </c>
      <c r="AK886">
        <v>7052.98</v>
      </c>
      <c r="AL886" t="s">
        <v>259</v>
      </c>
      <c r="AM886" t="s">
        <v>260</v>
      </c>
      <c r="AN886">
        <v>1400</v>
      </c>
      <c r="AO886">
        <v>0</v>
      </c>
      <c r="AP886">
        <v>35</v>
      </c>
      <c r="AQ886">
        <v>85</v>
      </c>
      <c r="AR886">
        <v>35</v>
      </c>
      <c r="AS886">
        <v>2</v>
      </c>
      <c r="AT886">
        <v>23</v>
      </c>
      <c r="AU886">
        <v>1</v>
      </c>
      <c r="AV886">
        <v>0</v>
      </c>
      <c r="AW886">
        <v>10</v>
      </c>
      <c r="AX886">
        <v>1</v>
      </c>
      <c r="AY886">
        <v>7</v>
      </c>
      <c r="AZ886">
        <v>3</v>
      </c>
      <c r="BA886">
        <v>1</v>
      </c>
      <c r="BB886">
        <v>1440</v>
      </c>
      <c r="BC886">
        <v>0</v>
      </c>
      <c r="BD886">
        <v>0</v>
      </c>
      <c r="BE886">
        <v>14</v>
      </c>
      <c r="BF886">
        <v>25</v>
      </c>
      <c r="BG886">
        <v>3</v>
      </c>
      <c r="BH886">
        <v>8</v>
      </c>
      <c r="BI886">
        <v>3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0</v>
      </c>
      <c r="BQ886">
        <v>60</v>
      </c>
      <c r="BR886">
        <v>0</v>
      </c>
      <c r="BS886">
        <v>3</v>
      </c>
      <c r="BT886" t="s">
        <v>248</v>
      </c>
      <c r="BU886" t="s">
        <v>270</v>
      </c>
      <c r="BV886" t="b">
        <v>0</v>
      </c>
      <c r="BW886" t="s">
        <v>271</v>
      </c>
    </row>
    <row r="887" spans="1:75">
      <c r="A887" t="s">
        <v>248</v>
      </c>
      <c r="B887" t="s">
        <v>252</v>
      </c>
      <c r="C887">
        <v>769</v>
      </c>
      <c r="D887" t="s">
        <v>253</v>
      </c>
      <c r="E887" t="s">
        <v>254</v>
      </c>
      <c r="F887">
        <v>5</v>
      </c>
      <c r="G887" s="13">
        <v>46269.210439814815</v>
      </c>
      <c r="H887" s="13">
        <v>46269.243761574071</v>
      </c>
      <c r="I887">
        <v>2879</v>
      </c>
      <c r="J887" t="s">
        <v>255</v>
      </c>
      <c r="K887">
        <v>4</v>
      </c>
      <c r="L887">
        <v>0.16</v>
      </c>
      <c r="M887">
        <v>0.04</v>
      </c>
      <c r="N887">
        <v>4</v>
      </c>
      <c r="O887">
        <v>0.16</v>
      </c>
      <c r="P887">
        <v>86.04</v>
      </c>
      <c r="Q887">
        <v>10.119999999999999</v>
      </c>
      <c r="R887">
        <v>7.08</v>
      </c>
      <c r="S887" t="s">
        <v>263</v>
      </c>
      <c r="T887" t="s">
        <v>257</v>
      </c>
      <c r="U887">
        <v>11</v>
      </c>
      <c r="V887">
        <v>3386.91</v>
      </c>
      <c r="W887">
        <v>4999.3599999999997</v>
      </c>
      <c r="X887">
        <v>4913.96</v>
      </c>
      <c r="Y887">
        <v>0</v>
      </c>
      <c r="Z887">
        <v>0</v>
      </c>
      <c r="AA887">
        <v>35</v>
      </c>
      <c r="AB887">
        <v>50</v>
      </c>
      <c r="AC887">
        <v>5000</v>
      </c>
      <c r="AD887">
        <v>0</v>
      </c>
      <c r="AE887">
        <v>0</v>
      </c>
      <c r="AF887">
        <v>3395.83</v>
      </c>
      <c r="AG887">
        <v>3395.83</v>
      </c>
      <c r="AH887" s="14">
        <v>46269</v>
      </c>
      <c r="AI887" t="s">
        <v>269</v>
      </c>
      <c r="AJ887" s="13">
        <v>46265.054768518516</v>
      </c>
      <c r="AK887">
        <v>7052.98</v>
      </c>
      <c r="AL887" t="s">
        <v>259</v>
      </c>
      <c r="AM887" t="s">
        <v>260</v>
      </c>
      <c r="AN887">
        <v>1400</v>
      </c>
      <c r="AO887">
        <v>0</v>
      </c>
      <c r="AP887">
        <v>35</v>
      </c>
      <c r="AQ887">
        <v>85</v>
      </c>
      <c r="AR887">
        <v>35</v>
      </c>
      <c r="AS887">
        <v>2</v>
      </c>
      <c r="AT887">
        <v>23</v>
      </c>
      <c r="AU887">
        <v>1</v>
      </c>
      <c r="AV887">
        <v>0</v>
      </c>
      <c r="AW887">
        <v>10</v>
      </c>
      <c r="AX887">
        <v>1</v>
      </c>
      <c r="AY887">
        <v>7</v>
      </c>
      <c r="AZ887">
        <v>3</v>
      </c>
      <c r="BA887">
        <v>1</v>
      </c>
      <c r="BB887">
        <v>1440</v>
      </c>
      <c r="BC887">
        <v>0</v>
      </c>
      <c r="BD887">
        <v>0</v>
      </c>
      <c r="BE887">
        <v>14</v>
      </c>
      <c r="BF887">
        <v>25</v>
      </c>
      <c r="BG887">
        <v>3</v>
      </c>
      <c r="BH887">
        <v>8</v>
      </c>
      <c r="BI887">
        <v>3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0</v>
      </c>
      <c r="BQ887">
        <v>60</v>
      </c>
      <c r="BR887">
        <v>0</v>
      </c>
      <c r="BS887">
        <v>3</v>
      </c>
      <c r="BT887" t="s">
        <v>248</v>
      </c>
      <c r="BU887" t="s">
        <v>270</v>
      </c>
      <c r="BV887" t="b">
        <v>0</v>
      </c>
      <c r="BW887" t="s">
        <v>271</v>
      </c>
    </row>
    <row r="888" spans="1:75">
      <c r="A888" t="s">
        <v>248</v>
      </c>
      <c r="B888" t="s">
        <v>252</v>
      </c>
      <c r="C888">
        <v>770</v>
      </c>
      <c r="D888" t="s">
        <v>253</v>
      </c>
      <c r="E888" t="s">
        <v>254</v>
      </c>
      <c r="F888">
        <v>5</v>
      </c>
      <c r="G888" s="13">
        <v>46269.246215277781</v>
      </c>
      <c r="H888" s="13">
        <v>46269.246689814812</v>
      </c>
      <c r="I888">
        <v>41</v>
      </c>
      <c r="J888" t="s">
        <v>255</v>
      </c>
      <c r="K888">
        <v>1</v>
      </c>
      <c r="L888">
        <v>0.04</v>
      </c>
      <c r="M888">
        <v>0.04</v>
      </c>
      <c r="N888">
        <v>1</v>
      </c>
      <c r="O888">
        <v>0.04</v>
      </c>
      <c r="P888">
        <v>2.04</v>
      </c>
      <c r="Q888">
        <v>6.24</v>
      </c>
      <c r="R888">
        <v>5.64</v>
      </c>
      <c r="S888" t="s">
        <v>256</v>
      </c>
      <c r="T888" t="s">
        <v>257</v>
      </c>
      <c r="U888">
        <v>10</v>
      </c>
      <c r="V888">
        <v>3395.19</v>
      </c>
      <c r="W888">
        <v>4999.3599999999997</v>
      </c>
      <c r="X888">
        <v>4997.96</v>
      </c>
      <c r="Y888">
        <v>0</v>
      </c>
      <c r="Z888">
        <v>0</v>
      </c>
      <c r="AA888">
        <v>35</v>
      </c>
      <c r="AB888">
        <v>50</v>
      </c>
      <c r="AC888">
        <v>5000</v>
      </c>
      <c r="AD888">
        <v>0</v>
      </c>
      <c r="AE888">
        <v>0</v>
      </c>
      <c r="AF888">
        <v>3400.67</v>
      </c>
      <c r="AG888">
        <v>3400.67</v>
      </c>
      <c r="AH888" s="14">
        <v>46269</v>
      </c>
      <c r="AI888" t="s">
        <v>269</v>
      </c>
      <c r="AJ888" s="13">
        <v>46265.054768518516</v>
      </c>
      <c r="AK888">
        <v>7052.98</v>
      </c>
      <c r="AL888" t="s">
        <v>259</v>
      </c>
      <c r="AM888" t="s">
        <v>260</v>
      </c>
      <c r="AN888">
        <v>1400</v>
      </c>
      <c r="AO888">
        <v>0</v>
      </c>
      <c r="AP888">
        <v>35</v>
      </c>
      <c r="AQ888">
        <v>85</v>
      </c>
      <c r="AR888">
        <v>35</v>
      </c>
      <c r="AS888">
        <v>2</v>
      </c>
      <c r="AT888">
        <v>23</v>
      </c>
      <c r="AU888">
        <v>1</v>
      </c>
      <c r="AV888">
        <v>0</v>
      </c>
      <c r="AW888">
        <v>10</v>
      </c>
      <c r="AX888">
        <v>1</v>
      </c>
      <c r="AY888">
        <v>7</v>
      </c>
      <c r="AZ888">
        <v>3</v>
      </c>
      <c r="BA888">
        <v>1</v>
      </c>
      <c r="BB888">
        <v>1440</v>
      </c>
      <c r="BC888">
        <v>0</v>
      </c>
      <c r="BD888">
        <v>0</v>
      </c>
      <c r="BE888">
        <v>14</v>
      </c>
      <c r="BF888">
        <v>25</v>
      </c>
      <c r="BG888">
        <v>3</v>
      </c>
      <c r="BH888">
        <v>8</v>
      </c>
      <c r="BI888">
        <v>3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0</v>
      </c>
      <c r="BQ888">
        <v>60</v>
      </c>
      <c r="BR888">
        <v>0</v>
      </c>
      <c r="BS888">
        <v>3</v>
      </c>
      <c r="BT888" t="s">
        <v>248</v>
      </c>
      <c r="BU888" t="s">
        <v>270</v>
      </c>
      <c r="BV888" t="b">
        <v>0</v>
      </c>
      <c r="BW888" t="s">
        <v>271</v>
      </c>
    </row>
    <row r="889" spans="1:75">
      <c r="A889" t="s">
        <v>248</v>
      </c>
      <c r="B889" t="s">
        <v>252</v>
      </c>
      <c r="C889">
        <v>771</v>
      </c>
      <c r="D889" t="s">
        <v>253</v>
      </c>
      <c r="E889" t="s">
        <v>254</v>
      </c>
      <c r="F889">
        <v>5</v>
      </c>
      <c r="G889" s="13">
        <v>46269.24796296296</v>
      </c>
      <c r="H889" s="13">
        <v>46269.248171296298</v>
      </c>
      <c r="I889">
        <v>18</v>
      </c>
      <c r="J889" t="s">
        <v>264</v>
      </c>
      <c r="K889">
        <v>1</v>
      </c>
      <c r="L889">
        <v>0.04</v>
      </c>
      <c r="M889">
        <v>0.04</v>
      </c>
      <c r="N889">
        <v>1</v>
      </c>
      <c r="O889">
        <v>0.04</v>
      </c>
      <c r="P889">
        <v>1.1599999999999999</v>
      </c>
      <c r="Q889">
        <v>4.4800000000000004</v>
      </c>
      <c r="R889">
        <v>4.4800000000000004</v>
      </c>
      <c r="S889" t="s">
        <v>256</v>
      </c>
      <c r="T889" t="s">
        <v>257</v>
      </c>
      <c r="U889">
        <v>11</v>
      </c>
      <c r="V889">
        <v>3399.99</v>
      </c>
      <c r="W889">
        <v>4999.32</v>
      </c>
      <c r="X889">
        <v>4998.84</v>
      </c>
      <c r="Y889">
        <v>0</v>
      </c>
      <c r="Z889">
        <v>0</v>
      </c>
      <c r="AA889">
        <v>35</v>
      </c>
      <c r="AB889">
        <v>50</v>
      </c>
      <c r="AC889">
        <v>5000</v>
      </c>
      <c r="AD889">
        <v>0</v>
      </c>
      <c r="AE889">
        <v>0</v>
      </c>
      <c r="AF889">
        <v>3403.75</v>
      </c>
      <c r="AG889">
        <v>3403.75</v>
      </c>
      <c r="AH889" s="14">
        <v>46269</v>
      </c>
      <c r="AI889" t="s">
        <v>269</v>
      </c>
      <c r="AJ889" s="13">
        <v>46265.054768518516</v>
      </c>
      <c r="AK889">
        <v>7052.98</v>
      </c>
      <c r="AL889" t="s">
        <v>259</v>
      </c>
      <c r="AM889" t="s">
        <v>260</v>
      </c>
      <c r="AN889">
        <v>1400</v>
      </c>
      <c r="AO889">
        <v>0</v>
      </c>
      <c r="AP889">
        <v>35</v>
      </c>
      <c r="AQ889">
        <v>85</v>
      </c>
      <c r="AR889">
        <v>35</v>
      </c>
      <c r="AS889">
        <v>2</v>
      </c>
      <c r="AT889">
        <v>23</v>
      </c>
      <c r="AU889">
        <v>1</v>
      </c>
      <c r="AV889">
        <v>0</v>
      </c>
      <c r="AW889">
        <v>10</v>
      </c>
      <c r="AX889">
        <v>1</v>
      </c>
      <c r="AY889">
        <v>7</v>
      </c>
      <c r="AZ889">
        <v>3</v>
      </c>
      <c r="BA889">
        <v>1</v>
      </c>
      <c r="BB889">
        <v>1440</v>
      </c>
      <c r="BC889">
        <v>0</v>
      </c>
      <c r="BD889">
        <v>0</v>
      </c>
      <c r="BE889">
        <v>14</v>
      </c>
      <c r="BF889">
        <v>25</v>
      </c>
      <c r="BG889">
        <v>3</v>
      </c>
      <c r="BH889">
        <v>8</v>
      </c>
      <c r="BI889">
        <v>3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0</v>
      </c>
      <c r="BQ889">
        <v>60</v>
      </c>
      <c r="BR889">
        <v>0</v>
      </c>
      <c r="BS889">
        <v>3</v>
      </c>
      <c r="BT889" t="s">
        <v>248</v>
      </c>
      <c r="BU889" t="s">
        <v>270</v>
      </c>
      <c r="BV889" t="b">
        <v>0</v>
      </c>
      <c r="BW889" t="s">
        <v>271</v>
      </c>
    </row>
    <row r="890" spans="1:75">
      <c r="A890" t="s">
        <v>248</v>
      </c>
      <c r="B890" t="s">
        <v>252</v>
      </c>
      <c r="C890">
        <v>772</v>
      </c>
      <c r="D890" t="s">
        <v>253</v>
      </c>
      <c r="E890" t="s">
        <v>254</v>
      </c>
      <c r="F890">
        <v>5</v>
      </c>
      <c r="G890" s="13">
        <v>46269.256712962961</v>
      </c>
      <c r="H890" s="13">
        <v>46269.256874999999</v>
      </c>
      <c r="I890">
        <v>14</v>
      </c>
      <c r="J890" t="s">
        <v>264</v>
      </c>
      <c r="K890">
        <v>1</v>
      </c>
      <c r="L890">
        <v>0.04</v>
      </c>
      <c r="M890">
        <v>0.04</v>
      </c>
      <c r="N890">
        <v>1</v>
      </c>
      <c r="O890">
        <v>0.04</v>
      </c>
      <c r="P890">
        <v>1.08</v>
      </c>
      <c r="Q890">
        <v>3.16</v>
      </c>
      <c r="R890">
        <v>1.92</v>
      </c>
      <c r="S890" t="s">
        <v>256</v>
      </c>
      <c r="T890" t="s">
        <v>257</v>
      </c>
      <c r="U890">
        <v>10</v>
      </c>
      <c r="V890">
        <v>3403.07</v>
      </c>
      <c r="W890">
        <v>4999.32</v>
      </c>
      <c r="X890">
        <v>4998.92</v>
      </c>
      <c r="Y890">
        <v>0</v>
      </c>
      <c r="Z890">
        <v>0</v>
      </c>
      <c r="AA890">
        <v>35</v>
      </c>
      <c r="AB890">
        <v>50</v>
      </c>
      <c r="AC890">
        <v>5000</v>
      </c>
      <c r="AD890">
        <v>0</v>
      </c>
      <c r="AE890">
        <v>0</v>
      </c>
      <c r="AF890">
        <v>3405.51</v>
      </c>
      <c r="AG890">
        <v>3405.51</v>
      </c>
      <c r="AH890" s="14">
        <v>46269</v>
      </c>
      <c r="AI890" t="s">
        <v>269</v>
      </c>
      <c r="AJ890" s="13">
        <v>46265.054768518516</v>
      </c>
      <c r="AK890">
        <v>7052.98</v>
      </c>
      <c r="AL890" t="s">
        <v>259</v>
      </c>
      <c r="AM890" t="s">
        <v>260</v>
      </c>
      <c r="AN890">
        <v>1400</v>
      </c>
      <c r="AO890">
        <v>0</v>
      </c>
      <c r="AP890">
        <v>35</v>
      </c>
      <c r="AQ890">
        <v>85</v>
      </c>
      <c r="AR890">
        <v>35</v>
      </c>
      <c r="AS890">
        <v>2</v>
      </c>
      <c r="AT890">
        <v>23</v>
      </c>
      <c r="AU890">
        <v>1</v>
      </c>
      <c r="AV890">
        <v>0</v>
      </c>
      <c r="AW890">
        <v>10</v>
      </c>
      <c r="AX890">
        <v>1</v>
      </c>
      <c r="AY890">
        <v>7</v>
      </c>
      <c r="AZ890">
        <v>3</v>
      </c>
      <c r="BA890">
        <v>1</v>
      </c>
      <c r="BB890">
        <v>1440</v>
      </c>
      <c r="BC890">
        <v>0</v>
      </c>
      <c r="BD890">
        <v>0</v>
      </c>
      <c r="BE890">
        <v>14</v>
      </c>
      <c r="BF890">
        <v>25</v>
      </c>
      <c r="BG890">
        <v>3</v>
      </c>
      <c r="BH890">
        <v>8</v>
      </c>
      <c r="BI890">
        <v>3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0</v>
      </c>
      <c r="BQ890">
        <v>60</v>
      </c>
      <c r="BR890">
        <v>0</v>
      </c>
      <c r="BS890">
        <v>3</v>
      </c>
      <c r="BT890" t="s">
        <v>248</v>
      </c>
      <c r="BU890" t="s">
        <v>270</v>
      </c>
      <c r="BV890" t="b">
        <v>0</v>
      </c>
      <c r="BW890" t="s">
        <v>271</v>
      </c>
    </row>
    <row r="891" spans="1:75">
      <c r="A891" t="s">
        <v>248</v>
      </c>
      <c r="B891" t="s">
        <v>252</v>
      </c>
      <c r="C891">
        <v>773</v>
      </c>
      <c r="D891" t="s">
        <v>253</v>
      </c>
      <c r="E891" t="s">
        <v>254</v>
      </c>
      <c r="F891">
        <v>5</v>
      </c>
      <c r="G891" s="13">
        <v>46269.281030092592</v>
      </c>
      <c r="H891" s="13">
        <v>46269.285902777781</v>
      </c>
      <c r="I891">
        <v>421</v>
      </c>
      <c r="J891" t="s">
        <v>264</v>
      </c>
      <c r="K891">
        <v>1</v>
      </c>
      <c r="L891">
        <v>0.04</v>
      </c>
      <c r="M891">
        <v>0.04</v>
      </c>
      <c r="N891">
        <v>1</v>
      </c>
      <c r="O891">
        <v>0.04</v>
      </c>
      <c r="P891">
        <v>2.16</v>
      </c>
      <c r="Q891">
        <v>7.84</v>
      </c>
      <c r="R891">
        <v>6.36</v>
      </c>
      <c r="S891" t="s">
        <v>256</v>
      </c>
      <c r="T891" t="s">
        <v>257</v>
      </c>
      <c r="U891">
        <v>11</v>
      </c>
      <c r="V891">
        <v>3404.83</v>
      </c>
      <c r="W891">
        <v>4999.32</v>
      </c>
      <c r="X891">
        <v>4997.84</v>
      </c>
      <c r="Y891">
        <v>0</v>
      </c>
      <c r="Z891">
        <v>0</v>
      </c>
      <c r="AA891">
        <v>35</v>
      </c>
      <c r="AB891">
        <v>50</v>
      </c>
      <c r="AC891">
        <v>5000</v>
      </c>
      <c r="AD891">
        <v>0</v>
      </c>
      <c r="AE891">
        <v>0</v>
      </c>
      <c r="AF891">
        <v>3411.91</v>
      </c>
      <c r="AG891">
        <v>3411.91</v>
      </c>
      <c r="AH891" s="14">
        <v>46269</v>
      </c>
      <c r="AI891" t="s">
        <v>269</v>
      </c>
      <c r="AJ891" s="13">
        <v>46265.054768518516</v>
      </c>
      <c r="AK891">
        <v>7052.98</v>
      </c>
      <c r="AL891" t="s">
        <v>259</v>
      </c>
      <c r="AM891" t="s">
        <v>260</v>
      </c>
      <c r="AN891">
        <v>1400</v>
      </c>
      <c r="AO891">
        <v>0</v>
      </c>
      <c r="AP891">
        <v>35</v>
      </c>
      <c r="AQ891">
        <v>85</v>
      </c>
      <c r="AR891">
        <v>35</v>
      </c>
      <c r="AS891">
        <v>2</v>
      </c>
      <c r="AT891">
        <v>23</v>
      </c>
      <c r="AU891">
        <v>1</v>
      </c>
      <c r="AV891">
        <v>0</v>
      </c>
      <c r="AW891">
        <v>10</v>
      </c>
      <c r="AX891">
        <v>1</v>
      </c>
      <c r="AY891">
        <v>7</v>
      </c>
      <c r="AZ891">
        <v>3</v>
      </c>
      <c r="BA891">
        <v>1</v>
      </c>
      <c r="BB891">
        <v>1440</v>
      </c>
      <c r="BC891">
        <v>0</v>
      </c>
      <c r="BD891">
        <v>0</v>
      </c>
      <c r="BE891">
        <v>14</v>
      </c>
      <c r="BF891">
        <v>25</v>
      </c>
      <c r="BG891">
        <v>3</v>
      </c>
      <c r="BH891">
        <v>8</v>
      </c>
      <c r="BI891">
        <v>3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0</v>
      </c>
      <c r="BQ891">
        <v>60</v>
      </c>
      <c r="BR891">
        <v>0</v>
      </c>
      <c r="BS891">
        <v>3</v>
      </c>
      <c r="BT891" t="s">
        <v>248</v>
      </c>
      <c r="BU891" t="s">
        <v>270</v>
      </c>
      <c r="BV891" t="b">
        <v>0</v>
      </c>
      <c r="BW891" t="s">
        <v>271</v>
      </c>
    </row>
    <row r="892" spans="1:75">
      <c r="A892" t="s">
        <v>248</v>
      </c>
      <c r="B892" t="s">
        <v>252</v>
      </c>
      <c r="C892">
        <v>774</v>
      </c>
      <c r="D892" t="s">
        <v>253</v>
      </c>
      <c r="E892" t="s">
        <v>254</v>
      </c>
      <c r="F892">
        <v>5</v>
      </c>
      <c r="G892" s="13">
        <v>46269.293333333335</v>
      </c>
      <c r="H892" s="13">
        <v>46269.301458333335</v>
      </c>
      <c r="I892">
        <v>702</v>
      </c>
      <c r="J892" t="s">
        <v>255</v>
      </c>
      <c r="K892">
        <v>1</v>
      </c>
      <c r="L892">
        <v>0.04</v>
      </c>
      <c r="M892">
        <v>0.04</v>
      </c>
      <c r="N892">
        <v>1</v>
      </c>
      <c r="O892">
        <v>0.04</v>
      </c>
      <c r="P892">
        <v>11.28</v>
      </c>
      <c r="Q892">
        <v>4.04</v>
      </c>
      <c r="R892">
        <v>3.52</v>
      </c>
      <c r="S892" t="s">
        <v>256</v>
      </c>
      <c r="T892" t="s">
        <v>257</v>
      </c>
      <c r="U892">
        <v>11</v>
      </c>
      <c r="V892">
        <v>3411.27</v>
      </c>
      <c r="W892">
        <v>4999.3599999999997</v>
      </c>
      <c r="X892">
        <v>4988.72</v>
      </c>
      <c r="Y892">
        <v>0</v>
      </c>
      <c r="Z892">
        <v>0</v>
      </c>
      <c r="AA892">
        <v>35</v>
      </c>
      <c r="AB892">
        <v>50</v>
      </c>
      <c r="AC892">
        <v>5000</v>
      </c>
      <c r="AD892">
        <v>0</v>
      </c>
      <c r="AE892">
        <v>0</v>
      </c>
      <c r="AF892">
        <v>3414.51</v>
      </c>
      <c r="AG892">
        <v>3414.51</v>
      </c>
      <c r="AH892" s="14">
        <v>46269</v>
      </c>
      <c r="AI892" t="s">
        <v>269</v>
      </c>
      <c r="AJ892" s="13">
        <v>46265.054768518516</v>
      </c>
      <c r="AK892">
        <v>7052.98</v>
      </c>
      <c r="AL892" t="s">
        <v>259</v>
      </c>
      <c r="AM892" t="s">
        <v>260</v>
      </c>
      <c r="AN892">
        <v>1400</v>
      </c>
      <c r="AO892">
        <v>0</v>
      </c>
      <c r="AP892">
        <v>35</v>
      </c>
      <c r="AQ892">
        <v>85</v>
      </c>
      <c r="AR892">
        <v>35</v>
      </c>
      <c r="AS892">
        <v>2</v>
      </c>
      <c r="AT892">
        <v>23</v>
      </c>
      <c r="AU892">
        <v>1</v>
      </c>
      <c r="AV892">
        <v>0</v>
      </c>
      <c r="AW892">
        <v>10</v>
      </c>
      <c r="AX892">
        <v>1</v>
      </c>
      <c r="AY892">
        <v>7</v>
      </c>
      <c r="AZ892">
        <v>3</v>
      </c>
      <c r="BA892">
        <v>1</v>
      </c>
      <c r="BB892">
        <v>1440</v>
      </c>
      <c r="BC892">
        <v>0</v>
      </c>
      <c r="BD892">
        <v>0</v>
      </c>
      <c r="BE892">
        <v>14</v>
      </c>
      <c r="BF892">
        <v>25</v>
      </c>
      <c r="BG892">
        <v>3</v>
      </c>
      <c r="BH892">
        <v>8</v>
      </c>
      <c r="BI892">
        <v>3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0</v>
      </c>
      <c r="BQ892">
        <v>60</v>
      </c>
      <c r="BR892">
        <v>0</v>
      </c>
      <c r="BS892">
        <v>3</v>
      </c>
      <c r="BT892" t="s">
        <v>248</v>
      </c>
      <c r="BU892" t="s">
        <v>270</v>
      </c>
      <c r="BV892" t="b">
        <v>0</v>
      </c>
      <c r="BW892" t="s">
        <v>271</v>
      </c>
    </row>
    <row r="893" spans="1:75">
      <c r="A893" t="s">
        <v>248</v>
      </c>
      <c r="B893" t="s">
        <v>252</v>
      </c>
      <c r="C893">
        <v>775</v>
      </c>
      <c r="D893" t="s">
        <v>253</v>
      </c>
      <c r="E893" t="s">
        <v>254</v>
      </c>
      <c r="F893">
        <v>5</v>
      </c>
      <c r="G893" s="13">
        <v>46269.336770833332</v>
      </c>
      <c r="H893" s="13">
        <v>46269.337256944447</v>
      </c>
      <c r="I893">
        <v>42</v>
      </c>
      <c r="J893" t="s">
        <v>264</v>
      </c>
      <c r="K893">
        <v>1</v>
      </c>
      <c r="L893">
        <v>0.04</v>
      </c>
      <c r="M893">
        <v>0.04</v>
      </c>
      <c r="N893">
        <v>1</v>
      </c>
      <c r="O893">
        <v>0.04</v>
      </c>
      <c r="P893">
        <v>0.68</v>
      </c>
      <c r="Q893">
        <v>5.24</v>
      </c>
      <c r="R893">
        <v>4.4800000000000004</v>
      </c>
      <c r="S893" t="s">
        <v>256</v>
      </c>
      <c r="T893" t="s">
        <v>257</v>
      </c>
      <c r="U893">
        <v>11</v>
      </c>
      <c r="V893">
        <v>3413.83</v>
      </c>
      <c r="W893">
        <v>4999.32</v>
      </c>
      <c r="X893">
        <v>4999.32</v>
      </c>
      <c r="Y893">
        <v>0</v>
      </c>
      <c r="Z893">
        <v>0</v>
      </c>
      <c r="AA893">
        <v>35</v>
      </c>
      <c r="AB893">
        <v>50</v>
      </c>
      <c r="AC893">
        <v>5000</v>
      </c>
      <c r="AD893">
        <v>0</v>
      </c>
      <c r="AE893">
        <v>0</v>
      </c>
      <c r="AF893">
        <v>3418.35</v>
      </c>
      <c r="AG893">
        <v>3418.35</v>
      </c>
      <c r="AH893" s="14">
        <v>46269</v>
      </c>
      <c r="AI893" t="s">
        <v>269</v>
      </c>
      <c r="AJ893" s="13">
        <v>46265.054768518516</v>
      </c>
      <c r="AK893">
        <v>7052.98</v>
      </c>
      <c r="AL893" t="s">
        <v>259</v>
      </c>
      <c r="AM893" t="s">
        <v>260</v>
      </c>
      <c r="AN893">
        <v>1400</v>
      </c>
      <c r="AO893">
        <v>0</v>
      </c>
      <c r="AP893">
        <v>35</v>
      </c>
      <c r="AQ893">
        <v>85</v>
      </c>
      <c r="AR893">
        <v>35</v>
      </c>
      <c r="AS893">
        <v>2</v>
      </c>
      <c r="AT893">
        <v>23</v>
      </c>
      <c r="AU893">
        <v>1</v>
      </c>
      <c r="AV893">
        <v>0</v>
      </c>
      <c r="AW893">
        <v>10</v>
      </c>
      <c r="AX893">
        <v>1</v>
      </c>
      <c r="AY893">
        <v>7</v>
      </c>
      <c r="AZ893">
        <v>3</v>
      </c>
      <c r="BA893">
        <v>1</v>
      </c>
      <c r="BB893">
        <v>1440</v>
      </c>
      <c r="BC893">
        <v>0</v>
      </c>
      <c r="BD893">
        <v>0</v>
      </c>
      <c r="BE893">
        <v>14</v>
      </c>
      <c r="BF893">
        <v>25</v>
      </c>
      <c r="BG893">
        <v>3</v>
      </c>
      <c r="BH893">
        <v>8</v>
      </c>
      <c r="BI893">
        <v>3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0</v>
      </c>
      <c r="BQ893">
        <v>60</v>
      </c>
      <c r="BR893">
        <v>0</v>
      </c>
      <c r="BS893">
        <v>3</v>
      </c>
      <c r="BT893" t="s">
        <v>248</v>
      </c>
      <c r="BU893" t="s">
        <v>270</v>
      </c>
      <c r="BV893" t="b">
        <v>0</v>
      </c>
      <c r="BW893" t="s">
        <v>271</v>
      </c>
    </row>
    <row r="894" spans="1:75">
      <c r="A894" t="s">
        <v>248</v>
      </c>
      <c r="B894" t="s">
        <v>252</v>
      </c>
      <c r="C894">
        <v>776</v>
      </c>
      <c r="D894" t="s">
        <v>253</v>
      </c>
      <c r="E894" t="s">
        <v>254</v>
      </c>
      <c r="F894">
        <v>5</v>
      </c>
      <c r="G894" s="13">
        <v>46269.339375000003</v>
      </c>
      <c r="H894" s="13">
        <v>46269.346631944441</v>
      </c>
      <c r="I894">
        <v>627</v>
      </c>
      <c r="J894" t="s">
        <v>255</v>
      </c>
      <c r="K894">
        <v>2</v>
      </c>
      <c r="L894">
        <v>0.08</v>
      </c>
      <c r="M894">
        <v>0.04</v>
      </c>
      <c r="N894">
        <v>2</v>
      </c>
      <c r="O894">
        <v>0.08</v>
      </c>
      <c r="P894">
        <v>17.68</v>
      </c>
      <c r="Q894">
        <v>22.92</v>
      </c>
      <c r="R894">
        <v>19.8</v>
      </c>
      <c r="S894" t="s">
        <v>263</v>
      </c>
      <c r="T894" t="s">
        <v>257</v>
      </c>
      <c r="U894">
        <v>11</v>
      </c>
      <c r="V894">
        <v>3417.67</v>
      </c>
      <c r="W894">
        <v>4999.32</v>
      </c>
      <c r="X894">
        <v>4982.32</v>
      </c>
      <c r="Y894">
        <v>0</v>
      </c>
      <c r="Z894">
        <v>0</v>
      </c>
      <c r="AA894">
        <v>35</v>
      </c>
      <c r="AB894">
        <v>50</v>
      </c>
      <c r="AC894">
        <v>5000</v>
      </c>
      <c r="AD894">
        <v>0</v>
      </c>
      <c r="AE894">
        <v>0</v>
      </c>
      <c r="AF894">
        <v>3438.15</v>
      </c>
      <c r="AG894">
        <v>3438.15</v>
      </c>
      <c r="AH894" s="14">
        <v>46269</v>
      </c>
      <c r="AI894" t="s">
        <v>269</v>
      </c>
      <c r="AJ894" s="13">
        <v>46265.054768518516</v>
      </c>
      <c r="AK894">
        <v>7052.98</v>
      </c>
      <c r="AL894" t="s">
        <v>259</v>
      </c>
      <c r="AM894" t="s">
        <v>260</v>
      </c>
      <c r="AN894">
        <v>1400</v>
      </c>
      <c r="AO894">
        <v>0</v>
      </c>
      <c r="AP894">
        <v>35</v>
      </c>
      <c r="AQ894">
        <v>85</v>
      </c>
      <c r="AR894">
        <v>35</v>
      </c>
      <c r="AS894">
        <v>2</v>
      </c>
      <c r="AT894">
        <v>23</v>
      </c>
      <c r="AU894">
        <v>1</v>
      </c>
      <c r="AV894">
        <v>0</v>
      </c>
      <c r="AW894">
        <v>10</v>
      </c>
      <c r="AX894">
        <v>1</v>
      </c>
      <c r="AY894">
        <v>7</v>
      </c>
      <c r="AZ894">
        <v>3</v>
      </c>
      <c r="BA894">
        <v>1</v>
      </c>
      <c r="BB894">
        <v>1440</v>
      </c>
      <c r="BC894">
        <v>0</v>
      </c>
      <c r="BD894">
        <v>0</v>
      </c>
      <c r="BE894">
        <v>14</v>
      </c>
      <c r="BF894">
        <v>25</v>
      </c>
      <c r="BG894">
        <v>3</v>
      </c>
      <c r="BH894">
        <v>8</v>
      </c>
      <c r="BI894">
        <v>3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0</v>
      </c>
      <c r="BQ894">
        <v>60</v>
      </c>
      <c r="BR894">
        <v>0</v>
      </c>
      <c r="BS894">
        <v>3</v>
      </c>
      <c r="BT894" t="s">
        <v>248</v>
      </c>
      <c r="BU894" t="s">
        <v>270</v>
      </c>
      <c r="BV894" t="b">
        <v>0</v>
      </c>
      <c r="BW894" t="s">
        <v>271</v>
      </c>
    </row>
    <row r="895" spans="1:75">
      <c r="A895" t="s">
        <v>248</v>
      </c>
      <c r="B895" t="s">
        <v>252</v>
      </c>
      <c r="C895">
        <v>777</v>
      </c>
      <c r="D895" t="s">
        <v>253</v>
      </c>
      <c r="E895" t="s">
        <v>254</v>
      </c>
      <c r="F895">
        <v>5</v>
      </c>
      <c r="G895" s="13">
        <v>46269.348564814813</v>
      </c>
      <c r="H895" s="13">
        <v>46269.352939814817</v>
      </c>
      <c r="I895">
        <v>378</v>
      </c>
      <c r="J895" t="s">
        <v>264</v>
      </c>
      <c r="K895">
        <v>1</v>
      </c>
      <c r="L895">
        <v>0.04</v>
      </c>
      <c r="M895">
        <v>0.04</v>
      </c>
      <c r="N895">
        <v>1</v>
      </c>
      <c r="O895">
        <v>0.04</v>
      </c>
      <c r="P895">
        <v>2.92</v>
      </c>
      <c r="Q895">
        <v>5.64</v>
      </c>
      <c r="R895">
        <v>5.64</v>
      </c>
      <c r="S895" t="s">
        <v>256</v>
      </c>
      <c r="T895" t="s">
        <v>257</v>
      </c>
      <c r="U895">
        <v>11</v>
      </c>
      <c r="V895">
        <v>3437.51</v>
      </c>
      <c r="W895">
        <v>4999.3599999999997</v>
      </c>
      <c r="X895">
        <v>4997.08</v>
      </c>
      <c r="Y895">
        <v>0</v>
      </c>
      <c r="Z895">
        <v>0</v>
      </c>
      <c r="AA895">
        <v>35</v>
      </c>
      <c r="AB895">
        <v>50</v>
      </c>
      <c r="AC895">
        <v>5000</v>
      </c>
      <c r="AD895">
        <v>0</v>
      </c>
      <c r="AE895">
        <v>0</v>
      </c>
      <c r="AF895">
        <v>3442.19</v>
      </c>
      <c r="AG895">
        <v>3442.19</v>
      </c>
      <c r="AH895" s="14">
        <v>46269</v>
      </c>
      <c r="AI895" t="s">
        <v>269</v>
      </c>
      <c r="AJ895" s="13">
        <v>46265.054768518516</v>
      </c>
      <c r="AK895">
        <v>7052.98</v>
      </c>
      <c r="AL895" t="s">
        <v>259</v>
      </c>
      <c r="AM895" t="s">
        <v>260</v>
      </c>
      <c r="AN895">
        <v>1400</v>
      </c>
      <c r="AO895">
        <v>0</v>
      </c>
      <c r="AP895">
        <v>35</v>
      </c>
      <c r="AQ895">
        <v>85</v>
      </c>
      <c r="AR895">
        <v>35</v>
      </c>
      <c r="AS895">
        <v>2</v>
      </c>
      <c r="AT895">
        <v>23</v>
      </c>
      <c r="AU895">
        <v>1</v>
      </c>
      <c r="AV895">
        <v>0</v>
      </c>
      <c r="AW895">
        <v>10</v>
      </c>
      <c r="AX895">
        <v>1</v>
      </c>
      <c r="AY895">
        <v>7</v>
      </c>
      <c r="AZ895">
        <v>3</v>
      </c>
      <c r="BA895">
        <v>1</v>
      </c>
      <c r="BB895">
        <v>1440</v>
      </c>
      <c r="BC895">
        <v>0</v>
      </c>
      <c r="BD895">
        <v>0</v>
      </c>
      <c r="BE895">
        <v>14</v>
      </c>
      <c r="BF895">
        <v>25</v>
      </c>
      <c r="BG895">
        <v>3</v>
      </c>
      <c r="BH895">
        <v>8</v>
      </c>
      <c r="BI895">
        <v>3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0</v>
      </c>
      <c r="BQ895">
        <v>60</v>
      </c>
      <c r="BR895">
        <v>0</v>
      </c>
      <c r="BS895">
        <v>3</v>
      </c>
      <c r="BT895" t="s">
        <v>248</v>
      </c>
      <c r="BU895" t="s">
        <v>270</v>
      </c>
      <c r="BV895" t="b">
        <v>0</v>
      </c>
      <c r="BW895" t="s">
        <v>271</v>
      </c>
    </row>
    <row r="896" spans="1:75">
      <c r="A896" t="s">
        <v>248</v>
      </c>
      <c r="B896" t="s">
        <v>252</v>
      </c>
      <c r="C896">
        <v>778</v>
      </c>
      <c r="D896" t="s">
        <v>253</v>
      </c>
      <c r="E896" t="s">
        <v>254</v>
      </c>
      <c r="F896">
        <v>5</v>
      </c>
      <c r="G896" s="13">
        <v>46269.354548611111</v>
      </c>
      <c r="H896" s="13">
        <v>46269.355092592596</v>
      </c>
      <c r="I896">
        <v>47</v>
      </c>
      <c r="J896" t="s">
        <v>255</v>
      </c>
      <c r="K896">
        <v>1</v>
      </c>
      <c r="L896">
        <v>0.04</v>
      </c>
      <c r="M896">
        <v>0.04</v>
      </c>
      <c r="N896">
        <v>1</v>
      </c>
      <c r="O896">
        <v>0.04</v>
      </c>
      <c r="P896">
        <v>1.76</v>
      </c>
      <c r="Q896">
        <v>3.56</v>
      </c>
      <c r="R896">
        <v>3.28</v>
      </c>
      <c r="S896" t="s">
        <v>256</v>
      </c>
      <c r="T896" t="s">
        <v>257</v>
      </c>
      <c r="U896">
        <v>11</v>
      </c>
      <c r="V896">
        <v>3441.51</v>
      </c>
      <c r="W896">
        <v>4999.32</v>
      </c>
      <c r="X896">
        <v>4998.24</v>
      </c>
      <c r="Y896">
        <v>0</v>
      </c>
      <c r="Z896">
        <v>0</v>
      </c>
      <c r="AA896">
        <v>35</v>
      </c>
      <c r="AB896">
        <v>50</v>
      </c>
      <c r="AC896">
        <v>5000</v>
      </c>
      <c r="AD896">
        <v>0</v>
      </c>
      <c r="AE896">
        <v>0</v>
      </c>
      <c r="AF896">
        <v>3444.35</v>
      </c>
      <c r="AG896">
        <v>3444.35</v>
      </c>
      <c r="AH896" s="14">
        <v>46269</v>
      </c>
      <c r="AI896" t="s">
        <v>269</v>
      </c>
      <c r="AJ896" s="13">
        <v>46265.054768518516</v>
      </c>
      <c r="AK896">
        <v>7052.98</v>
      </c>
      <c r="AL896" t="s">
        <v>259</v>
      </c>
      <c r="AM896" t="s">
        <v>260</v>
      </c>
      <c r="AN896">
        <v>1400</v>
      </c>
      <c r="AO896">
        <v>0</v>
      </c>
      <c r="AP896">
        <v>35</v>
      </c>
      <c r="AQ896">
        <v>85</v>
      </c>
      <c r="AR896">
        <v>35</v>
      </c>
      <c r="AS896">
        <v>2</v>
      </c>
      <c r="AT896">
        <v>23</v>
      </c>
      <c r="AU896">
        <v>1</v>
      </c>
      <c r="AV896">
        <v>0</v>
      </c>
      <c r="AW896">
        <v>10</v>
      </c>
      <c r="AX896">
        <v>1</v>
      </c>
      <c r="AY896">
        <v>7</v>
      </c>
      <c r="AZ896">
        <v>3</v>
      </c>
      <c r="BA896">
        <v>1</v>
      </c>
      <c r="BB896">
        <v>1440</v>
      </c>
      <c r="BC896">
        <v>0</v>
      </c>
      <c r="BD896">
        <v>0</v>
      </c>
      <c r="BE896">
        <v>14</v>
      </c>
      <c r="BF896">
        <v>25</v>
      </c>
      <c r="BG896">
        <v>3</v>
      </c>
      <c r="BH896">
        <v>8</v>
      </c>
      <c r="BI896">
        <v>3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0</v>
      </c>
      <c r="BQ896">
        <v>60</v>
      </c>
      <c r="BR896">
        <v>0</v>
      </c>
      <c r="BS896">
        <v>3</v>
      </c>
      <c r="BT896" t="s">
        <v>248</v>
      </c>
      <c r="BU896" t="s">
        <v>270</v>
      </c>
      <c r="BV896" t="b">
        <v>0</v>
      </c>
      <c r="BW896" t="s">
        <v>271</v>
      </c>
    </row>
    <row r="897" spans="1:75">
      <c r="A897" t="s">
        <v>248</v>
      </c>
      <c r="B897" t="s">
        <v>252</v>
      </c>
      <c r="C897">
        <v>779</v>
      </c>
      <c r="D897" t="s">
        <v>253</v>
      </c>
      <c r="E897" t="s">
        <v>254</v>
      </c>
      <c r="F897">
        <v>5</v>
      </c>
      <c r="G897" s="13">
        <v>46269.358298611114</v>
      </c>
      <c r="H897" s="13">
        <v>46269.36446759259</v>
      </c>
      <c r="I897">
        <v>533</v>
      </c>
      <c r="J897" t="s">
        <v>264</v>
      </c>
      <c r="K897">
        <v>2</v>
      </c>
      <c r="L897">
        <v>0.08</v>
      </c>
      <c r="M897">
        <v>0.04</v>
      </c>
      <c r="N897">
        <v>2</v>
      </c>
      <c r="O897">
        <v>0.08</v>
      </c>
      <c r="P897">
        <v>32.08</v>
      </c>
      <c r="Q897">
        <v>7.12</v>
      </c>
      <c r="R897">
        <v>3.84</v>
      </c>
      <c r="S897" t="s">
        <v>263</v>
      </c>
      <c r="T897" t="s">
        <v>257</v>
      </c>
      <c r="U897">
        <v>10</v>
      </c>
      <c r="V897">
        <v>3443.67</v>
      </c>
      <c r="W897">
        <v>4999.32</v>
      </c>
      <c r="X897">
        <v>4967.92</v>
      </c>
      <c r="Y897">
        <v>0</v>
      </c>
      <c r="Z897">
        <v>0</v>
      </c>
      <c r="AA897">
        <v>35</v>
      </c>
      <c r="AB897">
        <v>50</v>
      </c>
      <c r="AC897">
        <v>5000</v>
      </c>
      <c r="AD897">
        <v>0</v>
      </c>
      <c r="AE897">
        <v>0</v>
      </c>
      <c r="AF897">
        <v>3448.27</v>
      </c>
      <c r="AG897">
        <v>3448.27</v>
      </c>
      <c r="AH897" s="14">
        <v>46269</v>
      </c>
      <c r="AI897" t="s">
        <v>269</v>
      </c>
      <c r="AJ897" s="13">
        <v>46265.054768518516</v>
      </c>
      <c r="AK897">
        <v>7052.98</v>
      </c>
      <c r="AL897" t="s">
        <v>259</v>
      </c>
      <c r="AM897" t="s">
        <v>260</v>
      </c>
      <c r="AN897">
        <v>1400</v>
      </c>
      <c r="AO897">
        <v>0</v>
      </c>
      <c r="AP897">
        <v>35</v>
      </c>
      <c r="AQ897">
        <v>85</v>
      </c>
      <c r="AR897">
        <v>35</v>
      </c>
      <c r="AS897">
        <v>2</v>
      </c>
      <c r="AT897">
        <v>23</v>
      </c>
      <c r="AU897">
        <v>1</v>
      </c>
      <c r="AV897">
        <v>0</v>
      </c>
      <c r="AW897">
        <v>10</v>
      </c>
      <c r="AX897">
        <v>1</v>
      </c>
      <c r="AY897">
        <v>7</v>
      </c>
      <c r="AZ897">
        <v>3</v>
      </c>
      <c r="BA897">
        <v>1</v>
      </c>
      <c r="BB897">
        <v>1440</v>
      </c>
      <c r="BC897">
        <v>0</v>
      </c>
      <c r="BD897">
        <v>0</v>
      </c>
      <c r="BE897">
        <v>14</v>
      </c>
      <c r="BF897">
        <v>25</v>
      </c>
      <c r="BG897">
        <v>3</v>
      </c>
      <c r="BH897">
        <v>8</v>
      </c>
      <c r="BI897">
        <v>3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0</v>
      </c>
      <c r="BQ897">
        <v>60</v>
      </c>
      <c r="BR897">
        <v>0</v>
      </c>
      <c r="BS897">
        <v>3</v>
      </c>
      <c r="BT897" t="s">
        <v>248</v>
      </c>
      <c r="BU897" t="s">
        <v>270</v>
      </c>
      <c r="BV897" t="b">
        <v>0</v>
      </c>
      <c r="BW897" t="s">
        <v>271</v>
      </c>
    </row>
    <row r="898" spans="1:75">
      <c r="A898" t="s">
        <v>248</v>
      </c>
      <c r="B898" t="s">
        <v>252</v>
      </c>
      <c r="C898">
        <v>780</v>
      </c>
      <c r="D898" t="s">
        <v>253</v>
      </c>
      <c r="E898" t="s">
        <v>254</v>
      </c>
      <c r="F898">
        <v>5</v>
      </c>
      <c r="G898" s="13">
        <v>46269.374050925922</v>
      </c>
      <c r="H898" s="13">
        <v>46269.374502314815</v>
      </c>
      <c r="I898">
        <v>39</v>
      </c>
      <c r="J898" t="s">
        <v>255</v>
      </c>
      <c r="K898">
        <v>1</v>
      </c>
      <c r="L898">
        <v>0.04</v>
      </c>
      <c r="M898">
        <v>0.04</v>
      </c>
      <c r="N898">
        <v>1</v>
      </c>
      <c r="O898">
        <v>0.04</v>
      </c>
      <c r="P898">
        <v>0.96</v>
      </c>
      <c r="Q898">
        <v>4.88</v>
      </c>
      <c r="R898">
        <v>3.64</v>
      </c>
      <c r="S898" t="s">
        <v>256</v>
      </c>
      <c r="T898" t="s">
        <v>257</v>
      </c>
      <c r="U898">
        <v>11</v>
      </c>
      <c r="V898">
        <v>3447.63</v>
      </c>
      <c r="W898">
        <v>4999.3599999999997</v>
      </c>
      <c r="X898">
        <v>4999.04</v>
      </c>
      <c r="Y898">
        <v>0</v>
      </c>
      <c r="Z898">
        <v>0</v>
      </c>
      <c r="AA898">
        <v>35</v>
      </c>
      <c r="AB898">
        <v>50</v>
      </c>
      <c r="AC898">
        <v>5000</v>
      </c>
      <c r="AD898">
        <v>0</v>
      </c>
      <c r="AE898">
        <v>0</v>
      </c>
      <c r="AF898">
        <v>3451.75</v>
      </c>
      <c r="AG898">
        <v>3451.75</v>
      </c>
      <c r="AH898" s="14">
        <v>46269</v>
      </c>
      <c r="AI898" t="s">
        <v>269</v>
      </c>
      <c r="AJ898" s="13">
        <v>46265.054768518516</v>
      </c>
      <c r="AK898">
        <v>7052.98</v>
      </c>
      <c r="AL898" t="s">
        <v>259</v>
      </c>
      <c r="AM898" t="s">
        <v>260</v>
      </c>
      <c r="AN898">
        <v>1400</v>
      </c>
      <c r="AO898">
        <v>0</v>
      </c>
      <c r="AP898">
        <v>35</v>
      </c>
      <c r="AQ898">
        <v>85</v>
      </c>
      <c r="AR898">
        <v>35</v>
      </c>
      <c r="AS898">
        <v>2</v>
      </c>
      <c r="AT898">
        <v>23</v>
      </c>
      <c r="AU898">
        <v>1</v>
      </c>
      <c r="AV898">
        <v>0</v>
      </c>
      <c r="AW898">
        <v>10</v>
      </c>
      <c r="AX898">
        <v>1</v>
      </c>
      <c r="AY898">
        <v>7</v>
      </c>
      <c r="AZ898">
        <v>3</v>
      </c>
      <c r="BA898">
        <v>1</v>
      </c>
      <c r="BB898">
        <v>1440</v>
      </c>
      <c r="BC898">
        <v>0</v>
      </c>
      <c r="BD898">
        <v>0</v>
      </c>
      <c r="BE898">
        <v>14</v>
      </c>
      <c r="BF898">
        <v>25</v>
      </c>
      <c r="BG898">
        <v>3</v>
      </c>
      <c r="BH898">
        <v>8</v>
      </c>
      <c r="BI898">
        <v>3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0</v>
      </c>
      <c r="BQ898">
        <v>60</v>
      </c>
      <c r="BR898">
        <v>0</v>
      </c>
      <c r="BS898">
        <v>3</v>
      </c>
      <c r="BT898" t="s">
        <v>248</v>
      </c>
      <c r="BU898" t="s">
        <v>270</v>
      </c>
      <c r="BV898" t="b">
        <v>0</v>
      </c>
      <c r="BW898" t="s">
        <v>271</v>
      </c>
    </row>
    <row r="899" spans="1:75">
      <c r="A899" t="s">
        <v>248</v>
      </c>
      <c r="B899" t="s">
        <v>252</v>
      </c>
      <c r="C899">
        <v>781</v>
      </c>
      <c r="D899" t="s">
        <v>253</v>
      </c>
      <c r="E899" t="s">
        <v>254</v>
      </c>
      <c r="F899">
        <v>5</v>
      </c>
      <c r="G899" s="13">
        <v>46269.377222222225</v>
      </c>
      <c r="H899" s="13">
        <v>46269.38077546296</v>
      </c>
      <c r="I899">
        <v>307</v>
      </c>
      <c r="J899" t="s">
        <v>264</v>
      </c>
      <c r="K899">
        <v>1</v>
      </c>
      <c r="L899">
        <v>0.04</v>
      </c>
      <c r="M899">
        <v>0.04</v>
      </c>
      <c r="N899">
        <v>1</v>
      </c>
      <c r="O899">
        <v>0.04</v>
      </c>
      <c r="P899">
        <v>8.0399999999999991</v>
      </c>
      <c r="Q899">
        <v>4.68</v>
      </c>
      <c r="R899">
        <v>4.68</v>
      </c>
      <c r="S899" t="s">
        <v>256</v>
      </c>
      <c r="T899" t="s">
        <v>257</v>
      </c>
      <c r="U899">
        <v>11</v>
      </c>
      <c r="V899">
        <v>3451.07</v>
      </c>
      <c r="W899">
        <v>4999.32</v>
      </c>
      <c r="X899">
        <v>4991.96</v>
      </c>
      <c r="Y899">
        <v>0</v>
      </c>
      <c r="Z899">
        <v>0</v>
      </c>
      <c r="AA899">
        <v>35</v>
      </c>
      <c r="AB899">
        <v>50</v>
      </c>
      <c r="AC899">
        <v>5000</v>
      </c>
      <c r="AD899">
        <v>0</v>
      </c>
      <c r="AE899">
        <v>0</v>
      </c>
      <c r="AF899">
        <v>3455.03</v>
      </c>
      <c r="AG899">
        <v>3455.03</v>
      </c>
      <c r="AH899" s="14">
        <v>46269</v>
      </c>
      <c r="AI899" t="s">
        <v>269</v>
      </c>
      <c r="AJ899" s="13">
        <v>46265.054768518516</v>
      </c>
      <c r="AK899">
        <v>7052.98</v>
      </c>
      <c r="AL899" t="s">
        <v>259</v>
      </c>
      <c r="AM899" t="s">
        <v>260</v>
      </c>
      <c r="AN899">
        <v>1400</v>
      </c>
      <c r="AO899">
        <v>0</v>
      </c>
      <c r="AP899">
        <v>35</v>
      </c>
      <c r="AQ899">
        <v>85</v>
      </c>
      <c r="AR899">
        <v>35</v>
      </c>
      <c r="AS899">
        <v>2</v>
      </c>
      <c r="AT899">
        <v>23</v>
      </c>
      <c r="AU899">
        <v>1</v>
      </c>
      <c r="AV899">
        <v>0</v>
      </c>
      <c r="AW899">
        <v>10</v>
      </c>
      <c r="AX899">
        <v>1</v>
      </c>
      <c r="AY899">
        <v>7</v>
      </c>
      <c r="AZ899">
        <v>3</v>
      </c>
      <c r="BA899">
        <v>1</v>
      </c>
      <c r="BB899">
        <v>1440</v>
      </c>
      <c r="BC899">
        <v>0</v>
      </c>
      <c r="BD899">
        <v>0</v>
      </c>
      <c r="BE899">
        <v>14</v>
      </c>
      <c r="BF899">
        <v>25</v>
      </c>
      <c r="BG899">
        <v>3</v>
      </c>
      <c r="BH899">
        <v>8</v>
      </c>
      <c r="BI899">
        <v>3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0</v>
      </c>
      <c r="BQ899">
        <v>60</v>
      </c>
      <c r="BR899">
        <v>0</v>
      </c>
      <c r="BS899">
        <v>3</v>
      </c>
      <c r="BT899" t="s">
        <v>248</v>
      </c>
      <c r="BU899" t="s">
        <v>270</v>
      </c>
      <c r="BV899" t="b">
        <v>0</v>
      </c>
      <c r="BW899" t="s">
        <v>271</v>
      </c>
    </row>
    <row r="900" spans="1:75">
      <c r="A900" t="s">
        <v>248</v>
      </c>
      <c r="B900" t="s">
        <v>252</v>
      </c>
      <c r="C900">
        <v>782</v>
      </c>
      <c r="D900" t="s">
        <v>253</v>
      </c>
      <c r="E900" t="s">
        <v>254</v>
      </c>
      <c r="F900">
        <v>5</v>
      </c>
      <c r="G900" s="13">
        <v>46269.381550925929</v>
      </c>
      <c r="H900" s="13">
        <v>46269.383576388886</v>
      </c>
      <c r="I900">
        <v>175</v>
      </c>
      <c r="J900" t="s">
        <v>264</v>
      </c>
      <c r="K900">
        <v>2</v>
      </c>
      <c r="L900">
        <v>0.08</v>
      </c>
      <c r="M900">
        <v>0.04</v>
      </c>
      <c r="N900">
        <v>2</v>
      </c>
      <c r="O900">
        <v>0.08</v>
      </c>
      <c r="P900">
        <v>13.8</v>
      </c>
      <c r="Q900">
        <v>7.44</v>
      </c>
      <c r="R900">
        <v>3.84</v>
      </c>
      <c r="S900" t="s">
        <v>263</v>
      </c>
      <c r="T900" t="s">
        <v>257</v>
      </c>
      <c r="U900">
        <v>10</v>
      </c>
      <c r="V900">
        <v>3454.35</v>
      </c>
      <c r="W900">
        <v>4999.32</v>
      </c>
      <c r="X900">
        <v>4986.2</v>
      </c>
      <c r="Y900">
        <v>0</v>
      </c>
      <c r="Z900">
        <v>0</v>
      </c>
      <c r="AA900">
        <v>35</v>
      </c>
      <c r="AB900">
        <v>50</v>
      </c>
      <c r="AC900">
        <v>5000</v>
      </c>
      <c r="AD900">
        <v>0</v>
      </c>
      <c r="AE900">
        <v>0</v>
      </c>
      <c r="AF900">
        <v>3458.87</v>
      </c>
      <c r="AG900">
        <v>3458.87</v>
      </c>
      <c r="AH900" s="14">
        <v>46269</v>
      </c>
      <c r="AI900" t="s">
        <v>269</v>
      </c>
      <c r="AJ900" s="13">
        <v>46265.054768518516</v>
      </c>
      <c r="AK900">
        <v>7052.98</v>
      </c>
      <c r="AL900" t="s">
        <v>259</v>
      </c>
      <c r="AM900" t="s">
        <v>260</v>
      </c>
      <c r="AN900">
        <v>1400</v>
      </c>
      <c r="AO900">
        <v>0</v>
      </c>
      <c r="AP900">
        <v>35</v>
      </c>
      <c r="AQ900">
        <v>85</v>
      </c>
      <c r="AR900">
        <v>35</v>
      </c>
      <c r="AS900">
        <v>2</v>
      </c>
      <c r="AT900">
        <v>23</v>
      </c>
      <c r="AU900">
        <v>1</v>
      </c>
      <c r="AV900">
        <v>0</v>
      </c>
      <c r="AW900">
        <v>10</v>
      </c>
      <c r="AX900">
        <v>1</v>
      </c>
      <c r="AY900">
        <v>7</v>
      </c>
      <c r="AZ900">
        <v>3</v>
      </c>
      <c r="BA900">
        <v>1</v>
      </c>
      <c r="BB900">
        <v>1440</v>
      </c>
      <c r="BC900">
        <v>0</v>
      </c>
      <c r="BD900">
        <v>0</v>
      </c>
      <c r="BE900">
        <v>14</v>
      </c>
      <c r="BF900">
        <v>25</v>
      </c>
      <c r="BG900">
        <v>3</v>
      </c>
      <c r="BH900">
        <v>8</v>
      </c>
      <c r="BI900">
        <v>3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0</v>
      </c>
      <c r="BQ900">
        <v>60</v>
      </c>
      <c r="BR900">
        <v>0</v>
      </c>
      <c r="BS900">
        <v>3</v>
      </c>
      <c r="BT900" t="s">
        <v>248</v>
      </c>
      <c r="BU900" t="s">
        <v>270</v>
      </c>
      <c r="BV900" t="b">
        <v>0</v>
      </c>
      <c r="BW900" t="s">
        <v>271</v>
      </c>
    </row>
    <row r="901" spans="1:75">
      <c r="A901" t="s">
        <v>248</v>
      </c>
      <c r="B901" t="s">
        <v>252</v>
      </c>
      <c r="C901">
        <v>783</v>
      </c>
      <c r="D901" t="s">
        <v>253</v>
      </c>
      <c r="E901" t="s">
        <v>254</v>
      </c>
      <c r="F901">
        <v>5</v>
      </c>
      <c r="G901" s="13">
        <v>46269.390914351854</v>
      </c>
      <c r="H901" s="13">
        <v>46269.39880787037</v>
      </c>
      <c r="I901">
        <v>682</v>
      </c>
      <c r="J901" t="s">
        <v>264</v>
      </c>
      <c r="K901">
        <v>1</v>
      </c>
      <c r="L901">
        <v>0.04</v>
      </c>
      <c r="M901">
        <v>0.04</v>
      </c>
      <c r="N901">
        <v>1</v>
      </c>
      <c r="O901">
        <v>0.04</v>
      </c>
      <c r="P901">
        <v>17.32</v>
      </c>
      <c r="Q901">
        <v>4.16</v>
      </c>
      <c r="R901">
        <v>3.64</v>
      </c>
      <c r="S901" t="s">
        <v>256</v>
      </c>
      <c r="T901" t="s">
        <v>257</v>
      </c>
      <c r="U901">
        <v>10</v>
      </c>
      <c r="V901">
        <v>3458.23</v>
      </c>
      <c r="W901">
        <v>4999.3599999999997</v>
      </c>
      <c r="X901">
        <v>4982.68</v>
      </c>
      <c r="Y901">
        <v>0</v>
      </c>
      <c r="Z901">
        <v>0</v>
      </c>
      <c r="AA901">
        <v>35</v>
      </c>
      <c r="AB901">
        <v>50</v>
      </c>
      <c r="AC901">
        <v>5000</v>
      </c>
      <c r="AD901">
        <v>0</v>
      </c>
      <c r="AE901">
        <v>0</v>
      </c>
      <c r="AF901">
        <v>3461.63</v>
      </c>
      <c r="AG901">
        <v>3461.63</v>
      </c>
      <c r="AH901" s="14">
        <v>46269</v>
      </c>
      <c r="AI901" t="s">
        <v>269</v>
      </c>
      <c r="AJ901" s="13">
        <v>46265.054768518516</v>
      </c>
      <c r="AK901">
        <v>7052.98</v>
      </c>
      <c r="AL901" t="s">
        <v>259</v>
      </c>
      <c r="AM901" t="s">
        <v>260</v>
      </c>
      <c r="AN901">
        <v>1400</v>
      </c>
      <c r="AO901">
        <v>0</v>
      </c>
      <c r="AP901">
        <v>35</v>
      </c>
      <c r="AQ901">
        <v>85</v>
      </c>
      <c r="AR901">
        <v>35</v>
      </c>
      <c r="AS901">
        <v>2</v>
      </c>
      <c r="AT901">
        <v>23</v>
      </c>
      <c r="AU901">
        <v>1</v>
      </c>
      <c r="AV901">
        <v>0</v>
      </c>
      <c r="AW901">
        <v>10</v>
      </c>
      <c r="AX901">
        <v>1</v>
      </c>
      <c r="AY901">
        <v>7</v>
      </c>
      <c r="AZ901">
        <v>3</v>
      </c>
      <c r="BA901">
        <v>1</v>
      </c>
      <c r="BB901">
        <v>1440</v>
      </c>
      <c r="BC901">
        <v>0</v>
      </c>
      <c r="BD901">
        <v>0</v>
      </c>
      <c r="BE901">
        <v>14</v>
      </c>
      <c r="BF901">
        <v>25</v>
      </c>
      <c r="BG901">
        <v>3</v>
      </c>
      <c r="BH901">
        <v>8</v>
      </c>
      <c r="BI901">
        <v>3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0</v>
      </c>
      <c r="BQ901">
        <v>60</v>
      </c>
      <c r="BR901">
        <v>0</v>
      </c>
      <c r="BS901">
        <v>3</v>
      </c>
      <c r="BT901" t="s">
        <v>248</v>
      </c>
      <c r="BU901" t="s">
        <v>270</v>
      </c>
      <c r="BV901" t="b">
        <v>0</v>
      </c>
      <c r="BW901" t="s">
        <v>271</v>
      </c>
    </row>
    <row r="902" spans="1:75">
      <c r="A902" t="s">
        <v>248</v>
      </c>
      <c r="B902" t="s">
        <v>252</v>
      </c>
      <c r="C902">
        <v>784</v>
      </c>
      <c r="D902" t="s">
        <v>253</v>
      </c>
      <c r="E902" t="s">
        <v>254</v>
      </c>
      <c r="F902">
        <v>5</v>
      </c>
      <c r="G902" s="13">
        <v>46269.398912037039</v>
      </c>
      <c r="H902" s="13">
        <v>46269.399513888886</v>
      </c>
      <c r="I902">
        <v>52</v>
      </c>
      <c r="J902" t="s">
        <v>264</v>
      </c>
      <c r="K902">
        <v>1</v>
      </c>
      <c r="L902">
        <v>0.04</v>
      </c>
      <c r="M902">
        <v>0.04</v>
      </c>
      <c r="N902">
        <v>1</v>
      </c>
      <c r="O902">
        <v>0.04</v>
      </c>
      <c r="P902">
        <v>1.84</v>
      </c>
      <c r="Q902">
        <v>6.56</v>
      </c>
      <c r="R902">
        <v>5.32</v>
      </c>
      <c r="S902" t="s">
        <v>256</v>
      </c>
      <c r="T902" t="s">
        <v>257</v>
      </c>
      <c r="U902">
        <v>11</v>
      </c>
      <c r="V902">
        <v>3460.99</v>
      </c>
      <c r="W902">
        <v>4999.3599999999997</v>
      </c>
      <c r="X902">
        <v>4998.16</v>
      </c>
      <c r="Y902">
        <v>0</v>
      </c>
      <c r="Z902">
        <v>0</v>
      </c>
      <c r="AA902">
        <v>35</v>
      </c>
      <c r="AB902">
        <v>50</v>
      </c>
      <c r="AC902">
        <v>5000</v>
      </c>
      <c r="AD902">
        <v>0</v>
      </c>
      <c r="AE902">
        <v>0</v>
      </c>
      <c r="AF902">
        <v>3466.75</v>
      </c>
      <c r="AG902">
        <v>3466.75</v>
      </c>
      <c r="AH902" s="14">
        <v>46269</v>
      </c>
      <c r="AI902" t="s">
        <v>269</v>
      </c>
      <c r="AJ902" s="13">
        <v>46265.054768518516</v>
      </c>
      <c r="AK902">
        <v>7052.98</v>
      </c>
      <c r="AL902" t="s">
        <v>259</v>
      </c>
      <c r="AM902" t="s">
        <v>260</v>
      </c>
      <c r="AN902">
        <v>1400</v>
      </c>
      <c r="AO902">
        <v>0</v>
      </c>
      <c r="AP902">
        <v>35</v>
      </c>
      <c r="AQ902">
        <v>85</v>
      </c>
      <c r="AR902">
        <v>35</v>
      </c>
      <c r="AS902">
        <v>2</v>
      </c>
      <c r="AT902">
        <v>23</v>
      </c>
      <c r="AU902">
        <v>1</v>
      </c>
      <c r="AV902">
        <v>0</v>
      </c>
      <c r="AW902">
        <v>10</v>
      </c>
      <c r="AX902">
        <v>1</v>
      </c>
      <c r="AY902">
        <v>7</v>
      </c>
      <c r="AZ902">
        <v>3</v>
      </c>
      <c r="BA902">
        <v>1</v>
      </c>
      <c r="BB902">
        <v>1440</v>
      </c>
      <c r="BC902">
        <v>0</v>
      </c>
      <c r="BD902">
        <v>0</v>
      </c>
      <c r="BE902">
        <v>14</v>
      </c>
      <c r="BF902">
        <v>25</v>
      </c>
      <c r="BG902">
        <v>3</v>
      </c>
      <c r="BH902">
        <v>8</v>
      </c>
      <c r="BI902">
        <v>3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0</v>
      </c>
      <c r="BQ902">
        <v>60</v>
      </c>
      <c r="BR902">
        <v>0</v>
      </c>
      <c r="BS902">
        <v>3</v>
      </c>
      <c r="BT902" t="s">
        <v>248</v>
      </c>
      <c r="BU902" t="s">
        <v>270</v>
      </c>
      <c r="BV902" t="b">
        <v>0</v>
      </c>
      <c r="BW902" t="s">
        <v>271</v>
      </c>
    </row>
    <row r="903" spans="1:75">
      <c r="A903" t="s">
        <v>248</v>
      </c>
      <c r="B903" t="s">
        <v>252</v>
      </c>
      <c r="C903">
        <v>785</v>
      </c>
      <c r="D903" t="s">
        <v>253</v>
      </c>
      <c r="E903" t="s">
        <v>254</v>
      </c>
      <c r="F903">
        <v>5</v>
      </c>
      <c r="G903" s="13">
        <v>46269.403912037036</v>
      </c>
      <c r="H903" s="13">
        <v>46269.422199074077</v>
      </c>
      <c r="I903">
        <v>1580</v>
      </c>
      <c r="J903" t="s">
        <v>255</v>
      </c>
      <c r="K903">
        <v>2</v>
      </c>
      <c r="L903">
        <v>0.08</v>
      </c>
      <c r="M903">
        <v>0.04</v>
      </c>
      <c r="N903">
        <v>2</v>
      </c>
      <c r="O903">
        <v>0.08</v>
      </c>
      <c r="P903">
        <v>32.32</v>
      </c>
      <c r="Q903">
        <v>12.08</v>
      </c>
      <c r="R903">
        <v>8.32</v>
      </c>
      <c r="S903" t="s">
        <v>263</v>
      </c>
      <c r="T903" t="s">
        <v>257</v>
      </c>
      <c r="U903">
        <v>11</v>
      </c>
      <c r="V903">
        <v>3466.11</v>
      </c>
      <c r="W903">
        <v>4999.3599999999997</v>
      </c>
      <c r="X903">
        <v>4967.68</v>
      </c>
      <c r="Y903">
        <v>0</v>
      </c>
      <c r="Z903">
        <v>0</v>
      </c>
      <c r="AA903">
        <v>35</v>
      </c>
      <c r="AB903">
        <v>50</v>
      </c>
      <c r="AC903">
        <v>5000</v>
      </c>
      <c r="AD903">
        <v>0</v>
      </c>
      <c r="AE903">
        <v>0</v>
      </c>
      <c r="AF903">
        <v>3475.11</v>
      </c>
      <c r="AG903">
        <v>3475.11</v>
      </c>
      <c r="AH903" s="14">
        <v>46269</v>
      </c>
      <c r="AI903" t="s">
        <v>269</v>
      </c>
      <c r="AJ903" s="13">
        <v>46265.054768518516</v>
      </c>
      <c r="AK903">
        <v>7052.98</v>
      </c>
      <c r="AL903" t="s">
        <v>259</v>
      </c>
      <c r="AM903" t="s">
        <v>260</v>
      </c>
      <c r="AN903">
        <v>1400</v>
      </c>
      <c r="AO903">
        <v>0</v>
      </c>
      <c r="AP903">
        <v>35</v>
      </c>
      <c r="AQ903">
        <v>85</v>
      </c>
      <c r="AR903">
        <v>35</v>
      </c>
      <c r="AS903">
        <v>2</v>
      </c>
      <c r="AT903">
        <v>23</v>
      </c>
      <c r="AU903">
        <v>1</v>
      </c>
      <c r="AV903">
        <v>0</v>
      </c>
      <c r="AW903">
        <v>10</v>
      </c>
      <c r="AX903">
        <v>1</v>
      </c>
      <c r="AY903">
        <v>7</v>
      </c>
      <c r="AZ903">
        <v>3</v>
      </c>
      <c r="BA903">
        <v>1</v>
      </c>
      <c r="BB903">
        <v>1440</v>
      </c>
      <c r="BC903">
        <v>0</v>
      </c>
      <c r="BD903">
        <v>0</v>
      </c>
      <c r="BE903">
        <v>14</v>
      </c>
      <c r="BF903">
        <v>25</v>
      </c>
      <c r="BG903">
        <v>3</v>
      </c>
      <c r="BH903">
        <v>8</v>
      </c>
      <c r="BI903">
        <v>3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0</v>
      </c>
      <c r="BQ903">
        <v>60</v>
      </c>
      <c r="BR903">
        <v>0</v>
      </c>
      <c r="BS903">
        <v>3</v>
      </c>
      <c r="BT903" t="s">
        <v>248</v>
      </c>
      <c r="BU903" t="s">
        <v>270</v>
      </c>
      <c r="BV903" t="b">
        <v>0</v>
      </c>
      <c r="BW903" t="s">
        <v>271</v>
      </c>
    </row>
    <row r="904" spans="1:75">
      <c r="A904" t="s">
        <v>248</v>
      </c>
      <c r="B904" t="s">
        <v>252</v>
      </c>
      <c r="C904">
        <v>786</v>
      </c>
      <c r="D904" t="s">
        <v>253</v>
      </c>
      <c r="E904" t="s">
        <v>254</v>
      </c>
      <c r="F904">
        <v>5</v>
      </c>
      <c r="G904" s="13">
        <v>46269.422314814816</v>
      </c>
      <c r="H904" s="13">
        <v>46269.423773148148</v>
      </c>
      <c r="I904">
        <v>126</v>
      </c>
      <c r="J904" t="s">
        <v>255</v>
      </c>
      <c r="K904">
        <v>1</v>
      </c>
      <c r="L904">
        <v>0.04</v>
      </c>
      <c r="M904">
        <v>0.04</v>
      </c>
      <c r="N904">
        <v>1</v>
      </c>
      <c r="O904">
        <v>0.04</v>
      </c>
      <c r="P904">
        <v>3.64</v>
      </c>
      <c r="Q904">
        <v>4.68</v>
      </c>
      <c r="R904">
        <v>3.48</v>
      </c>
      <c r="S904" t="s">
        <v>256</v>
      </c>
      <c r="T904" t="s">
        <v>257</v>
      </c>
      <c r="U904">
        <v>10</v>
      </c>
      <c r="V904">
        <v>3474.47</v>
      </c>
      <c r="W904">
        <v>4999.3599999999997</v>
      </c>
      <c r="X904">
        <v>4996.3599999999997</v>
      </c>
      <c r="Y904">
        <v>0</v>
      </c>
      <c r="Z904">
        <v>0</v>
      </c>
      <c r="AA904">
        <v>35</v>
      </c>
      <c r="AB904">
        <v>50</v>
      </c>
      <c r="AC904">
        <v>5000</v>
      </c>
      <c r="AD904">
        <v>0</v>
      </c>
      <c r="AE904">
        <v>0</v>
      </c>
      <c r="AF904">
        <v>3478.39</v>
      </c>
      <c r="AG904">
        <v>3478.39</v>
      </c>
      <c r="AH904" s="14">
        <v>46269</v>
      </c>
      <c r="AI904" t="s">
        <v>269</v>
      </c>
      <c r="AJ904" s="13">
        <v>46265.054768518516</v>
      </c>
      <c r="AK904">
        <v>7052.98</v>
      </c>
      <c r="AL904" t="s">
        <v>259</v>
      </c>
      <c r="AM904" t="s">
        <v>260</v>
      </c>
      <c r="AN904">
        <v>1400</v>
      </c>
      <c r="AO904">
        <v>0</v>
      </c>
      <c r="AP904">
        <v>35</v>
      </c>
      <c r="AQ904">
        <v>85</v>
      </c>
      <c r="AR904">
        <v>35</v>
      </c>
      <c r="AS904">
        <v>2</v>
      </c>
      <c r="AT904">
        <v>23</v>
      </c>
      <c r="AU904">
        <v>1</v>
      </c>
      <c r="AV904">
        <v>0</v>
      </c>
      <c r="AW904">
        <v>10</v>
      </c>
      <c r="AX904">
        <v>1</v>
      </c>
      <c r="AY904">
        <v>7</v>
      </c>
      <c r="AZ904">
        <v>3</v>
      </c>
      <c r="BA904">
        <v>1</v>
      </c>
      <c r="BB904">
        <v>1440</v>
      </c>
      <c r="BC904">
        <v>0</v>
      </c>
      <c r="BD904">
        <v>0</v>
      </c>
      <c r="BE904">
        <v>14</v>
      </c>
      <c r="BF904">
        <v>25</v>
      </c>
      <c r="BG904">
        <v>3</v>
      </c>
      <c r="BH904">
        <v>8</v>
      </c>
      <c r="BI904">
        <v>3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0</v>
      </c>
      <c r="BQ904">
        <v>60</v>
      </c>
      <c r="BR904">
        <v>0</v>
      </c>
      <c r="BS904">
        <v>3</v>
      </c>
      <c r="BT904" t="s">
        <v>248</v>
      </c>
      <c r="BU904" t="s">
        <v>270</v>
      </c>
      <c r="BV904" t="b">
        <v>0</v>
      </c>
      <c r="BW904" t="s">
        <v>271</v>
      </c>
    </row>
    <row r="905" spans="1:75">
      <c r="A905" t="s">
        <v>248</v>
      </c>
      <c r="B905" t="s">
        <v>252</v>
      </c>
      <c r="C905">
        <v>787</v>
      </c>
      <c r="D905" t="s">
        <v>253</v>
      </c>
      <c r="E905" t="s">
        <v>254</v>
      </c>
      <c r="F905">
        <v>5</v>
      </c>
      <c r="G905" s="13">
        <v>46269.427071759259</v>
      </c>
      <c r="H905" s="13">
        <v>46269.427395833336</v>
      </c>
      <c r="I905">
        <v>28</v>
      </c>
      <c r="J905" t="s">
        <v>264</v>
      </c>
      <c r="K905">
        <v>1</v>
      </c>
      <c r="L905">
        <v>0.04</v>
      </c>
      <c r="M905">
        <v>0.04</v>
      </c>
      <c r="N905">
        <v>1</v>
      </c>
      <c r="O905">
        <v>0.04</v>
      </c>
      <c r="P905">
        <v>0.68</v>
      </c>
      <c r="Q905">
        <v>3.96</v>
      </c>
      <c r="R905">
        <v>2.88</v>
      </c>
      <c r="S905" t="s">
        <v>256</v>
      </c>
      <c r="T905" t="s">
        <v>257</v>
      </c>
      <c r="U905">
        <v>11</v>
      </c>
      <c r="V905">
        <v>3477.71</v>
      </c>
      <c r="W905">
        <v>4999.32</v>
      </c>
      <c r="X905">
        <v>4999.32</v>
      </c>
      <c r="Y905">
        <v>0</v>
      </c>
      <c r="Z905">
        <v>0</v>
      </c>
      <c r="AA905">
        <v>35</v>
      </c>
      <c r="AB905">
        <v>50</v>
      </c>
      <c r="AC905">
        <v>5000</v>
      </c>
      <c r="AD905">
        <v>0</v>
      </c>
      <c r="AE905">
        <v>0</v>
      </c>
      <c r="AF905">
        <v>3480.95</v>
      </c>
      <c r="AG905">
        <v>3480.95</v>
      </c>
      <c r="AH905" s="14">
        <v>46269</v>
      </c>
      <c r="AI905" t="s">
        <v>269</v>
      </c>
      <c r="AJ905" s="13">
        <v>46265.054768518516</v>
      </c>
      <c r="AK905">
        <v>7052.98</v>
      </c>
      <c r="AL905" t="s">
        <v>259</v>
      </c>
      <c r="AM905" t="s">
        <v>260</v>
      </c>
      <c r="AN905">
        <v>1400</v>
      </c>
      <c r="AO905">
        <v>0</v>
      </c>
      <c r="AP905">
        <v>35</v>
      </c>
      <c r="AQ905">
        <v>85</v>
      </c>
      <c r="AR905">
        <v>35</v>
      </c>
      <c r="AS905">
        <v>2</v>
      </c>
      <c r="AT905">
        <v>23</v>
      </c>
      <c r="AU905">
        <v>1</v>
      </c>
      <c r="AV905">
        <v>0</v>
      </c>
      <c r="AW905">
        <v>10</v>
      </c>
      <c r="AX905">
        <v>1</v>
      </c>
      <c r="AY905">
        <v>7</v>
      </c>
      <c r="AZ905">
        <v>3</v>
      </c>
      <c r="BA905">
        <v>1</v>
      </c>
      <c r="BB905">
        <v>1440</v>
      </c>
      <c r="BC905">
        <v>0</v>
      </c>
      <c r="BD905">
        <v>0</v>
      </c>
      <c r="BE905">
        <v>14</v>
      </c>
      <c r="BF905">
        <v>25</v>
      </c>
      <c r="BG905">
        <v>3</v>
      </c>
      <c r="BH905">
        <v>8</v>
      </c>
      <c r="BI905">
        <v>3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0</v>
      </c>
      <c r="BQ905">
        <v>60</v>
      </c>
      <c r="BR905">
        <v>0</v>
      </c>
      <c r="BS905">
        <v>3</v>
      </c>
      <c r="BT905" t="s">
        <v>248</v>
      </c>
      <c r="BU905" t="s">
        <v>270</v>
      </c>
      <c r="BV905" t="b">
        <v>0</v>
      </c>
      <c r="BW905" t="s">
        <v>271</v>
      </c>
    </row>
    <row r="906" spans="1:75">
      <c r="A906" t="s">
        <v>248</v>
      </c>
      <c r="B906" t="s">
        <v>252</v>
      </c>
      <c r="C906">
        <v>788</v>
      </c>
      <c r="D906" t="s">
        <v>253</v>
      </c>
      <c r="E906" t="s">
        <v>254</v>
      </c>
      <c r="F906">
        <v>5</v>
      </c>
      <c r="G906" s="13">
        <v>46269.437106481484</v>
      </c>
      <c r="H906" s="13">
        <v>46269.438252314816</v>
      </c>
      <c r="I906">
        <v>99</v>
      </c>
      <c r="J906" t="s">
        <v>255</v>
      </c>
      <c r="K906">
        <v>1</v>
      </c>
      <c r="L906">
        <v>0.04</v>
      </c>
      <c r="M906">
        <v>0.04</v>
      </c>
      <c r="N906">
        <v>1</v>
      </c>
      <c r="O906">
        <v>0.04</v>
      </c>
      <c r="P906">
        <v>0.88</v>
      </c>
      <c r="Q906">
        <v>8.7200000000000006</v>
      </c>
      <c r="R906">
        <v>8.16</v>
      </c>
      <c r="S906" t="s">
        <v>256</v>
      </c>
      <c r="T906" t="s">
        <v>257</v>
      </c>
      <c r="U906">
        <v>11</v>
      </c>
      <c r="V906">
        <v>3480.31</v>
      </c>
      <c r="W906">
        <v>4999.3599999999997</v>
      </c>
      <c r="X906">
        <v>4999.12</v>
      </c>
      <c r="Y906">
        <v>0</v>
      </c>
      <c r="Z906">
        <v>0</v>
      </c>
      <c r="AA906">
        <v>35</v>
      </c>
      <c r="AB906">
        <v>50</v>
      </c>
      <c r="AC906">
        <v>5000</v>
      </c>
      <c r="AD906">
        <v>0</v>
      </c>
      <c r="AE906">
        <v>0</v>
      </c>
      <c r="AF906">
        <v>3488.27</v>
      </c>
      <c r="AG906">
        <v>3488.27</v>
      </c>
      <c r="AH906" s="14">
        <v>46269</v>
      </c>
      <c r="AI906" t="s">
        <v>269</v>
      </c>
      <c r="AJ906" s="13">
        <v>46265.054768518516</v>
      </c>
      <c r="AK906">
        <v>7052.98</v>
      </c>
      <c r="AL906" t="s">
        <v>259</v>
      </c>
      <c r="AM906" t="s">
        <v>260</v>
      </c>
      <c r="AN906">
        <v>1400</v>
      </c>
      <c r="AO906">
        <v>0</v>
      </c>
      <c r="AP906">
        <v>35</v>
      </c>
      <c r="AQ906">
        <v>85</v>
      </c>
      <c r="AR906">
        <v>35</v>
      </c>
      <c r="AS906">
        <v>2</v>
      </c>
      <c r="AT906">
        <v>23</v>
      </c>
      <c r="AU906">
        <v>1</v>
      </c>
      <c r="AV906">
        <v>0</v>
      </c>
      <c r="AW906">
        <v>10</v>
      </c>
      <c r="AX906">
        <v>1</v>
      </c>
      <c r="AY906">
        <v>7</v>
      </c>
      <c r="AZ906">
        <v>3</v>
      </c>
      <c r="BA906">
        <v>1</v>
      </c>
      <c r="BB906">
        <v>1440</v>
      </c>
      <c r="BC906">
        <v>0</v>
      </c>
      <c r="BD906">
        <v>0</v>
      </c>
      <c r="BE906">
        <v>14</v>
      </c>
      <c r="BF906">
        <v>25</v>
      </c>
      <c r="BG906">
        <v>3</v>
      </c>
      <c r="BH906">
        <v>8</v>
      </c>
      <c r="BI906">
        <v>3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0</v>
      </c>
      <c r="BQ906">
        <v>60</v>
      </c>
      <c r="BR906">
        <v>0</v>
      </c>
      <c r="BS906">
        <v>3</v>
      </c>
      <c r="BT906" t="s">
        <v>248</v>
      </c>
      <c r="BU906" t="s">
        <v>270</v>
      </c>
      <c r="BV906" t="b">
        <v>0</v>
      </c>
      <c r="BW906" t="s">
        <v>271</v>
      </c>
    </row>
    <row r="907" spans="1:75">
      <c r="A907" t="s">
        <v>248</v>
      </c>
      <c r="B907" t="s">
        <v>252</v>
      </c>
      <c r="C907">
        <v>789</v>
      </c>
      <c r="D907" t="s">
        <v>253</v>
      </c>
      <c r="E907" t="s">
        <v>254</v>
      </c>
      <c r="F907">
        <v>5</v>
      </c>
      <c r="G907" s="13">
        <v>46269.445879629631</v>
      </c>
      <c r="H907" s="13">
        <v>46269.446203703701</v>
      </c>
      <c r="I907">
        <v>28</v>
      </c>
      <c r="J907" t="s">
        <v>255</v>
      </c>
      <c r="K907">
        <v>1</v>
      </c>
      <c r="L907">
        <v>0.04</v>
      </c>
      <c r="M907">
        <v>0.04</v>
      </c>
      <c r="N907">
        <v>1</v>
      </c>
      <c r="O907">
        <v>0.04</v>
      </c>
      <c r="P907">
        <v>0.8</v>
      </c>
      <c r="Q907">
        <v>7.8</v>
      </c>
      <c r="R907">
        <v>6.4</v>
      </c>
      <c r="S907" t="s">
        <v>256</v>
      </c>
      <c r="T907" t="s">
        <v>257</v>
      </c>
      <c r="U907">
        <v>14</v>
      </c>
      <c r="V907">
        <v>3487.47</v>
      </c>
      <c r="W907">
        <v>4999.2</v>
      </c>
      <c r="X907">
        <v>4999.2</v>
      </c>
      <c r="Y907">
        <v>0</v>
      </c>
      <c r="Z907">
        <v>0</v>
      </c>
      <c r="AA907">
        <v>35</v>
      </c>
      <c r="AB907">
        <v>50</v>
      </c>
      <c r="AC907">
        <v>5000</v>
      </c>
      <c r="AD907">
        <v>0</v>
      </c>
      <c r="AE907">
        <v>0</v>
      </c>
      <c r="AF907">
        <v>3494.67</v>
      </c>
      <c r="AG907">
        <v>3494.67</v>
      </c>
      <c r="AH907" s="14">
        <v>46269</v>
      </c>
      <c r="AI907" t="s">
        <v>269</v>
      </c>
      <c r="AJ907" s="13">
        <v>46265.054768518516</v>
      </c>
      <c r="AK907">
        <v>7052.98</v>
      </c>
      <c r="AL907" t="s">
        <v>259</v>
      </c>
      <c r="AM907" t="s">
        <v>260</v>
      </c>
      <c r="AN907">
        <v>1400</v>
      </c>
      <c r="AO907">
        <v>0</v>
      </c>
      <c r="AP907">
        <v>35</v>
      </c>
      <c r="AQ907">
        <v>85</v>
      </c>
      <c r="AR907">
        <v>35</v>
      </c>
      <c r="AS907">
        <v>2</v>
      </c>
      <c r="AT907">
        <v>23</v>
      </c>
      <c r="AU907">
        <v>1</v>
      </c>
      <c r="AV907">
        <v>0</v>
      </c>
      <c r="AW907">
        <v>10</v>
      </c>
      <c r="AX907">
        <v>1</v>
      </c>
      <c r="AY907">
        <v>7</v>
      </c>
      <c r="AZ907">
        <v>3</v>
      </c>
      <c r="BA907">
        <v>1</v>
      </c>
      <c r="BB907">
        <v>1440</v>
      </c>
      <c r="BC907">
        <v>0</v>
      </c>
      <c r="BD907">
        <v>0</v>
      </c>
      <c r="BE907">
        <v>14</v>
      </c>
      <c r="BF907">
        <v>25</v>
      </c>
      <c r="BG907">
        <v>3</v>
      </c>
      <c r="BH907">
        <v>8</v>
      </c>
      <c r="BI907">
        <v>3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0</v>
      </c>
      <c r="BQ907">
        <v>60</v>
      </c>
      <c r="BR907">
        <v>0</v>
      </c>
      <c r="BS907">
        <v>3</v>
      </c>
      <c r="BT907" t="s">
        <v>248</v>
      </c>
      <c r="BU907" t="s">
        <v>270</v>
      </c>
      <c r="BV907" t="b">
        <v>0</v>
      </c>
      <c r="BW907" t="s">
        <v>271</v>
      </c>
    </row>
    <row r="908" spans="1:75">
      <c r="A908" t="s">
        <v>248</v>
      </c>
      <c r="B908" t="s">
        <v>252</v>
      </c>
      <c r="C908">
        <v>790</v>
      </c>
      <c r="D908" t="s">
        <v>253</v>
      </c>
      <c r="E908" t="s">
        <v>254</v>
      </c>
      <c r="F908">
        <v>5</v>
      </c>
      <c r="G908" s="13">
        <v>46269.448819444442</v>
      </c>
      <c r="H908" s="13">
        <v>46269.450590277775</v>
      </c>
      <c r="I908">
        <v>153</v>
      </c>
      <c r="J908" t="s">
        <v>255</v>
      </c>
      <c r="K908">
        <v>1</v>
      </c>
      <c r="L908">
        <v>0.04</v>
      </c>
      <c r="M908">
        <v>0.04</v>
      </c>
      <c r="N908">
        <v>1</v>
      </c>
      <c r="O908">
        <v>0.04</v>
      </c>
      <c r="P908">
        <v>9.76</v>
      </c>
      <c r="Q908">
        <v>7.76</v>
      </c>
      <c r="R908">
        <v>7.76</v>
      </c>
      <c r="S908" t="s">
        <v>256</v>
      </c>
      <c r="T908" t="s">
        <v>257</v>
      </c>
      <c r="U908">
        <v>11</v>
      </c>
      <c r="V908">
        <v>3494.03</v>
      </c>
      <c r="W908">
        <v>4999.3599999999997</v>
      </c>
      <c r="X908">
        <v>4990.24</v>
      </c>
      <c r="Y908">
        <v>0</v>
      </c>
      <c r="Z908">
        <v>0</v>
      </c>
      <c r="AA908">
        <v>35</v>
      </c>
      <c r="AB908">
        <v>50</v>
      </c>
      <c r="AC908">
        <v>5000</v>
      </c>
      <c r="AD908">
        <v>0</v>
      </c>
      <c r="AE908">
        <v>0</v>
      </c>
      <c r="AF908">
        <v>3501.03</v>
      </c>
      <c r="AG908">
        <v>3501.03</v>
      </c>
      <c r="AH908" s="14">
        <v>46269</v>
      </c>
      <c r="AI908" t="s">
        <v>269</v>
      </c>
      <c r="AJ908" s="13">
        <v>46265.054768518516</v>
      </c>
      <c r="AK908">
        <v>7052.98</v>
      </c>
      <c r="AL908" t="s">
        <v>259</v>
      </c>
      <c r="AM908" t="s">
        <v>260</v>
      </c>
      <c r="AN908">
        <v>1400</v>
      </c>
      <c r="AO908">
        <v>0</v>
      </c>
      <c r="AP908">
        <v>35</v>
      </c>
      <c r="AQ908">
        <v>85</v>
      </c>
      <c r="AR908">
        <v>35</v>
      </c>
      <c r="AS908">
        <v>2</v>
      </c>
      <c r="AT908">
        <v>23</v>
      </c>
      <c r="AU908">
        <v>1</v>
      </c>
      <c r="AV908">
        <v>0</v>
      </c>
      <c r="AW908">
        <v>10</v>
      </c>
      <c r="AX908">
        <v>1</v>
      </c>
      <c r="AY908">
        <v>7</v>
      </c>
      <c r="AZ908">
        <v>3</v>
      </c>
      <c r="BA908">
        <v>1</v>
      </c>
      <c r="BB908">
        <v>1440</v>
      </c>
      <c r="BC908">
        <v>0</v>
      </c>
      <c r="BD908">
        <v>0</v>
      </c>
      <c r="BE908">
        <v>14</v>
      </c>
      <c r="BF908">
        <v>25</v>
      </c>
      <c r="BG908">
        <v>3</v>
      </c>
      <c r="BH908">
        <v>8</v>
      </c>
      <c r="BI908">
        <v>3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0</v>
      </c>
      <c r="BQ908">
        <v>60</v>
      </c>
      <c r="BR908">
        <v>0</v>
      </c>
      <c r="BS908">
        <v>3</v>
      </c>
      <c r="BT908" t="s">
        <v>248</v>
      </c>
      <c r="BU908" t="s">
        <v>270</v>
      </c>
      <c r="BV908" t="b">
        <v>0</v>
      </c>
      <c r="BW908" t="s">
        <v>271</v>
      </c>
    </row>
    <row r="909" spans="1:75">
      <c r="A909" t="s">
        <v>248</v>
      </c>
      <c r="B909" t="s">
        <v>252</v>
      </c>
      <c r="C909">
        <v>791</v>
      </c>
      <c r="D909" t="s">
        <v>253</v>
      </c>
      <c r="E909" t="s">
        <v>254</v>
      </c>
      <c r="F909">
        <v>5</v>
      </c>
      <c r="G909" s="13">
        <v>46269.45208333333</v>
      </c>
      <c r="H909" s="13">
        <v>46269.45349537037</v>
      </c>
      <c r="I909">
        <v>122</v>
      </c>
      <c r="J909" t="s">
        <v>264</v>
      </c>
      <c r="K909">
        <v>1</v>
      </c>
      <c r="L909">
        <v>0.04</v>
      </c>
      <c r="M909">
        <v>0.04</v>
      </c>
      <c r="N909">
        <v>1</v>
      </c>
      <c r="O909">
        <v>0.04</v>
      </c>
      <c r="P909">
        <v>3.2</v>
      </c>
      <c r="Q909">
        <v>7.32</v>
      </c>
      <c r="R909">
        <v>6</v>
      </c>
      <c r="S909" t="s">
        <v>256</v>
      </c>
      <c r="T909" t="s">
        <v>257</v>
      </c>
      <c r="U909">
        <v>11</v>
      </c>
      <c r="V909">
        <v>3500.35</v>
      </c>
      <c r="W909">
        <v>4999.32</v>
      </c>
      <c r="X909">
        <v>4996.8</v>
      </c>
      <c r="Y909">
        <v>0</v>
      </c>
      <c r="Z909">
        <v>0</v>
      </c>
      <c r="AA909">
        <v>35</v>
      </c>
      <c r="AB909">
        <v>50</v>
      </c>
      <c r="AC909">
        <v>5000</v>
      </c>
      <c r="AD909">
        <v>0</v>
      </c>
      <c r="AE909">
        <v>0</v>
      </c>
      <c r="AF909">
        <v>3506.91</v>
      </c>
      <c r="AG909">
        <v>3506.91</v>
      </c>
      <c r="AH909" s="14">
        <v>46269</v>
      </c>
      <c r="AI909" t="s">
        <v>269</v>
      </c>
      <c r="AJ909" s="13">
        <v>46265.054768518516</v>
      </c>
      <c r="AK909">
        <v>7052.98</v>
      </c>
      <c r="AL909" t="s">
        <v>259</v>
      </c>
      <c r="AM909" t="s">
        <v>260</v>
      </c>
      <c r="AN909">
        <v>1400</v>
      </c>
      <c r="AO909">
        <v>0</v>
      </c>
      <c r="AP909">
        <v>35</v>
      </c>
      <c r="AQ909">
        <v>85</v>
      </c>
      <c r="AR909">
        <v>35</v>
      </c>
      <c r="AS909">
        <v>2</v>
      </c>
      <c r="AT909">
        <v>23</v>
      </c>
      <c r="AU909">
        <v>1</v>
      </c>
      <c r="AV909">
        <v>0</v>
      </c>
      <c r="AW909">
        <v>10</v>
      </c>
      <c r="AX909">
        <v>1</v>
      </c>
      <c r="AY909">
        <v>7</v>
      </c>
      <c r="AZ909">
        <v>3</v>
      </c>
      <c r="BA909">
        <v>1</v>
      </c>
      <c r="BB909">
        <v>1440</v>
      </c>
      <c r="BC909">
        <v>0</v>
      </c>
      <c r="BD909">
        <v>0</v>
      </c>
      <c r="BE909">
        <v>14</v>
      </c>
      <c r="BF909">
        <v>25</v>
      </c>
      <c r="BG909">
        <v>3</v>
      </c>
      <c r="BH909">
        <v>8</v>
      </c>
      <c r="BI909">
        <v>3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0</v>
      </c>
      <c r="BQ909">
        <v>60</v>
      </c>
      <c r="BR909">
        <v>0</v>
      </c>
      <c r="BS909">
        <v>3</v>
      </c>
      <c r="BT909" t="s">
        <v>248</v>
      </c>
      <c r="BU909" t="s">
        <v>270</v>
      </c>
      <c r="BV909" t="b">
        <v>0</v>
      </c>
      <c r="BW909" t="s">
        <v>271</v>
      </c>
    </row>
    <row r="910" spans="1:75">
      <c r="A910" t="s">
        <v>248</v>
      </c>
      <c r="B910" t="s">
        <v>252</v>
      </c>
      <c r="C910">
        <v>792</v>
      </c>
      <c r="D910" t="s">
        <v>253</v>
      </c>
      <c r="E910" t="s">
        <v>254</v>
      </c>
      <c r="F910">
        <v>5</v>
      </c>
      <c r="G910" s="13">
        <v>46269.456666666665</v>
      </c>
      <c r="H910" s="13">
        <v>46269.456909722219</v>
      </c>
      <c r="I910">
        <v>21</v>
      </c>
      <c r="J910" t="s">
        <v>264</v>
      </c>
      <c r="K910">
        <v>1</v>
      </c>
      <c r="L910">
        <v>0.04</v>
      </c>
      <c r="M910">
        <v>0.04</v>
      </c>
      <c r="N910">
        <v>1</v>
      </c>
      <c r="O910">
        <v>0.04</v>
      </c>
      <c r="P910">
        <v>0.8</v>
      </c>
      <c r="Q910">
        <v>4.84</v>
      </c>
      <c r="R910">
        <v>4.4000000000000004</v>
      </c>
      <c r="S910" t="s">
        <v>256</v>
      </c>
      <c r="T910" t="s">
        <v>257</v>
      </c>
      <c r="U910">
        <v>11</v>
      </c>
      <c r="V910">
        <v>3506.23</v>
      </c>
      <c r="W910">
        <v>4999.32</v>
      </c>
      <c r="X910">
        <v>4999.2</v>
      </c>
      <c r="Y910">
        <v>0</v>
      </c>
      <c r="Z910">
        <v>0</v>
      </c>
      <c r="AA910">
        <v>35</v>
      </c>
      <c r="AB910">
        <v>50</v>
      </c>
      <c r="AC910">
        <v>5000</v>
      </c>
      <c r="AD910">
        <v>0</v>
      </c>
      <c r="AE910">
        <v>0</v>
      </c>
      <c r="AF910">
        <v>3510.35</v>
      </c>
      <c r="AG910">
        <v>3510.35</v>
      </c>
      <c r="AH910" s="14">
        <v>46269</v>
      </c>
      <c r="AI910" t="s">
        <v>269</v>
      </c>
      <c r="AJ910" s="13">
        <v>46265.054768518516</v>
      </c>
      <c r="AK910">
        <v>7052.98</v>
      </c>
      <c r="AL910" t="s">
        <v>259</v>
      </c>
      <c r="AM910" t="s">
        <v>260</v>
      </c>
      <c r="AN910">
        <v>1400</v>
      </c>
      <c r="AO910">
        <v>0</v>
      </c>
      <c r="AP910">
        <v>35</v>
      </c>
      <c r="AQ910">
        <v>85</v>
      </c>
      <c r="AR910">
        <v>35</v>
      </c>
      <c r="AS910">
        <v>2</v>
      </c>
      <c r="AT910">
        <v>23</v>
      </c>
      <c r="AU910">
        <v>1</v>
      </c>
      <c r="AV910">
        <v>0</v>
      </c>
      <c r="AW910">
        <v>10</v>
      </c>
      <c r="AX910">
        <v>1</v>
      </c>
      <c r="AY910">
        <v>7</v>
      </c>
      <c r="AZ910">
        <v>3</v>
      </c>
      <c r="BA910">
        <v>1</v>
      </c>
      <c r="BB910">
        <v>1440</v>
      </c>
      <c r="BC910">
        <v>0</v>
      </c>
      <c r="BD910">
        <v>0</v>
      </c>
      <c r="BE910">
        <v>14</v>
      </c>
      <c r="BF910">
        <v>25</v>
      </c>
      <c r="BG910">
        <v>3</v>
      </c>
      <c r="BH910">
        <v>8</v>
      </c>
      <c r="BI910">
        <v>3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0</v>
      </c>
      <c r="BQ910">
        <v>60</v>
      </c>
      <c r="BR910">
        <v>0</v>
      </c>
      <c r="BS910">
        <v>3</v>
      </c>
      <c r="BT910" t="s">
        <v>248</v>
      </c>
      <c r="BU910" t="s">
        <v>270</v>
      </c>
      <c r="BV910" t="b">
        <v>0</v>
      </c>
      <c r="BW910" t="s">
        <v>271</v>
      </c>
    </row>
    <row r="911" spans="1:75">
      <c r="A911" t="s">
        <v>248</v>
      </c>
      <c r="B911" t="s">
        <v>252</v>
      </c>
      <c r="C911">
        <v>793</v>
      </c>
      <c r="D911" t="s">
        <v>253</v>
      </c>
      <c r="E911" t="s">
        <v>254</v>
      </c>
      <c r="F911">
        <v>5</v>
      </c>
      <c r="G911" s="13">
        <v>46269.467685185184</v>
      </c>
      <c r="H911" s="13">
        <v>46269.469409722224</v>
      </c>
      <c r="I911">
        <v>149</v>
      </c>
      <c r="J911" t="s">
        <v>255</v>
      </c>
      <c r="K911">
        <v>1</v>
      </c>
      <c r="L911">
        <v>0.04</v>
      </c>
      <c r="M911">
        <v>0.04</v>
      </c>
      <c r="N911">
        <v>1</v>
      </c>
      <c r="O911">
        <v>0.04</v>
      </c>
      <c r="P911">
        <v>6.24</v>
      </c>
      <c r="Q911">
        <v>3.24</v>
      </c>
      <c r="R911">
        <v>2.68</v>
      </c>
      <c r="S911" t="s">
        <v>256</v>
      </c>
      <c r="T911" t="s">
        <v>257</v>
      </c>
      <c r="U911">
        <v>10</v>
      </c>
      <c r="V911">
        <v>3509.71</v>
      </c>
      <c r="W911">
        <v>4999.3599999999997</v>
      </c>
      <c r="X911">
        <v>4993.76</v>
      </c>
      <c r="Y911">
        <v>0</v>
      </c>
      <c r="Z911">
        <v>0</v>
      </c>
      <c r="AA911">
        <v>35</v>
      </c>
      <c r="AB911">
        <v>50</v>
      </c>
      <c r="AC911">
        <v>5000</v>
      </c>
      <c r="AD911">
        <v>0</v>
      </c>
      <c r="AE911">
        <v>0</v>
      </c>
      <c r="AF911">
        <v>3512.19</v>
      </c>
      <c r="AG911">
        <v>3512.19</v>
      </c>
      <c r="AH911" s="14">
        <v>46269</v>
      </c>
      <c r="AI911" t="s">
        <v>269</v>
      </c>
      <c r="AJ911" s="13">
        <v>46265.054768518516</v>
      </c>
      <c r="AK911">
        <v>7052.98</v>
      </c>
      <c r="AL911" t="s">
        <v>259</v>
      </c>
      <c r="AM911" t="s">
        <v>260</v>
      </c>
      <c r="AN911">
        <v>1400</v>
      </c>
      <c r="AO911">
        <v>0</v>
      </c>
      <c r="AP911">
        <v>35</v>
      </c>
      <c r="AQ911">
        <v>85</v>
      </c>
      <c r="AR911">
        <v>35</v>
      </c>
      <c r="AS911">
        <v>2</v>
      </c>
      <c r="AT911">
        <v>23</v>
      </c>
      <c r="AU911">
        <v>1</v>
      </c>
      <c r="AV911">
        <v>0</v>
      </c>
      <c r="AW911">
        <v>10</v>
      </c>
      <c r="AX911">
        <v>1</v>
      </c>
      <c r="AY911">
        <v>7</v>
      </c>
      <c r="AZ911">
        <v>3</v>
      </c>
      <c r="BA911">
        <v>1</v>
      </c>
      <c r="BB911">
        <v>1440</v>
      </c>
      <c r="BC911">
        <v>0</v>
      </c>
      <c r="BD911">
        <v>0</v>
      </c>
      <c r="BE911">
        <v>14</v>
      </c>
      <c r="BF911">
        <v>25</v>
      </c>
      <c r="BG911">
        <v>3</v>
      </c>
      <c r="BH911">
        <v>8</v>
      </c>
      <c r="BI911">
        <v>3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0</v>
      </c>
      <c r="BQ911">
        <v>60</v>
      </c>
      <c r="BR911">
        <v>0</v>
      </c>
      <c r="BS911">
        <v>3</v>
      </c>
      <c r="BT911" t="s">
        <v>248</v>
      </c>
      <c r="BU911" t="s">
        <v>270</v>
      </c>
      <c r="BV911" t="b">
        <v>0</v>
      </c>
      <c r="BW911" t="s">
        <v>271</v>
      </c>
    </row>
    <row r="912" spans="1:75">
      <c r="A912" t="s">
        <v>248</v>
      </c>
      <c r="B912" t="s">
        <v>252</v>
      </c>
      <c r="C912">
        <v>794</v>
      </c>
      <c r="D912" t="s">
        <v>253</v>
      </c>
      <c r="E912" t="s">
        <v>254</v>
      </c>
      <c r="F912">
        <v>5</v>
      </c>
      <c r="G912" s="13">
        <v>46269.475115740737</v>
      </c>
      <c r="H912" s="13">
        <v>46269.480520833335</v>
      </c>
      <c r="I912">
        <v>467</v>
      </c>
      <c r="J912" t="s">
        <v>264</v>
      </c>
      <c r="K912">
        <v>1</v>
      </c>
      <c r="L912">
        <v>0.04</v>
      </c>
      <c r="M912">
        <v>0.04</v>
      </c>
      <c r="N912">
        <v>1</v>
      </c>
      <c r="O912">
        <v>0.04</v>
      </c>
      <c r="P912">
        <v>8.56</v>
      </c>
      <c r="Q912">
        <v>3.68</v>
      </c>
      <c r="R912">
        <v>3.24</v>
      </c>
      <c r="S912" t="s">
        <v>256</v>
      </c>
      <c r="T912" t="s">
        <v>257</v>
      </c>
      <c r="U912">
        <v>10</v>
      </c>
      <c r="V912">
        <v>3511.55</v>
      </c>
      <c r="W912">
        <v>4999.3599999999997</v>
      </c>
      <c r="X912">
        <v>4991.4399999999996</v>
      </c>
      <c r="Y912">
        <v>0</v>
      </c>
      <c r="Z912">
        <v>0</v>
      </c>
      <c r="AA912">
        <v>35</v>
      </c>
      <c r="AB912">
        <v>50</v>
      </c>
      <c r="AC912">
        <v>5000</v>
      </c>
      <c r="AD912">
        <v>0</v>
      </c>
      <c r="AE912">
        <v>0</v>
      </c>
      <c r="AF912">
        <v>3514.47</v>
      </c>
      <c r="AG912">
        <v>3514.47</v>
      </c>
      <c r="AH912" s="14">
        <v>46269</v>
      </c>
      <c r="AI912" t="s">
        <v>269</v>
      </c>
      <c r="AJ912" s="13">
        <v>46265.054768518516</v>
      </c>
      <c r="AK912">
        <v>7052.98</v>
      </c>
      <c r="AL912" t="s">
        <v>259</v>
      </c>
      <c r="AM912" t="s">
        <v>260</v>
      </c>
      <c r="AN912">
        <v>1400</v>
      </c>
      <c r="AO912">
        <v>0</v>
      </c>
      <c r="AP912">
        <v>35</v>
      </c>
      <c r="AQ912">
        <v>85</v>
      </c>
      <c r="AR912">
        <v>35</v>
      </c>
      <c r="AS912">
        <v>2</v>
      </c>
      <c r="AT912">
        <v>23</v>
      </c>
      <c r="AU912">
        <v>1</v>
      </c>
      <c r="AV912">
        <v>0</v>
      </c>
      <c r="AW912">
        <v>10</v>
      </c>
      <c r="AX912">
        <v>1</v>
      </c>
      <c r="AY912">
        <v>7</v>
      </c>
      <c r="AZ912">
        <v>3</v>
      </c>
      <c r="BA912">
        <v>1</v>
      </c>
      <c r="BB912">
        <v>1440</v>
      </c>
      <c r="BC912">
        <v>0</v>
      </c>
      <c r="BD912">
        <v>0</v>
      </c>
      <c r="BE912">
        <v>14</v>
      </c>
      <c r="BF912">
        <v>25</v>
      </c>
      <c r="BG912">
        <v>3</v>
      </c>
      <c r="BH912">
        <v>8</v>
      </c>
      <c r="BI912">
        <v>3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0</v>
      </c>
      <c r="BQ912">
        <v>60</v>
      </c>
      <c r="BR912">
        <v>0</v>
      </c>
      <c r="BS912">
        <v>3</v>
      </c>
      <c r="BT912" t="s">
        <v>248</v>
      </c>
      <c r="BU912" t="s">
        <v>270</v>
      </c>
      <c r="BV912" t="b">
        <v>0</v>
      </c>
      <c r="BW912" t="s">
        <v>271</v>
      </c>
    </row>
    <row r="913" spans="1:75">
      <c r="A913" t="s">
        <v>250</v>
      </c>
      <c r="B913" t="s">
        <v>252</v>
      </c>
      <c r="C913">
        <v>609</v>
      </c>
      <c r="D913" t="s">
        <v>253</v>
      </c>
      <c r="E913" t="s">
        <v>254</v>
      </c>
      <c r="F913">
        <v>30</v>
      </c>
      <c r="G913" s="13">
        <v>46265.087592592594</v>
      </c>
      <c r="H913" s="13">
        <v>46265.087870370371</v>
      </c>
      <c r="I913">
        <v>24</v>
      </c>
      <c r="J913" t="s">
        <v>255</v>
      </c>
      <c r="K913">
        <v>1</v>
      </c>
      <c r="L913">
        <v>0.01</v>
      </c>
      <c r="M913">
        <v>0.01</v>
      </c>
      <c r="N913">
        <v>1</v>
      </c>
      <c r="O913">
        <v>0.01</v>
      </c>
      <c r="P913">
        <v>0.21</v>
      </c>
      <c r="Q913">
        <v>2.12</v>
      </c>
      <c r="R913">
        <v>1.85</v>
      </c>
      <c r="S913" t="s">
        <v>256</v>
      </c>
      <c r="T913" t="s">
        <v>257</v>
      </c>
      <c r="U913">
        <v>11</v>
      </c>
      <c r="V913">
        <v>5509.62</v>
      </c>
      <c r="W913">
        <v>4999.83</v>
      </c>
      <c r="X913">
        <v>4999.79</v>
      </c>
      <c r="Y913">
        <v>0</v>
      </c>
      <c r="Z913">
        <v>0</v>
      </c>
      <c r="AA913">
        <v>35</v>
      </c>
      <c r="AB913">
        <v>50</v>
      </c>
      <c r="AC913">
        <v>5000</v>
      </c>
      <c r="AD913">
        <v>0</v>
      </c>
      <c r="AE913">
        <v>0</v>
      </c>
      <c r="AF913">
        <v>5511.56</v>
      </c>
      <c r="AG913">
        <v>5511.56</v>
      </c>
      <c r="AH913" s="14">
        <v>46265</v>
      </c>
      <c r="AI913" t="s">
        <v>272</v>
      </c>
      <c r="AJ913" s="13">
        <v>46262.99790509259</v>
      </c>
      <c r="AK913">
        <v>5509.79</v>
      </c>
      <c r="AL913" t="s">
        <v>259</v>
      </c>
      <c r="AM913" t="s">
        <v>260</v>
      </c>
      <c r="AN913">
        <v>1400</v>
      </c>
      <c r="AO913">
        <v>0</v>
      </c>
      <c r="AP913">
        <v>35</v>
      </c>
      <c r="AQ913">
        <v>85</v>
      </c>
      <c r="AR913">
        <v>35</v>
      </c>
      <c r="AS913">
        <v>2</v>
      </c>
      <c r="AT913">
        <v>23</v>
      </c>
      <c r="AU913">
        <v>1</v>
      </c>
      <c r="AV913">
        <v>0</v>
      </c>
      <c r="AW913">
        <v>10</v>
      </c>
      <c r="AX913">
        <v>1</v>
      </c>
      <c r="AY913">
        <v>5</v>
      </c>
      <c r="AZ913">
        <v>2</v>
      </c>
      <c r="BA913">
        <v>1</v>
      </c>
      <c r="BB913">
        <v>1440</v>
      </c>
      <c r="BC913">
        <v>0</v>
      </c>
      <c r="BD913">
        <v>0</v>
      </c>
      <c r="BE913">
        <v>14</v>
      </c>
      <c r="BF913">
        <v>25</v>
      </c>
      <c r="BG913">
        <v>3</v>
      </c>
      <c r="BH913">
        <v>8</v>
      </c>
      <c r="BI913">
        <v>3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0</v>
      </c>
      <c r="BQ913">
        <v>60</v>
      </c>
      <c r="BR913">
        <v>0</v>
      </c>
      <c r="BS913">
        <v>3</v>
      </c>
      <c r="BT913" t="s">
        <v>250</v>
      </c>
      <c r="BU913" t="s">
        <v>273</v>
      </c>
      <c r="BV913" t="b">
        <v>0</v>
      </c>
      <c r="BW913" t="s">
        <v>268</v>
      </c>
    </row>
    <row r="914" spans="1:75">
      <c r="A914" t="s">
        <v>250</v>
      </c>
      <c r="B914" t="s">
        <v>252</v>
      </c>
      <c r="C914">
        <v>610</v>
      </c>
      <c r="D914" t="s">
        <v>253</v>
      </c>
      <c r="E914" t="s">
        <v>254</v>
      </c>
      <c r="F914">
        <v>30</v>
      </c>
      <c r="G914" s="13">
        <v>46265.10434027778</v>
      </c>
      <c r="H914" s="13">
        <v>46265.104687500003</v>
      </c>
      <c r="I914">
        <v>30</v>
      </c>
      <c r="J914" t="s">
        <v>264</v>
      </c>
      <c r="K914">
        <v>1</v>
      </c>
      <c r="L914">
        <v>0.01</v>
      </c>
      <c r="M914">
        <v>0.01</v>
      </c>
      <c r="N914">
        <v>1</v>
      </c>
      <c r="O914">
        <v>0.01</v>
      </c>
      <c r="P914">
        <v>0.83</v>
      </c>
      <c r="Q914">
        <v>1.36</v>
      </c>
      <c r="R914">
        <v>0.93</v>
      </c>
      <c r="S914" t="s">
        <v>256</v>
      </c>
      <c r="T914" t="s">
        <v>257</v>
      </c>
      <c r="U914">
        <v>11</v>
      </c>
      <c r="V914">
        <v>5511.4</v>
      </c>
      <c r="W914">
        <v>4999.84</v>
      </c>
      <c r="X914">
        <v>4999.17</v>
      </c>
      <c r="Y914">
        <v>0</v>
      </c>
      <c r="Z914">
        <v>0</v>
      </c>
      <c r="AA914">
        <v>35</v>
      </c>
      <c r="AB914">
        <v>50</v>
      </c>
      <c r="AC914">
        <v>5000</v>
      </c>
      <c r="AD914">
        <v>0</v>
      </c>
      <c r="AE914">
        <v>0</v>
      </c>
      <c r="AF914">
        <v>5512.57</v>
      </c>
      <c r="AG914">
        <v>5512.57</v>
      </c>
      <c r="AH914" s="14">
        <v>46265</v>
      </c>
      <c r="AI914" t="s">
        <v>272</v>
      </c>
      <c r="AJ914" s="13">
        <v>46262.99790509259</v>
      </c>
      <c r="AK914">
        <v>5509.79</v>
      </c>
      <c r="AL914" t="s">
        <v>259</v>
      </c>
      <c r="AM914" t="s">
        <v>260</v>
      </c>
      <c r="AN914">
        <v>1400</v>
      </c>
      <c r="AO914">
        <v>0</v>
      </c>
      <c r="AP914">
        <v>35</v>
      </c>
      <c r="AQ914">
        <v>85</v>
      </c>
      <c r="AR914">
        <v>35</v>
      </c>
      <c r="AS914">
        <v>2</v>
      </c>
      <c r="AT914">
        <v>23</v>
      </c>
      <c r="AU914">
        <v>1</v>
      </c>
      <c r="AV914">
        <v>0</v>
      </c>
      <c r="AW914">
        <v>10</v>
      </c>
      <c r="AX914">
        <v>1</v>
      </c>
      <c r="AY914">
        <v>5</v>
      </c>
      <c r="AZ914">
        <v>2</v>
      </c>
      <c r="BA914">
        <v>1</v>
      </c>
      <c r="BB914">
        <v>1440</v>
      </c>
      <c r="BC914">
        <v>0</v>
      </c>
      <c r="BD914">
        <v>0</v>
      </c>
      <c r="BE914">
        <v>14</v>
      </c>
      <c r="BF914">
        <v>25</v>
      </c>
      <c r="BG914">
        <v>3</v>
      </c>
      <c r="BH914">
        <v>8</v>
      </c>
      <c r="BI914">
        <v>3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0</v>
      </c>
      <c r="BQ914">
        <v>60</v>
      </c>
      <c r="BR914">
        <v>0</v>
      </c>
      <c r="BS914">
        <v>3</v>
      </c>
      <c r="BT914" t="s">
        <v>250</v>
      </c>
      <c r="BU914" t="s">
        <v>273</v>
      </c>
      <c r="BV914" t="b">
        <v>0</v>
      </c>
      <c r="BW914" t="s">
        <v>268</v>
      </c>
    </row>
    <row r="915" spans="1:75">
      <c r="A915" t="s">
        <v>250</v>
      </c>
      <c r="B915" t="s">
        <v>252</v>
      </c>
      <c r="C915">
        <v>611</v>
      </c>
      <c r="D915" t="s">
        <v>253</v>
      </c>
      <c r="E915" t="s">
        <v>254</v>
      </c>
      <c r="F915">
        <v>30</v>
      </c>
      <c r="G915" s="13">
        <v>46265.125231481485</v>
      </c>
      <c r="H915" s="13">
        <v>46265.127129629633</v>
      </c>
      <c r="I915">
        <v>164</v>
      </c>
      <c r="J915" t="s">
        <v>264</v>
      </c>
      <c r="K915">
        <v>1</v>
      </c>
      <c r="L915">
        <v>0.01</v>
      </c>
      <c r="M915">
        <v>0.01</v>
      </c>
      <c r="N915">
        <v>1</v>
      </c>
      <c r="O915">
        <v>0.01</v>
      </c>
      <c r="P915">
        <v>5.42</v>
      </c>
      <c r="Q915">
        <v>2.12</v>
      </c>
      <c r="R915">
        <v>2.08</v>
      </c>
      <c r="S915" t="s">
        <v>256</v>
      </c>
      <c r="T915" t="s">
        <v>257</v>
      </c>
      <c r="U915">
        <v>11</v>
      </c>
      <c r="V915">
        <v>5512.41</v>
      </c>
      <c r="W915">
        <v>4999.84</v>
      </c>
      <c r="X915">
        <v>4994.58</v>
      </c>
      <c r="Y915">
        <v>0</v>
      </c>
      <c r="Z915">
        <v>0</v>
      </c>
      <c r="AA915">
        <v>35</v>
      </c>
      <c r="AB915">
        <v>50</v>
      </c>
      <c r="AC915">
        <v>5000</v>
      </c>
      <c r="AD915">
        <v>0</v>
      </c>
      <c r="AE915">
        <v>0</v>
      </c>
      <c r="AF915">
        <v>5514.34</v>
      </c>
      <c r="AG915">
        <v>5514.34</v>
      </c>
      <c r="AH915" s="14">
        <v>46265</v>
      </c>
      <c r="AI915" t="s">
        <v>272</v>
      </c>
      <c r="AJ915" s="13">
        <v>46262.99790509259</v>
      </c>
      <c r="AK915">
        <v>5509.79</v>
      </c>
      <c r="AL915" t="s">
        <v>259</v>
      </c>
      <c r="AM915" t="s">
        <v>260</v>
      </c>
      <c r="AN915">
        <v>1400</v>
      </c>
      <c r="AO915">
        <v>0</v>
      </c>
      <c r="AP915">
        <v>35</v>
      </c>
      <c r="AQ915">
        <v>85</v>
      </c>
      <c r="AR915">
        <v>35</v>
      </c>
      <c r="AS915">
        <v>2</v>
      </c>
      <c r="AT915">
        <v>23</v>
      </c>
      <c r="AU915">
        <v>1</v>
      </c>
      <c r="AV915">
        <v>0</v>
      </c>
      <c r="AW915">
        <v>10</v>
      </c>
      <c r="AX915">
        <v>1</v>
      </c>
      <c r="AY915">
        <v>5</v>
      </c>
      <c r="AZ915">
        <v>2</v>
      </c>
      <c r="BA915">
        <v>1</v>
      </c>
      <c r="BB915">
        <v>1440</v>
      </c>
      <c r="BC915">
        <v>0</v>
      </c>
      <c r="BD915">
        <v>0</v>
      </c>
      <c r="BE915">
        <v>14</v>
      </c>
      <c r="BF915">
        <v>25</v>
      </c>
      <c r="BG915">
        <v>3</v>
      </c>
      <c r="BH915">
        <v>8</v>
      </c>
      <c r="BI915">
        <v>3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0</v>
      </c>
      <c r="BQ915">
        <v>60</v>
      </c>
      <c r="BR915">
        <v>0</v>
      </c>
      <c r="BS915">
        <v>3</v>
      </c>
      <c r="BT915" t="s">
        <v>250</v>
      </c>
      <c r="BU915" t="s">
        <v>273</v>
      </c>
      <c r="BV915" t="b">
        <v>0</v>
      </c>
      <c r="BW915" t="s">
        <v>268</v>
      </c>
    </row>
    <row r="916" spans="1:75">
      <c r="A916" t="s">
        <v>250</v>
      </c>
      <c r="B916" t="s">
        <v>252</v>
      </c>
      <c r="C916">
        <v>612</v>
      </c>
      <c r="D916" t="s">
        <v>253</v>
      </c>
      <c r="E916" t="s">
        <v>254</v>
      </c>
      <c r="F916">
        <v>30</v>
      </c>
      <c r="G916" s="13">
        <v>46265.145925925928</v>
      </c>
      <c r="H916" s="13">
        <v>46265.14603009259</v>
      </c>
      <c r="I916">
        <v>9</v>
      </c>
      <c r="J916" t="s">
        <v>255</v>
      </c>
      <c r="K916">
        <v>1</v>
      </c>
      <c r="L916">
        <v>0.01</v>
      </c>
      <c r="M916">
        <v>0.01</v>
      </c>
      <c r="N916">
        <v>1</v>
      </c>
      <c r="O916">
        <v>0.01</v>
      </c>
      <c r="P916">
        <v>0.17</v>
      </c>
      <c r="Q916">
        <v>1.0900000000000001</v>
      </c>
      <c r="R916">
        <v>0.94</v>
      </c>
      <c r="S916" t="s">
        <v>256</v>
      </c>
      <c r="T916" t="s">
        <v>257</v>
      </c>
      <c r="U916">
        <v>10</v>
      </c>
      <c r="V916">
        <v>5514.17</v>
      </c>
      <c r="W916">
        <v>4999.83</v>
      </c>
      <c r="X916">
        <v>4999.83</v>
      </c>
      <c r="Y916">
        <v>0</v>
      </c>
      <c r="Z916">
        <v>0</v>
      </c>
      <c r="AA916">
        <v>35</v>
      </c>
      <c r="AB916">
        <v>50</v>
      </c>
      <c r="AC916">
        <v>5000</v>
      </c>
      <c r="AD916">
        <v>0</v>
      </c>
      <c r="AE916">
        <v>0</v>
      </c>
      <c r="AF916">
        <v>5515.08</v>
      </c>
      <c r="AG916">
        <v>5515.08</v>
      </c>
      <c r="AH916" s="14">
        <v>46265</v>
      </c>
      <c r="AI916" t="s">
        <v>272</v>
      </c>
      <c r="AJ916" s="13">
        <v>46262.99790509259</v>
      </c>
      <c r="AK916">
        <v>5509.79</v>
      </c>
      <c r="AL916" t="s">
        <v>259</v>
      </c>
      <c r="AM916" t="s">
        <v>260</v>
      </c>
      <c r="AN916">
        <v>1400</v>
      </c>
      <c r="AO916">
        <v>0</v>
      </c>
      <c r="AP916">
        <v>35</v>
      </c>
      <c r="AQ916">
        <v>85</v>
      </c>
      <c r="AR916">
        <v>35</v>
      </c>
      <c r="AS916">
        <v>2</v>
      </c>
      <c r="AT916">
        <v>23</v>
      </c>
      <c r="AU916">
        <v>1</v>
      </c>
      <c r="AV916">
        <v>0</v>
      </c>
      <c r="AW916">
        <v>10</v>
      </c>
      <c r="AX916">
        <v>1</v>
      </c>
      <c r="AY916">
        <v>5</v>
      </c>
      <c r="AZ916">
        <v>2</v>
      </c>
      <c r="BA916">
        <v>1</v>
      </c>
      <c r="BB916">
        <v>1440</v>
      </c>
      <c r="BC916">
        <v>0</v>
      </c>
      <c r="BD916">
        <v>0</v>
      </c>
      <c r="BE916">
        <v>14</v>
      </c>
      <c r="BF916">
        <v>25</v>
      </c>
      <c r="BG916">
        <v>3</v>
      </c>
      <c r="BH916">
        <v>8</v>
      </c>
      <c r="BI916">
        <v>3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0</v>
      </c>
      <c r="BQ916">
        <v>60</v>
      </c>
      <c r="BR916">
        <v>0</v>
      </c>
      <c r="BS916">
        <v>3</v>
      </c>
      <c r="BT916" t="s">
        <v>250</v>
      </c>
      <c r="BU916" t="s">
        <v>273</v>
      </c>
      <c r="BV916" t="b">
        <v>0</v>
      </c>
      <c r="BW916" t="s">
        <v>268</v>
      </c>
    </row>
    <row r="917" spans="1:75">
      <c r="A917" t="s">
        <v>250</v>
      </c>
      <c r="B917" t="s">
        <v>252</v>
      </c>
      <c r="C917">
        <v>613</v>
      </c>
      <c r="D917" t="s">
        <v>253</v>
      </c>
      <c r="E917" t="s">
        <v>254</v>
      </c>
      <c r="F917">
        <v>30</v>
      </c>
      <c r="G917" s="13">
        <v>46265.166701388887</v>
      </c>
      <c r="H917" s="13">
        <v>46265.166828703703</v>
      </c>
      <c r="I917">
        <v>11</v>
      </c>
      <c r="J917" t="s">
        <v>264</v>
      </c>
      <c r="K917">
        <v>1</v>
      </c>
      <c r="L917">
        <v>0.01</v>
      </c>
      <c r="M917">
        <v>0.01</v>
      </c>
      <c r="N917">
        <v>1</v>
      </c>
      <c r="O917">
        <v>0.01</v>
      </c>
      <c r="P917">
        <v>2.34</v>
      </c>
      <c r="Q917">
        <v>1.42</v>
      </c>
      <c r="R917">
        <v>1.42</v>
      </c>
      <c r="S917" t="s">
        <v>256</v>
      </c>
      <c r="T917" t="s">
        <v>257</v>
      </c>
      <c r="U917">
        <v>14</v>
      </c>
      <c r="V917">
        <v>5514.92</v>
      </c>
      <c r="W917">
        <v>4999.84</v>
      </c>
      <c r="X917">
        <v>4997.66</v>
      </c>
      <c r="Y917">
        <v>0</v>
      </c>
      <c r="Z917">
        <v>0</v>
      </c>
      <c r="AA917">
        <v>35</v>
      </c>
      <c r="AB917">
        <v>50</v>
      </c>
      <c r="AC917">
        <v>5000</v>
      </c>
      <c r="AD917">
        <v>0</v>
      </c>
      <c r="AE917">
        <v>0</v>
      </c>
      <c r="AF917">
        <v>5516.15</v>
      </c>
      <c r="AG917">
        <v>5516.15</v>
      </c>
      <c r="AH917" s="14">
        <v>46265</v>
      </c>
      <c r="AI917" t="s">
        <v>272</v>
      </c>
      <c r="AJ917" s="13">
        <v>46262.99790509259</v>
      </c>
      <c r="AK917">
        <v>5509.79</v>
      </c>
      <c r="AL917" t="s">
        <v>259</v>
      </c>
      <c r="AM917" t="s">
        <v>260</v>
      </c>
      <c r="AN917">
        <v>1400</v>
      </c>
      <c r="AO917">
        <v>0</v>
      </c>
      <c r="AP917">
        <v>35</v>
      </c>
      <c r="AQ917">
        <v>85</v>
      </c>
      <c r="AR917">
        <v>35</v>
      </c>
      <c r="AS917">
        <v>2</v>
      </c>
      <c r="AT917">
        <v>23</v>
      </c>
      <c r="AU917">
        <v>1</v>
      </c>
      <c r="AV917">
        <v>0</v>
      </c>
      <c r="AW917">
        <v>10</v>
      </c>
      <c r="AX917">
        <v>1</v>
      </c>
      <c r="AY917">
        <v>5</v>
      </c>
      <c r="AZ917">
        <v>2</v>
      </c>
      <c r="BA917">
        <v>1</v>
      </c>
      <c r="BB917">
        <v>1440</v>
      </c>
      <c r="BC917">
        <v>0</v>
      </c>
      <c r="BD917">
        <v>0</v>
      </c>
      <c r="BE917">
        <v>14</v>
      </c>
      <c r="BF917">
        <v>25</v>
      </c>
      <c r="BG917">
        <v>3</v>
      </c>
      <c r="BH917">
        <v>8</v>
      </c>
      <c r="BI917">
        <v>3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0</v>
      </c>
      <c r="BQ917">
        <v>60</v>
      </c>
      <c r="BR917">
        <v>0</v>
      </c>
      <c r="BS917">
        <v>3</v>
      </c>
      <c r="BT917" t="s">
        <v>250</v>
      </c>
      <c r="BU917" t="s">
        <v>273</v>
      </c>
      <c r="BV917" t="b">
        <v>0</v>
      </c>
      <c r="BW917" t="s">
        <v>268</v>
      </c>
    </row>
    <row r="918" spans="1:75">
      <c r="A918" t="s">
        <v>250</v>
      </c>
      <c r="B918" t="s">
        <v>252</v>
      </c>
      <c r="C918">
        <v>614</v>
      </c>
      <c r="D918" t="s">
        <v>253</v>
      </c>
      <c r="E918" t="s">
        <v>254</v>
      </c>
      <c r="F918">
        <v>30</v>
      </c>
      <c r="G918" s="13">
        <v>46265.187789351854</v>
      </c>
      <c r="H918" s="13">
        <v>46265.187986111108</v>
      </c>
      <c r="I918">
        <v>17</v>
      </c>
      <c r="J918" t="s">
        <v>255</v>
      </c>
      <c r="K918">
        <v>1</v>
      </c>
      <c r="L918">
        <v>0.01</v>
      </c>
      <c r="M918">
        <v>0.01</v>
      </c>
      <c r="N918">
        <v>1</v>
      </c>
      <c r="O918">
        <v>0.01</v>
      </c>
      <c r="P918">
        <v>1.1499999999999999</v>
      </c>
      <c r="Q918">
        <v>1.0900000000000001</v>
      </c>
      <c r="R918">
        <v>0.82</v>
      </c>
      <c r="S918" t="s">
        <v>256</v>
      </c>
      <c r="T918" t="s">
        <v>257</v>
      </c>
      <c r="U918">
        <v>11</v>
      </c>
      <c r="V918">
        <v>5515.99</v>
      </c>
      <c r="W918">
        <v>4999.84</v>
      </c>
      <c r="X918">
        <v>4998.8500000000004</v>
      </c>
      <c r="Y918">
        <v>0</v>
      </c>
      <c r="Z918">
        <v>0</v>
      </c>
      <c r="AA918">
        <v>35</v>
      </c>
      <c r="AB918">
        <v>50</v>
      </c>
      <c r="AC918">
        <v>5000</v>
      </c>
      <c r="AD918">
        <v>0</v>
      </c>
      <c r="AE918">
        <v>0</v>
      </c>
      <c r="AF918">
        <v>5516.89</v>
      </c>
      <c r="AG918">
        <v>5516.89</v>
      </c>
      <c r="AH918" s="14">
        <v>46265</v>
      </c>
      <c r="AI918" t="s">
        <v>272</v>
      </c>
      <c r="AJ918" s="13">
        <v>46262.99790509259</v>
      </c>
      <c r="AK918">
        <v>5509.79</v>
      </c>
      <c r="AL918" t="s">
        <v>259</v>
      </c>
      <c r="AM918" t="s">
        <v>260</v>
      </c>
      <c r="AN918">
        <v>1400</v>
      </c>
      <c r="AO918">
        <v>0</v>
      </c>
      <c r="AP918">
        <v>35</v>
      </c>
      <c r="AQ918">
        <v>85</v>
      </c>
      <c r="AR918">
        <v>35</v>
      </c>
      <c r="AS918">
        <v>2</v>
      </c>
      <c r="AT918">
        <v>23</v>
      </c>
      <c r="AU918">
        <v>1</v>
      </c>
      <c r="AV918">
        <v>0</v>
      </c>
      <c r="AW918">
        <v>10</v>
      </c>
      <c r="AX918">
        <v>1</v>
      </c>
      <c r="AY918">
        <v>5</v>
      </c>
      <c r="AZ918">
        <v>2</v>
      </c>
      <c r="BA918">
        <v>1</v>
      </c>
      <c r="BB918">
        <v>1440</v>
      </c>
      <c r="BC918">
        <v>0</v>
      </c>
      <c r="BD918">
        <v>0</v>
      </c>
      <c r="BE918">
        <v>14</v>
      </c>
      <c r="BF918">
        <v>25</v>
      </c>
      <c r="BG918">
        <v>3</v>
      </c>
      <c r="BH918">
        <v>8</v>
      </c>
      <c r="BI918">
        <v>3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0</v>
      </c>
      <c r="BQ918">
        <v>60</v>
      </c>
      <c r="BR918">
        <v>0</v>
      </c>
      <c r="BS918">
        <v>3</v>
      </c>
      <c r="BT918" t="s">
        <v>250</v>
      </c>
      <c r="BU918" t="s">
        <v>273</v>
      </c>
      <c r="BV918" t="b">
        <v>0</v>
      </c>
      <c r="BW918" t="s">
        <v>268</v>
      </c>
    </row>
    <row r="919" spans="1:75">
      <c r="A919" t="s">
        <v>250</v>
      </c>
      <c r="B919" t="s">
        <v>252</v>
      </c>
      <c r="C919">
        <v>615</v>
      </c>
      <c r="D919" t="s">
        <v>253</v>
      </c>
      <c r="E919" t="s">
        <v>254</v>
      </c>
      <c r="F919">
        <v>30</v>
      </c>
      <c r="G919" s="13">
        <v>46265.208668981482</v>
      </c>
      <c r="H919" s="13">
        <v>46265.208773148152</v>
      </c>
      <c r="I919">
        <v>9</v>
      </c>
      <c r="J919" t="s">
        <v>264</v>
      </c>
      <c r="K919">
        <v>1</v>
      </c>
      <c r="L919">
        <v>0.01</v>
      </c>
      <c r="M919">
        <v>0.01</v>
      </c>
      <c r="N919">
        <v>1</v>
      </c>
      <c r="O919">
        <v>0.01</v>
      </c>
      <c r="P919">
        <v>0.74</v>
      </c>
      <c r="Q919">
        <v>1.61</v>
      </c>
      <c r="R919">
        <v>1.24</v>
      </c>
      <c r="S919" t="s">
        <v>256</v>
      </c>
      <c r="T919" t="s">
        <v>257</v>
      </c>
      <c r="U919">
        <v>11</v>
      </c>
      <c r="V919">
        <v>5516.87</v>
      </c>
      <c r="W919">
        <v>4999.9799999999996</v>
      </c>
      <c r="X919">
        <v>4999.26</v>
      </c>
      <c r="Y919">
        <v>0</v>
      </c>
      <c r="Z919">
        <v>0</v>
      </c>
      <c r="AA919">
        <v>35</v>
      </c>
      <c r="AB919">
        <v>50</v>
      </c>
      <c r="AC919">
        <v>5000</v>
      </c>
      <c r="AD919">
        <v>0</v>
      </c>
      <c r="AE919">
        <v>0</v>
      </c>
      <c r="AF919">
        <v>5518.15</v>
      </c>
      <c r="AG919">
        <v>5518.15</v>
      </c>
      <c r="AH919" s="14">
        <v>46265</v>
      </c>
      <c r="AI919" t="s">
        <v>272</v>
      </c>
      <c r="AJ919" s="13">
        <v>46262.99790509259</v>
      </c>
      <c r="AK919">
        <v>5509.79</v>
      </c>
      <c r="AL919" t="s">
        <v>259</v>
      </c>
      <c r="AM919" t="s">
        <v>260</v>
      </c>
      <c r="AN919">
        <v>1400</v>
      </c>
      <c r="AO919">
        <v>0</v>
      </c>
      <c r="AP919">
        <v>35</v>
      </c>
      <c r="AQ919">
        <v>85</v>
      </c>
      <c r="AR919">
        <v>35</v>
      </c>
      <c r="AS919">
        <v>2</v>
      </c>
      <c r="AT919">
        <v>23</v>
      </c>
      <c r="AU919">
        <v>1</v>
      </c>
      <c r="AV919">
        <v>0</v>
      </c>
      <c r="AW919">
        <v>10</v>
      </c>
      <c r="AX919">
        <v>1</v>
      </c>
      <c r="AY919">
        <v>5</v>
      </c>
      <c r="AZ919">
        <v>2</v>
      </c>
      <c r="BA919">
        <v>1</v>
      </c>
      <c r="BB919">
        <v>1440</v>
      </c>
      <c r="BC919">
        <v>0</v>
      </c>
      <c r="BD919">
        <v>0</v>
      </c>
      <c r="BE919">
        <v>14</v>
      </c>
      <c r="BF919">
        <v>25</v>
      </c>
      <c r="BG919">
        <v>3</v>
      </c>
      <c r="BH919">
        <v>8</v>
      </c>
      <c r="BI919">
        <v>3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0</v>
      </c>
      <c r="BQ919">
        <v>60</v>
      </c>
      <c r="BR919">
        <v>0</v>
      </c>
      <c r="BS919">
        <v>3</v>
      </c>
      <c r="BT919" t="s">
        <v>250</v>
      </c>
      <c r="BU919" t="s">
        <v>273</v>
      </c>
      <c r="BV919" t="b">
        <v>0</v>
      </c>
      <c r="BW919" t="s">
        <v>268</v>
      </c>
    </row>
    <row r="920" spans="1:75">
      <c r="A920" t="s">
        <v>250</v>
      </c>
      <c r="B920" t="s">
        <v>252</v>
      </c>
      <c r="C920">
        <v>616</v>
      </c>
      <c r="D920" t="s">
        <v>253</v>
      </c>
      <c r="E920" t="s">
        <v>254</v>
      </c>
      <c r="F920">
        <v>30</v>
      </c>
      <c r="G920" s="13">
        <v>46265.229513888888</v>
      </c>
      <c r="H920" s="13">
        <v>46265.229571759257</v>
      </c>
      <c r="I920">
        <v>5</v>
      </c>
      <c r="J920" t="s">
        <v>255</v>
      </c>
      <c r="K920">
        <v>1</v>
      </c>
      <c r="L920">
        <v>0.01</v>
      </c>
      <c r="M920">
        <v>0.01</v>
      </c>
      <c r="N920">
        <v>1</v>
      </c>
      <c r="O920">
        <v>0.01</v>
      </c>
      <c r="P920">
        <v>0.23</v>
      </c>
      <c r="Q920">
        <v>1.79</v>
      </c>
      <c r="R920">
        <v>1.79</v>
      </c>
      <c r="S920" t="s">
        <v>256</v>
      </c>
      <c r="T920" t="s">
        <v>257</v>
      </c>
      <c r="U920">
        <v>10</v>
      </c>
      <c r="V920">
        <v>5517.98</v>
      </c>
      <c r="W920">
        <v>4999.83</v>
      </c>
      <c r="X920">
        <v>4999.7700000000004</v>
      </c>
      <c r="Y920">
        <v>0</v>
      </c>
      <c r="Z920">
        <v>0</v>
      </c>
      <c r="AA920">
        <v>35</v>
      </c>
      <c r="AB920">
        <v>50</v>
      </c>
      <c r="AC920">
        <v>5000</v>
      </c>
      <c r="AD920">
        <v>0</v>
      </c>
      <c r="AE920">
        <v>0</v>
      </c>
      <c r="AF920">
        <v>5519.58</v>
      </c>
      <c r="AG920">
        <v>5519.58</v>
      </c>
      <c r="AH920" s="14">
        <v>46265</v>
      </c>
      <c r="AI920" t="s">
        <v>272</v>
      </c>
      <c r="AJ920" s="13">
        <v>46262.99790509259</v>
      </c>
      <c r="AK920">
        <v>5509.79</v>
      </c>
      <c r="AL920" t="s">
        <v>259</v>
      </c>
      <c r="AM920" t="s">
        <v>260</v>
      </c>
      <c r="AN920">
        <v>1400</v>
      </c>
      <c r="AO920">
        <v>0</v>
      </c>
      <c r="AP920">
        <v>35</v>
      </c>
      <c r="AQ920">
        <v>85</v>
      </c>
      <c r="AR920">
        <v>35</v>
      </c>
      <c r="AS920">
        <v>2</v>
      </c>
      <c r="AT920">
        <v>23</v>
      </c>
      <c r="AU920">
        <v>1</v>
      </c>
      <c r="AV920">
        <v>0</v>
      </c>
      <c r="AW920">
        <v>10</v>
      </c>
      <c r="AX920">
        <v>1</v>
      </c>
      <c r="AY920">
        <v>5</v>
      </c>
      <c r="AZ920">
        <v>2</v>
      </c>
      <c r="BA920">
        <v>1</v>
      </c>
      <c r="BB920">
        <v>1440</v>
      </c>
      <c r="BC920">
        <v>0</v>
      </c>
      <c r="BD920">
        <v>0</v>
      </c>
      <c r="BE920">
        <v>14</v>
      </c>
      <c r="BF920">
        <v>25</v>
      </c>
      <c r="BG920">
        <v>3</v>
      </c>
      <c r="BH920">
        <v>8</v>
      </c>
      <c r="BI920">
        <v>3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0</v>
      </c>
      <c r="BQ920">
        <v>60</v>
      </c>
      <c r="BR920">
        <v>0</v>
      </c>
      <c r="BS920">
        <v>3</v>
      </c>
      <c r="BT920" t="s">
        <v>250</v>
      </c>
      <c r="BU920" t="s">
        <v>273</v>
      </c>
      <c r="BV920" t="b">
        <v>0</v>
      </c>
      <c r="BW920" t="s">
        <v>268</v>
      </c>
    </row>
    <row r="921" spans="1:75">
      <c r="A921" t="s">
        <v>250</v>
      </c>
      <c r="B921" t="s">
        <v>252</v>
      </c>
      <c r="C921">
        <v>617</v>
      </c>
      <c r="D921" t="s">
        <v>253</v>
      </c>
      <c r="E921" t="s">
        <v>254</v>
      </c>
      <c r="F921">
        <v>30</v>
      </c>
      <c r="G921" s="13">
        <v>46265.251539351855</v>
      </c>
      <c r="H921" s="13">
        <v>46265.252175925925</v>
      </c>
      <c r="I921">
        <v>55</v>
      </c>
      <c r="J921" t="s">
        <v>255</v>
      </c>
      <c r="K921">
        <v>1</v>
      </c>
      <c r="L921">
        <v>0.01</v>
      </c>
      <c r="M921">
        <v>0.01</v>
      </c>
      <c r="N921">
        <v>1</v>
      </c>
      <c r="O921">
        <v>0.01</v>
      </c>
      <c r="P921">
        <v>1.77</v>
      </c>
      <c r="Q921">
        <v>1.3</v>
      </c>
      <c r="R921">
        <v>1</v>
      </c>
      <c r="S921" t="s">
        <v>256</v>
      </c>
      <c r="T921" t="s">
        <v>257</v>
      </c>
      <c r="U921">
        <v>10</v>
      </c>
      <c r="V921">
        <v>5519.42</v>
      </c>
      <c r="W921">
        <v>4999.84</v>
      </c>
      <c r="X921">
        <v>4998.2299999999996</v>
      </c>
      <c r="Y921">
        <v>0</v>
      </c>
      <c r="Z921">
        <v>0</v>
      </c>
      <c r="AA921">
        <v>35</v>
      </c>
      <c r="AB921">
        <v>50</v>
      </c>
      <c r="AC921">
        <v>5000</v>
      </c>
      <c r="AD921">
        <v>0</v>
      </c>
      <c r="AE921">
        <v>0</v>
      </c>
      <c r="AF921">
        <v>5520.53</v>
      </c>
      <c r="AG921">
        <v>5520.53</v>
      </c>
      <c r="AH921" s="14">
        <v>46265</v>
      </c>
      <c r="AI921" t="s">
        <v>272</v>
      </c>
      <c r="AJ921" s="13">
        <v>46262.99790509259</v>
      </c>
      <c r="AK921">
        <v>5509.79</v>
      </c>
      <c r="AL921" t="s">
        <v>259</v>
      </c>
      <c r="AM921" t="s">
        <v>260</v>
      </c>
      <c r="AN921">
        <v>1400</v>
      </c>
      <c r="AO921">
        <v>0</v>
      </c>
      <c r="AP921">
        <v>35</v>
      </c>
      <c r="AQ921">
        <v>85</v>
      </c>
      <c r="AR921">
        <v>35</v>
      </c>
      <c r="AS921">
        <v>2</v>
      </c>
      <c r="AT921">
        <v>23</v>
      </c>
      <c r="AU921">
        <v>1</v>
      </c>
      <c r="AV921">
        <v>0</v>
      </c>
      <c r="AW921">
        <v>10</v>
      </c>
      <c r="AX921">
        <v>1</v>
      </c>
      <c r="AY921">
        <v>5</v>
      </c>
      <c r="AZ921">
        <v>2</v>
      </c>
      <c r="BA921">
        <v>1</v>
      </c>
      <c r="BB921">
        <v>1440</v>
      </c>
      <c r="BC921">
        <v>0</v>
      </c>
      <c r="BD921">
        <v>0</v>
      </c>
      <c r="BE921">
        <v>14</v>
      </c>
      <c r="BF921">
        <v>25</v>
      </c>
      <c r="BG921">
        <v>3</v>
      </c>
      <c r="BH921">
        <v>8</v>
      </c>
      <c r="BI921">
        <v>3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0</v>
      </c>
      <c r="BQ921">
        <v>60</v>
      </c>
      <c r="BR921">
        <v>0</v>
      </c>
      <c r="BS921">
        <v>3</v>
      </c>
      <c r="BT921" t="s">
        <v>250</v>
      </c>
      <c r="BU921" t="s">
        <v>273</v>
      </c>
      <c r="BV921" t="b">
        <v>0</v>
      </c>
      <c r="BW921" t="s">
        <v>268</v>
      </c>
    </row>
    <row r="922" spans="1:75">
      <c r="A922" t="s">
        <v>250</v>
      </c>
      <c r="B922" t="s">
        <v>252</v>
      </c>
      <c r="C922">
        <v>618</v>
      </c>
      <c r="D922" t="s">
        <v>253</v>
      </c>
      <c r="E922" t="s">
        <v>254</v>
      </c>
      <c r="F922">
        <v>30</v>
      </c>
      <c r="G922" s="13">
        <v>46265.272824074076</v>
      </c>
      <c r="H922" s="13">
        <v>46265.275266203702</v>
      </c>
      <c r="I922">
        <v>211</v>
      </c>
      <c r="J922" t="s">
        <v>264</v>
      </c>
      <c r="K922">
        <v>1</v>
      </c>
      <c r="L922">
        <v>0.01</v>
      </c>
      <c r="M922">
        <v>0.01</v>
      </c>
      <c r="N922">
        <v>1</v>
      </c>
      <c r="O922">
        <v>0.01</v>
      </c>
      <c r="P922">
        <v>1.0900000000000001</v>
      </c>
      <c r="Q922">
        <v>1.93</v>
      </c>
      <c r="R922">
        <v>1.84</v>
      </c>
      <c r="S922" t="s">
        <v>256</v>
      </c>
      <c r="T922" t="s">
        <v>257</v>
      </c>
      <c r="U922">
        <v>11</v>
      </c>
      <c r="V922">
        <v>5520.37</v>
      </c>
      <c r="W922">
        <v>4999.84</v>
      </c>
      <c r="X922">
        <v>4998.91</v>
      </c>
      <c r="Y922">
        <v>0</v>
      </c>
      <c r="Z922">
        <v>0</v>
      </c>
      <c r="AA922">
        <v>35</v>
      </c>
      <c r="AB922">
        <v>50</v>
      </c>
      <c r="AC922">
        <v>5000</v>
      </c>
      <c r="AD922">
        <v>0</v>
      </c>
      <c r="AE922">
        <v>0</v>
      </c>
      <c r="AF922">
        <v>5522.11</v>
      </c>
      <c r="AG922">
        <v>5522.11</v>
      </c>
      <c r="AH922" s="14">
        <v>46265</v>
      </c>
      <c r="AI922" t="s">
        <v>272</v>
      </c>
      <c r="AJ922" s="13">
        <v>46262.99790509259</v>
      </c>
      <c r="AK922">
        <v>5509.79</v>
      </c>
      <c r="AL922" t="s">
        <v>259</v>
      </c>
      <c r="AM922" t="s">
        <v>260</v>
      </c>
      <c r="AN922">
        <v>1400</v>
      </c>
      <c r="AO922">
        <v>0</v>
      </c>
      <c r="AP922">
        <v>35</v>
      </c>
      <c r="AQ922">
        <v>85</v>
      </c>
      <c r="AR922">
        <v>35</v>
      </c>
      <c r="AS922">
        <v>2</v>
      </c>
      <c r="AT922">
        <v>23</v>
      </c>
      <c r="AU922">
        <v>1</v>
      </c>
      <c r="AV922">
        <v>0</v>
      </c>
      <c r="AW922">
        <v>10</v>
      </c>
      <c r="AX922">
        <v>1</v>
      </c>
      <c r="AY922">
        <v>5</v>
      </c>
      <c r="AZ922">
        <v>2</v>
      </c>
      <c r="BA922">
        <v>1</v>
      </c>
      <c r="BB922">
        <v>1440</v>
      </c>
      <c r="BC922">
        <v>0</v>
      </c>
      <c r="BD922">
        <v>0</v>
      </c>
      <c r="BE922">
        <v>14</v>
      </c>
      <c r="BF922">
        <v>25</v>
      </c>
      <c r="BG922">
        <v>3</v>
      </c>
      <c r="BH922">
        <v>8</v>
      </c>
      <c r="BI922">
        <v>3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0</v>
      </c>
      <c r="BQ922">
        <v>60</v>
      </c>
      <c r="BR922">
        <v>0</v>
      </c>
      <c r="BS922">
        <v>3</v>
      </c>
      <c r="BT922" t="s">
        <v>250</v>
      </c>
      <c r="BU922" t="s">
        <v>273</v>
      </c>
      <c r="BV922" t="b">
        <v>0</v>
      </c>
      <c r="BW922" t="s">
        <v>268</v>
      </c>
    </row>
    <row r="923" spans="1:75">
      <c r="A923" t="s">
        <v>250</v>
      </c>
      <c r="B923" t="s">
        <v>252</v>
      </c>
      <c r="C923">
        <v>619</v>
      </c>
      <c r="D923" t="s">
        <v>253</v>
      </c>
      <c r="E923" t="s">
        <v>254</v>
      </c>
      <c r="F923">
        <v>30</v>
      </c>
      <c r="G923" s="13">
        <v>46265.294768518521</v>
      </c>
      <c r="H923" s="13">
        <v>46265.295370370368</v>
      </c>
      <c r="I923">
        <v>52</v>
      </c>
      <c r="J923" t="s">
        <v>264</v>
      </c>
      <c r="K923">
        <v>1</v>
      </c>
      <c r="L923">
        <v>0.01</v>
      </c>
      <c r="M923">
        <v>0.01</v>
      </c>
      <c r="N923">
        <v>1</v>
      </c>
      <c r="O923">
        <v>0.01</v>
      </c>
      <c r="P923">
        <v>0.21</v>
      </c>
      <c r="Q923">
        <v>1.32</v>
      </c>
      <c r="R923">
        <v>0.99</v>
      </c>
      <c r="S923" t="s">
        <v>256</v>
      </c>
      <c r="T923" t="s">
        <v>257</v>
      </c>
      <c r="U923">
        <v>10</v>
      </c>
      <c r="V923">
        <v>5521.94</v>
      </c>
      <c r="W923">
        <v>4999.83</v>
      </c>
      <c r="X923">
        <v>4999.79</v>
      </c>
      <c r="Y923">
        <v>0</v>
      </c>
      <c r="Z923">
        <v>0</v>
      </c>
      <c r="AA923">
        <v>35</v>
      </c>
      <c r="AB923">
        <v>50</v>
      </c>
      <c r="AC923">
        <v>5000</v>
      </c>
      <c r="AD923">
        <v>0</v>
      </c>
      <c r="AE923">
        <v>0</v>
      </c>
      <c r="AF923">
        <v>5523.08</v>
      </c>
      <c r="AG923">
        <v>5523.08</v>
      </c>
      <c r="AH923" s="14">
        <v>46265</v>
      </c>
      <c r="AI923" t="s">
        <v>272</v>
      </c>
      <c r="AJ923" s="13">
        <v>46262.99790509259</v>
      </c>
      <c r="AK923">
        <v>5509.79</v>
      </c>
      <c r="AL923" t="s">
        <v>259</v>
      </c>
      <c r="AM923" t="s">
        <v>260</v>
      </c>
      <c r="AN923">
        <v>1400</v>
      </c>
      <c r="AO923">
        <v>0</v>
      </c>
      <c r="AP923">
        <v>35</v>
      </c>
      <c r="AQ923">
        <v>85</v>
      </c>
      <c r="AR923">
        <v>35</v>
      </c>
      <c r="AS923">
        <v>2</v>
      </c>
      <c r="AT923">
        <v>23</v>
      </c>
      <c r="AU923">
        <v>1</v>
      </c>
      <c r="AV923">
        <v>0</v>
      </c>
      <c r="AW923">
        <v>10</v>
      </c>
      <c r="AX923">
        <v>1</v>
      </c>
      <c r="AY923">
        <v>5</v>
      </c>
      <c r="AZ923">
        <v>2</v>
      </c>
      <c r="BA923">
        <v>1</v>
      </c>
      <c r="BB923">
        <v>1440</v>
      </c>
      <c r="BC923">
        <v>0</v>
      </c>
      <c r="BD923">
        <v>0</v>
      </c>
      <c r="BE923">
        <v>14</v>
      </c>
      <c r="BF923">
        <v>25</v>
      </c>
      <c r="BG923">
        <v>3</v>
      </c>
      <c r="BH923">
        <v>8</v>
      </c>
      <c r="BI923">
        <v>3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0</v>
      </c>
      <c r="BQ923">
        <v>60</v>
      </c>
      <c r="BR923">
        <v>0</v>
      </c>
      <c r="BS923">
        <v>3</v>
      </c>
      <c r="BT923" t="s">
        <v>250</v>
      </c>
      <c r="BU923" t="s">
        <v>273</v>
      </c>
      <c r="BV923" t="b">
        <v>0</v>
      </c>
      <c r="BW923" t="s">
        <v>268</v>
      </c>
    </row>
    <row r="924" spans="1:75">
      <c r="A924" t="s">
        <v>250</v>
      </c>
      <c r="B924" t="s">
        <v>252</v>
      </c>
      <c r="C924">
        <v>620</v>
      </c>
      <c r="D924" t="s">
        <v>253</v>
      </c>
      <c r="E924" t="s">
        <v>254</v>
      </c>
      <c r="F924">
        <v>30</v>
      </c>
      <c r="G924" s="13">
        <v>46265.31585648148</v>
      </c>
      <c r="H924" s="13">
        <v>46265.316435185188</v>
      </c>
      <c r="I924">
        <v>50</v>
      </c>
      <c r="J924" t="s">
        <v>255</v>
      </c>
      <c r="K924">
        <v>1</v>
      </c>
      <c r="L924">
        <v>0.01</v>
      </c>
      <c r="M924">
        <v>0.01</v>
      </c>
      <c r="N924">
        <v>1</v>
      </c>
      <c r="O924">
        <v>0.01</v>
      </c>
      <c r="P924">
        <v>0.65</v>
      </c>
      <c r="Q924">
        <v>1.98</v>
      </c>
      <c r="R924">
        <v>1.83</v>
      </c>
      <c r="S924" t="s">
        <v>256</v>
      </c>
      <c r="T924" t="s">
        <v>257</v>
      </c>
      <c r="U924">
        <v>11</v>
      </c>
      <c r="V924">
        <v>5522.88</v>
      </c>
      <c r="W924">
        <v>4999.8</v>
      </c>
      <c r="X924">
        <v>4999.3500000000004</v>
      </c>
      <c r="Y924">
        <v>0</v>
      </c>
      <c r="Z924">
        <v>0</v>
      </c>
      <c r="AA924">
        <v>35</v>
      </c>
      <c r="AB924">
        <v>50</v>
      </c>
      <c r="AC924">
        <v>5000</v>
      </c>
      <c r="AD924">
        <v>0</v>
      </c>
      <c r="AE924">
        <v>0</v>
      </c>
      <c r="AF924">
        <v>5524.71</v>
      </c>
      <c r="AG924">
        <v>5524.71</v>
      </c>
      <c r="AH924" s="14">
        <v>46265</v>
      </c>
      <c r="AI924" t="s">
        <v>272</v>
      </c>
      <c r="AJ924" s="13">
        <v>46262.99790509259</v>
      </c>
      <c r="AK924">
        <v>5509.79</v>
      </c>
      <c r="AL924" t="s">
        <v>259</v>
      </c>
      <c r="AM924" t="s">
        <v>260</v>
      </c>
      <c r="AN924">
        <v>1400</v>
      </c>
      <c r="AO924">
        <v>0</v>
      </c>
      <c r="AP924">
        <v>35</v>
      </c>
      <c r="AQ924">
        <v>85</v>
      </c>
      <c r="AR924">
        <v>35</v>
      </c>
      <c r="AS924">
        <v>2</v>
      </c>
      <c r="AT924">
        <v>23</v>
      </c>
      <c r="AU924">
        <v>1</v>
      </c>
      <c r="AV924">
        <v>0</v>
      </c>
      <c r="AW924">
        <v>10</v>
      </c>
      <c r="AX924">
        <v>1</v>
      </c>
      <c r="AY924">
        <v>5</v>
      </c>
      <c r="AZ924">
        <v>2</v>
      </c>
      <c r="BA924">
        <v>1</v>
      </c>
      <c r="BB924">
        <v>1440</v>
      </c>
      <c r="BC924">
        <v>0</v>
      </c>
      <c r="BD924">
        <v>0</v>
      </c>
      <c r="BE924">
        <v>14</v>
      </c>
      <c r="BF924">
        <v>25</v>
      </c>
      <c r="BG924">
        <v>3</v>
      </c>
      <c r="BH924">
        <v>8</v>
      </c>
      <c r="BI924">
        <v>3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0</v>
      </c>
      <c r="BQ924">
        <v>60</v>
      </c>
      <c r="BR924">
        <v>0</v>
      </c>
      <c r="BS924">
        <v>3</v>
      </c>
      <c r="BT924" t="s">
        <v>250</v>
      </c>
      <c r="BU924" t="s">
        <v>273</v>
      </c>
      <c r="BV924" t="b">
        <v>0</v>
      </c>
      <c r="BW924" t="s">
        <v>268</v>
      </c>
    </row>
    <row r="925" spans="1:75">
      <c r="A925" t="s">
        <v>250</v>
      </c>
      <c r="B925" t="s">
        <v>252</v>
      </c>
      <c r="C925">
        <v>621</v>
      </c>
      <c r="D925" t="s">
        <v>253</v>
      </c>
      <c r="E925" t="s">
        <v>254</v>
      </c>
      <c r="F925">
        <v>30</v>
      </c>
      <c r="G925" s="13">
        <v>46265.335231481484</v>
      </c>
      <c r="H925" s="13">
        <v>46265.3356712963</v>
      </c>
      <c r="I925">
        <v>38</v>
      </c>
      <c r="J925" t="s">
        <v>255</v>
      </c>
      <c r="K925">
        <v>1</v>
      </c>
      <c r="L925">
        <v>0.01</v>
      </c>
      <c r="M925">
        <v>0.01</v>
      </c>
      <c r="N925">
        <v>1</v>
      </c>
      <c r="O925">
        <v>0.01</v>
      </c>
      <c r="P925">
        <v>0.74</v>
      </c>
      <c r="Q925">
        <v>1.1499999999999999</v>
      </c>
      <c r="R925">
        <v>1.1000000000000001</v>
      </c>
      <c r="S925" t="s">
        <v>256</v>
      </c>
      <c r="T925" t="s">
        <v>257</v>
      </c>
      <c r="U925">
        <v>11</v>
      </c>
      <c r="V925">
        <v>5524.55</v>
      </c>
      <c r="W925">
        <v>4999.84</v>
      </c>
      <c r="X925">
        <v>4999.26</v>
      </c>
      <c r="Y925">
        <v>0</v>
      </c>
      <c r="Z925">
        <v>0</v>
      </c>
      <c r="AA925">
        <v>35</v>
      </c>
      <c r="AB925">
        <v>50</v>
      </c>
      <c r="AC925">
        <v>5000</v>
      </c>
      <c r="AD925">
        <v>0</v>
      </c>
      <c r="AE925">
        <v>0</v>
      </c>
      <c r="AF925">
        <v>5525.53</v>
      </c>
      <c r="AG925">
        <v>5525.53</v>
      </c>
      <c r="AH925" s="14">
        <v>46265</v>
      </c>
      <c r="AI925" t="s">
        <v>272</v>
      </c>
      <c r="AJ925" s="13">
        <v>46262.99790509259</v>
      </c>
      <c r="AK925">
        <v>5509.79</v>
      </c>
      <c r="AL925" t="s">
        <v>259</v>
      </c>
      <c r="AM925" t="s">
        <v>260</v>
      </c>
      <c r="AN925">
        <v>1400</v>
      </c>
      <c r="AO925">
        <v>0</v>
      </c>
      <c r="AP925">
        <v>35</v>
      </c>
      <c r="AQ925">
        <v>85</v>
      </c>
      <c r="AR925">
        <v>35</v>
      </c>
      <c r="AS925">
        <v>2</v>
      </c>
      <c r="AT925">
        <v>23</v>
      </c>
      <c r="AU925">
        <v>1</v>
      </c>
      <c r="AV925">
        <v>0</v>
      </c>
      <c r="AW925">
        <v>10</v>
      </c>
      <c r="AX925">
        <v>1</v>
      </c>
      <c r="AY925">
        <v>5</v>
      </c>
      <c r="AZ925">
        <v>2</v>
      </c>
      <c r="BA925">
        <v>1</v>
      </c>
      <c r="BB925">
        <v>1440</v>
      </c>
      <c r="BC925">
        <v>0</v>
      </c>
      <c r="BD925">
        <v>0</v>
      </c>
      <c r="BE925">
        <v>14</v>
      </c>
      <c r="BF925">
        <v>25</v>
      </c>
      <c r="BG925">
        <v>3</v>
      </c>
      <c r="BH925">
        <v>8</v>
      </c>
      <c r="BI925">
        <v>3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0</v>
      </c>
      <c r="BQ925">
        <v>60</v>
      </c>
      <c r="BR925">
        <v>0</v>
      </c>
      <c r="BS925">
        <v>3</v>
      </c>
      <c r="BT925" t="s">
        <v>250</v>
      </c>
      <c r="BU925" t="s">
        <v>273</v>
      </c>
      <c r="BV925" t="b">
        <v>0</v>
      </c>
      <c r="BW925" t="s">
        <v>268</v>
      </c>
    </row>
    <row r="926" spans="1:75">
      <c r="A926" t="s">
        <v>250</v>
      </c>
      <c r="B926" t="s">
        <v>252</v>
      </c>
      <c r="C926">
        <v>622</v>
      </c>
      <c r="D926" t="s">
        <v>253</v>
      </c>
      <c r="E926" t="s">
        <v>254</v>
      </c>
      <c r="F926">
        <v>30</v>
      </c>
      <c r="G926" s="13">
        <v>46265.35423611111</v>
      </c>
      <c r="H926" s="13">
        <v>46265.35429398148</v>
      </c>
      <c r="I926">
        <v>5</v>
      </c>
      <c r="J926" t="s">
        <v>264</v>
      </c>
      <c r="K926">
        <v>1</v>
      </c>
      <c r="L926">
        <v>0.01</v>
      </c>
      <c r="M926">
        <v>0.01</v>
      </c>
      <c r="N926">
        <v>1</v>
      </c>
      <c r="O926">
        <v>0.01</v>
      </c>
      <c r="P926">
        <v>0</v>
      </c>
      <c r="Q926">
        <v>1.54</v>
      </c>
      <c r="R926">
        <v>1.54</v>
      </c>
      <c r="S926" t="s">
        <v>256</v>
      </c>
      <c r="T926" t="s">
        <v>274</v>
      </c>
      <c r="U926">
        <v>14</v>
      </c>
      <c r="V926">
        <v>5525.59</v>
      </c>
      <c r="W926">
        <v>5000.0600000000004</v>
      </c>
      <c r="X926">
        <v>5000.0600000000004</v>
      </c>
      <c r="Y926">
        <v>0</v>
      </c>
      <c r="Z926">
        <v>0</v>
      </c>
      <c r="AA926">
        <v>35</v>
      </c>
      <c r="AB926">
        <v>50</v>
      </c>
      <c r="AC926">
        <v>5000</v>
      </c>
      <c r="AD926">
        <v>0</v>
      </c>
      <c r="AE926">
        <v>0</v>
      </c>
      <c r="AF926">
        <v>5526.72</v>
      </c>
      <c r="AG926">
        <v>5526.72</v>
      </c>
      <c r="AH926" s="14">
        <v>46265</v>
      </c>
      <c r="AI926" t="s">
        <v>272</v>
      </c>
      <c r="AJ926" s="13">
        <v>46262.99790509259</v>
      </c>
      <c r="AK926">
        <v>5509.79</v>
      </c>
      <c r="AL926" t="s">
        <v>259</v>
      </c>
      <c r="AM926" t="s">
        <v>260</v>
      </c>
      <c r="AN926">
        <v>1400</v>
      </c>
      <c r="AO926">
        <v>0</v>
      </c>
      <c r="AP926">
        <v>35</v>
      </c>
      <c r="AQ926">
        <v>85</v>
      </c>
      <c r="AR926">
        <v>35</v>
      </c>
      <c r="AS926">
        <v>2</v>
      </c>
      <c r="AT926">
        <v>23</v>
      </c>
      <c r="AU926">
        <v>1</v>
      </c>
      <c r="AV926">
        <v>0</v>
      </c>
      <c r="AW926">
        <v>10</v>
      </c>
      <c r="AX926">
        <v>1</v>
      </c>
      <c r="AY926">
        <v>5</v>
      </c>
      <c r="AZ926">
        <v>2</v>
      </c>
      <c r="BA926">
        <v>1</v>
      </c>
      <c r="BB926">
        <v>1440</v>
      </c>
      <c r="BC926">
        <v>0</v>
      </c>
      <c r="BD926">
        <v>0</v>
      </c>
      <c r="BE926">
        <v>14</v>
      </c>
      <c r="BF926">
        <v>25</v>
      </c>
      <c r="BG926">
        <v>3</v>
      </c>
      <c r="BH926">
        <v>8</v>
      </c>
      <c r="BI926">
        <v>3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0</v>
      </c>
      <c r="BQ926">
        <v>60</v>
      </c>
      <c r="BR926">
        <v>0</v>
      </c>
      <c r="BS926">
        <v>3</v>
      </c>
      <c r="BT926" t="s">
        <v>250</v>
      </c>
      <c r="BU926" t="s">
        <v>273</v>
      </c>
      <c r="BV926" t="b">
        <v>0</v>
      </c>
      <c r="BW926" t="s">
        <v>268</v>
      </c>
    </row>
    <row r="927" spans="1:75">
      <c r="A927" t="s">
        <v>250</v>
      </c>
      <c r="B927" t="s">
        <v>252</v>
      </c>
      <c r="C927">
        <v>623</v>
      </c>
      <c r="D927" t="s">
        <v>253</v>
      </c>
      <c r="E927" t="s">
        <v>254</v>
      </c>
      <c r="F927">
        <v>30</v>
      </c>
      <c r="G927" s="13">
        <v>46265.375057870369</v>
      </c>
      <c r="H927" s="13">
        <v>46265.375104166669</v>
      </c>
      <c r="I927">
        <v>4</v>
      </c>
      <c r="J927" t="s">
        <v>264</v>
      </c>
      <c r="K927">
        <v>1</v>
      </c>
      <c r="L927">
        <v>0.01</v>
      </c>
      <c r="M927">
        <v>0.01</v>
      </c>
      <c r="N927">
        <v>1</v>
      </c>
      <c r="O927">
        <v>0.01</v>
      </c>
      <c r="P927">
        <v>0.16</v>
      </c>
      <c r="Q927">
        <v>2.33</v>
      </c>
      <c r="R927">
        <v>2.27</v>
      </c>
      <c r="S927" t="s">
        <v>256</v>
      </c>
      <c r="T927" t="s">
        <v>257</v>
      </c>
      <c r="U927">
        <v>10</v>
      </c>
      <c r="V927">
        <v>5526.56</v>
      </c>
      <c r="W927">
        <v>4999.84</v>
      </c>
      <c r="X927">
        <v>4999.84</v>
      </c>
      <c r="Y927">
        <v>0</v>
      </c>
      <c r="Z927">
        <v>0</v>
      </c>
      <c r="AA927">
        <v>35</v>
      </c>
      <c r="AB927">
        <v>50</v>
      </c>
      <c r="AC927">
        <v>5000</v>
      </c>
      <c r="AD927">
        <v>0</v>
      </c>
      <c r="AE927">
        <v>0</v>
      </c>
      <c r="AF927">
        <v>5528.7</v>
      </c>
      <c r="AG927">
        <v>5528.7</v>
      </c>
      <c r="AH927" s="14">
        <v>46265</v>
      </c>
      <c r="AI927" t="s">
        <v>272</v>
      </c>
      <c r="AJ927" s="13">
        <v>46262.99790509259</v>
      </c>
      <c r="AK927">
        <v>5509.79</v>
      </c>
      <c r="AL927" t="s">
        <v>259</v>
      </c>
      <c r="AM927" t="s">
        <v>260</v>
      </c>
      <c r="AN927">
        <v>1400</v>
      </c>
      <c r="AO927">
        <v>0</v>
      </c>
      <c r="AP927">
        <v>35</v>
      </c>
      <c r="AQ927">
        <v>85</v>
      </c>
      <c r="AR927">
        <v>35</v>
      </c>
      <c r="AS927">
        <v>2</v>
      </c>
      <c r="AT927">
        <v>23</v>
      </c>
      <c r="AU927">
        <v>1</v>
      </c>
      <c r="AV927">
        <v>0</v>
      </c>
      <c r="AW927">
        <v>10</v>
      </c>
      <c r="AX927">
        <v>1</v>
      </c>
      <c r="AY927">
        <v>5</v>
      </c>
      <c r="AZ927">
        <v>2</v>
      </c>
      <c r="BA927">
        <v>1</v>
      </c>
      <c r="BB927">
        <v>1440</v>
      </c>
      <c r="BC927">
        <v>0</v>
      </c>
      <c r="BD927">
        <v>0</v>
      </c>
      <c r="BE927">
        <v>14</v>
      </c>
      <c r="BF927">
        <v>25</v>
      </c>
      <c r="BG927">
        <v>3</v>
      </c>
      <c r="BH927">
        <v>8</v>
      </c>
      <c r="BI927">
        <v>3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0</v>
      </c>
      <c r="BQ927">
        <v>60</v>
      </c>
      <c r="BR927">
        <v>0</v>
      </c>
      <c r="BS927">
        <v>3</v>
      </c>
      <c r="BT927" t="s">
        <v>250</v>
      </c>
      <c r="BU927" t="s">
        <v>273</v>
      </c>
      <c r="BV927" t="b">
        <v>0</v>
      </c>
      <c r="BW927" t="s">
        <v>268</v>
      </c>
    </row>
    <row r="928" spans="1:75">
      <c r="A928" t="s">
        <v>250</v>
      </c>
      <c r="B928" t="s">
        <v>252</v>
      </c>
      <c r="C928">
        <v>624</v>
      </c>
      <c r="D928" t="s">
        <v>253</v>
      </c>
      <c r="E928" t="s">
        <v>254</v>
      </c>
      <c r="F928">
        <v>30</v>
      </c>
      <c r="G928" s="13">
        <v>46265.396134259259</v>
      </c>
      <c r="H928" s="13">
        <v>46265.397303240738</v>
      </c>
      <c r="I928">
        <v>101</v>
      </c>
      <c r="J928" t="s">
        <v>264</v>
      </c>
      <c r="K928">
        <v>1</v>
      </c>
      <c r="L928">
        <v>0.01</v>
      </c>
      <c r="M928">
        <v>0.01</v>
      </c>
      <c r="N928">
        <v>1</v>
      </c>
      <c r="O928">
        <v>0.01</v>
      </c>
      <c r="P928">
        <v>2.4500000000000002</v>
      </c>
      <c r="Q928">
        <v>1.03</v>
      </c>
      <c r="R928">
        <v>0.74</v>
      </c>
      <c r="S928" t="s">
        <v>256</v>
      </c>
      <c r="T928" t="s">
        <v>257</v>
      </c>
      <c r="U928">
        <v>10</v>
      </c>
      <c r="V928">
        <v>5528.54</v>
      </c>
      <c r="W928">
        <v>4999.84</v>
      </c>
      <c r="X928">
        <v>4997.55</v>
      </c>
      <c r="Y928">
        <v>0</v>
      </c>
      <c r="Z928">
        <v>0</v>
      </c>
      <c r="AA928">
        <v>35</v>
      </c>
      <c r="AB928">
        <v>50</v>
      </c>
      <c r="AC928">
        <v>5000</v>
      </c>
      <c r="AD928">
        <v>0</v>
      </c>
      <c r="AE928">
        <v>0</v>
      </c>
      <c r="AF928">
        <v>5529.37</v>
      </c>
      <c r="AG928">
        <v>5529.37</v>
      </c>
      <c r="AH928" s="14">
        <v>46265</v>
      </c>
      <c r="AI928" t="s">
        <v>272</v>
      </c>
      <c r="AJ928" s="13">
        <v>46262.99790509259</v>
      </c>
      <c r="AK928">
        <v>5509.79</v>
      </c>
      <c r="AL928" t="s">
        <v>259</v>
      </c>
      <c r="AM928" t="s">
        <v>260</v>
      </c>
      <c r="AN928">
        <v>1400</v>
      </c>
      <c r="AO928">
        <v>0</v>
      </c>
      <c r="AP928">
        <v>35</v>
      </c>
      <c r="AQ928">
        <v>85</v>
      </c>
      <c r="AR928">
        <v>35</v>
      </c>
      <c r="AS928">
        <v>2</v>
      </c>
      <c r="AT928">
        <v>23</v>
      </c>
      <c r="AU928">
        <v>1</v>
      </c>
      <c r="AV928">
        <v>0</v>
      </c>
      <c r="AW928">
        <v>10</v>
      </c>
      <c r="AX928">
        <v>1</v>
      </c>
      <c r="AY928">
        <v>5</v>
      </c>
      <c r="AZ928">
        <v>2</v>
      </c>
      <c r="BA928">
        <v>1</v>
      </c>
      <c r="BB928">
        <v>1440</v>
      </c>
      <c r="BC928">
        <v>0</v>
      </c>
      <c r="BD928">
        <v>0</v>
      </c>
      <c r="BE928">
        <v>14</v>
      </c>
      <c r="BF928">
        <v>25</v>
      </c>
      <c r="BG928">
        <v>3</v>
      </c>
      <c r="BH928">
        <v>8</v>
      </c>
      <c r="BI928">
        <v>3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0</v>
      </c>
      <c r="BQ928">
        <v>60</v>
      </c>
      <c r="BR928">
        <v>0</v>
      </c>
      <c r="BS928">
        <v>3</v>
      </c>
      <c r="BT928" t="s">
        <v>250</v>
      </c>
      <c r="BU928" t="s">
        <v>273</v>
      </c>
      <c r="BV928" t="b">
        <v>0</v>
      </c>
      <c r="BW928" t="s">
        <v>268</v>
      </c>
    </row>
    <row r="929" spans="1:75">
      <c r="A929" t="s">
        <v>250</v>
      </c>
      <c r="B929" t="s">
        <v>252</v>
      </c>
      <c r="C929">
        <v>625</v>
      </c>
      <c r="D929" t="s">
        <v>253</v>
      </c>
      <c r="E929" t="s">
        <v>254</v>
      </c>
      <c r="F929">
        <v>30</v>
      </c>
      <c r="G929" s="13">
        <v>46265.419247685182</v>
      </c>
      <c r="H929" s="13">
        <v>46265.420300925929</v>
      </c>
      <c r="I929">
        <v>91</v>
      </c>
      <c r="J929" t="s">
        <v>255</v>
      </c>
      <c r="K929">
        <v>1</v>
      </c>
      <c r="L929">
        <v>0.01</v>
      </c>
      <c r="M929">
        <v>0.01</v>
      </c>
      <c r="N929">
        <v>1</v>
      </c>
      <c r="O929">
        <v>0.01</v>
      </c>
      <c r="P929">
        <v>1.79</v>
      </c>
      <c r="Q929">
        <v>1.21</v>
      </c>
      <c r="R929">
        <v>0.87</v>
      </c>
      <c r="S929" t="s">
        <v>256</v>
      </c>
      <c r="T929" t="s">
        <v>257</v>
      </c>
      <c r="U929">
        <v>11</v>
      </c>
      <c r="V929">
        <v>5529.2</v>
      </c>
      <c r="W929">
        <v>4999.83</v>
      </c>
      <c r="X929">
        <v>4998.21</v>
      </c>
      <c r="Y929">
        <v>0</v>
      </c>
      <c r="Z929">
        <v>0</v>
      </c>
      <c r="AA929">
        <v>35</v>
      </c>
      <c r="AB929">
        <v>50</v>
      </c>
      <c r="AC929">
        <v>5000</v>
      </c>
      <c r="AD929">
        <v>0</v>
      </c>
      <c r="AE929">
        <v>0</v>
      </c>
      <c r="AF929">
        <v>5530.23</v>
      </c>
      <c r="AG929">
        <v>5530.23</v>
      </c>
      <c r="AH929" s="14">
        <v>46265</v>
      </c>
      <c r="AI929" t="s">
        <v>272</v>
      </c>
      <c r="AJ929" s="13">
        <v>46262.99790509259</v>
      </c>
      <c r="AK929">
        <v>5509.79</v>
      </c>
      <c r="AL929" t="s">
        <v>259</v>
      </c>
      <c r="AM929" t="s">
        <v>260</v>
      </c>
      <c r="AN929">
        <v>1400</v>
      </c>
      <c r="AO929">
        <v>0</v>
      </c>
      <c r="AP929">
        <v>35</v>
      </c>
      <c r="AQ929">
        <v>85</v>
      </c>
      <c r="AR929">
        <v>35</v>
      </c>
      <c r="AS929">
        <v>2</v>
      </c>
      <c r="AT929">
        <v>23</v>
      </c>
      <c r="AU929">
        <v>1</v>
      </c>
      <c r="AV929">
        <v>0</v>
      </c>
      <c r="AW929">
        <v>10</v>
      </c>
      <c r="AX929">
        <v>1</v>
      </c>
      <c r="AY929">
        <v>5</v>
      </c>
      <c r="AZ929">
        <v>2</v>
      </c>
      <c r="BA929">
        <v>1</v>
      </c>
      <c r="BB929">
        <v>1440</v>
      </c>
      <c r="BC929">
        <v>0</v>
      </c>
      <c r="BD929">
        <v>0</v>
      </c>
      <c r="BE929">
        <v>14</v>
      </c>
      <c r="BF929">
        <v>25</v>
      </c>
      <c r="BG929">
        <v>3</v>
      </c>
      <c r="BH929">
        <v>8</v>
      </c>
      <c r="BI929">
        <v>3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0</v>
      </c>
      <c r="BQ929">
        <v>60</v>
      </c>
      <c r="BR929">
        <v>0</v>
      </c>
      <c r="BS929">
        <v>3</v>
      </c>
      <c r="BT929" t="s">
        <v>250</v>
      </c>
      <c r="BU929" t="s">
        <v>273</v>
      </c>
      <c r="BV929" t="b">
        <v>0</v>
      </c>
      <c r="BW929" t="s">
        <v>268</v>
      </c>
    </row>
    <row r="930" spans="1:75">
      <c r="A930" t="s">
        <v>250</v>
      </c>
      <c r="B930" t="s">
        <v>252</v>
      </c>
      <c r="C930">
        <v>626</v>
      </c>
      <c r="D930" t="s">
        <v>253</v>
      </c>
      <c r="E930" t="s">
        <v>254</v>
      </c>
      <c r="F930">
        <v>30</v>
      </c>
      <c r="G930" s="13">
        <v>46265.44023148148</v>
      </c>
      <c r="H930" s="13">
        <v>46265.440428240741</v>
      </c>
      <c r="I930">
        <v>17</v>
      </c>
      <c r="J930" t="s">
        <v>264</v>
      </c>
      <c r="K930">
        <v>1</v>
      </c>
      <c r="L930">
        <v>0.01</v>
      </c>
      <c r="M930">
        <v>0.01</v>
      </c>
      <c r="N930">
        <v>1</v>
      </c>
      <c r="O930">
        <v>0.01</v>
      </c>
      <c r="P930">
        <v>0.32</v>
      </c>
      <c r="Q930">
        <v>1.7</v>
      </c>
      <c r="R930">
        <v>1.41</v>
      </c>
      <c r="S930" t="s">
        <v>256</v>
      </c>
      <c r="T930" t="s">
        <v>257</v>
      </c>
      <c r="U930">
        <v>10</v>
      </c>
      <c r="V930">
        <v>5530.07</v>
      </c>
      <c r="W930">
        <v>4999.84</v>
      </c>
      <c r="X930">
        <v>4999.68</v>
      </c>
      <c r="Y930">
        <v>0</v>
      </c>
      <c r="Z930">
        <v>0</v>
      </c>
      <c r="AA930">
        <v>35</v>
      </c>
      <c r="AB930">
        <v>50</v>
      </c>
      <c r="AC930">
        <v>5000</v>
      </c>
      <c r="AD930">
        <v>0</v>
      </c>
      <c r="AE930">
        <v>0</v>
      </c>
      <c r="AF930">
        <v>5531.57</v>
      </c>
      <c r="AG930">
        <v>5531.57</v>
      </c>
      <c r="AH930" s="14">
        <v>46265</v>
      </c>
      <c r="AI930" t="s">
        <v>272</v>
      </c>
      <c r="AJ930" s="13">
        <v>46262.99790509259</v>
      </c>
      <c r="AK930">
        <v>5509.79</v>
      </c>
      <c r="AL930" t="s">
        <v>259</v>
      </c>
      <c r="AM930" t="s">
        <v>260</v>
      </c>
      <c r="AN930">
        <v>1400</v>
      </c>
      <c r="AO930">
        <v>0</v>
      </c>
      <c r="AP930">
        <v>35</v>
      </c>
      <c r="AQ930">
        <v>85</v>
      </c>
      <c r="AR930">
        <v>35</v>
      </c>
      <c r="AS930">
        <v>2</v>
      </c>
      <c r="AT930">
        <v>23</v>
      </c>
      <c r="AU930">
        <v>1</v>
      </c>
      <c r="AV930">
        <v>0</v>
      </c>
      <c r="AW930">
        <v>10</v>
      </c>
      <c r="AX930">
        <v>1</v>
      </c>
      <c r="AY930">
        <v>5</v>
      </c>
      <c r="AZ930">
        <v>2</v>
      </c>
      <c r="BA930">
        <v>1</v>
      </c>
      <c r="BB930">
        <v>1440</v>
      </c>
      <c r="BC930">
        <v>0</v>
      </c>
      <c r="BD930">
        <v>0</v>
      </c>
      <c r="BE930">
        <v>14</v>
      </c>
      <c r="BF930">
        <v>25</v>
      </c>
      <c r="BG930">
        <v>3</v>
      </c>
      <c r="BH930">
        <v>8</v>
      </c>
      <c r="BI930">
        <v>3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0</v>
      </c>
      <c r="BQ930">
        <v>60</v>
      </c>
      <c r="BR930">
        <v>0</v>
      </c>
      <c r="BS930">
        <v>3</v>
      </c>
      <c r="BT930" t="s">
        <v>250</v>
      </c>
      <c r="BU930" t="s">
        <v>273</v>
      </c>
      <c r="BV930" t="b">
        <v>0</v>
      </c>
      <c r="BW930" t="s">
        <v>268</v>
      </c>
    </row>
    <row r="931" spans="1:75">
      <c r="A931" t="s">
        <v>250</v>
      </c>
      <c r="B931" t="s">
        <v>252</v>
      </c>
      <c r="C931">
        <v>627</v>
      </c>
      <c r="D931" t="s">
        <v>253</v>
      </c>
      <c r="E931" t="s">
        <v>254</v>
      </c>
      <c r="F931">
        <v>30</v>
      </c>
      <c r="G931" s="13">
        <v>46265.458645833336</v>
      </c>
      <c r="H931" s="13">
        <v>46265.458761574075</v>
      </c>
      <c r="I931">
        <v>10</v>
      </c>
      <c r="J931" t="s">
        <v>255</v>
      </c>
      <c r="K931">
        <v>1</v>
      </c>
      <c r="L931">
        <v>0.01</v>
      </c>
      <c r="M931">
        <v>0.01</v>
      </c>
      <c r="N931">
        <v>1</v>
      </c>
      <c r="O931">
        <v>0.01</v>
      </c>
      <c r="P931">
        <v>0.31</v>
      </c>
      <c r="Q931">
        <v>0.9</v>
      </c>
      <c r="R931">
        <v>0.65</v>
      </c>
      <c r="S931" t="s">
        <v>256</v>
      </c>
      <c r="T931" t="s">
        <v>257</v>
      </c>
      <c r="U931">
        <v>10</v>
      </c>
      <c r="V931">
        <v>5531.41</v>
      </c>
      <c r="W931">
        <v>4999.84</v>
      </c>
      <c r="X931">
        <v>4999.6899999999996</v>
      </c>
      <c r="Y931">
        <v>0</v>
      </c>
      <c r="Z931">
        <v>0</v>
      </c>
      <c r="AA931">
        <v>35</v>
      </c>
      <c r="AB931">
        <v>50</v>
      </c>
      <c r="AC931">
        <v>5000</v>
      </c>
      <c r="AD931">
        <v>0</v>
      </c>
      <c r="AE931">
        <v>0</v>
      </c>
      <c r="AF931">
        <v>5532.12</v>
      </c>
      <c r="AG931">
        <v>5532.12</v>
      </c>
      <c r="AH931" s="14">
        <v>46265</v>
      </c>
      <c r="AI931" t="s">
        <v>272</v>
      </c>
      <c r="AJ931" s="13">
        <v>46262.99790509259</v>
      </c>
      <c r="AK931">
        <v>5509.79</v>
      </c>
      <c r="AL931" t="s">
        <v>259</v>
      </c>
      <c r="AM931" t="s">
        <v>260</v>
      </c>
      <c r="AN931">
        <v>1400</v>
      </c>
      <c r="AO931">
        <v>0</v>
      </c>
      <c r="AP931">
        <v>35</v>
      </c>
      <c r="AQ931">
        <v>85</v>
      </c>
      <c r="AR931">
        <v>35</v>
      </c>
      <c r="AS931">
        <v>2</v>
      </c>
      <c r="AT931">
        <v>23</v>
      </c>
      <c r="AU931">
        <v>1</v>
      </c>
      <c r="AV931">
        <v>0</v>
      </c>
      <c r="AW931">
        <v>10</v>
      </c>
      <c r="AX931">
        <v>1</v>
      </c>
      <c r="AY931">
        <v>5</v>
      </c>
      <c r="AZ931">
        <v>2</v>
      </c>
      <c r="BA931">
        <v>1</v>
      </c>
      <c r="BB931">
        <v>1440</v>
      </c>
      <c r="BC931">
        <v>0</v>
      </c>
      <c r="BD931">
        <v>0</v>
      </c>
      <c r="BE931">
        <v>14</v>
      </c>
      <c r="BF931">
        <v>25</v>
      </c>
      <c r="BG931">
        <v>3</v>
      </c>
      <c r="BH931">
        <v>8</v>
      </c>
      <c r="BI931">
        <v>3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0</v>
      </c>
      <c r="BQ931">
        <v>60</v>
      </c>
      <c r="BR931">
        <v>0</v>
      </c>
      <c r="BS931">
        <v>3</v>
      </c>
      <c r="BT931" t="s">
        <v>250</v>
      </c>
      <c r="BU931" t="s">
        <v>273</v>
      </c>
      <c r="BV931" t="b">
        <v>0</v>
      </c>
      <c r="BW931" t="s">
        <v>268</v>
      </c>
    </row>
    <row r="932" spans="1:75">
      <c r="A932" t="s">
        <v>250</v>
      </c>
      <c r="B932" t="s">
        <v>252</v>
      </c>
      <c r="C932">
        <v>628</v>
      </c>
      <c r="D932" t="s">
        <v>253</v>
      </c>
      <c r="E932" t="s">
        <v>254</v>
      </c>
      <c r="F932">
        <v>30</v>
      </c>
      <c r="G932" s="13">
        <v>46265.481770833336</v>
      </c>
      <c r="H932" s="13">
        <v>46265.483182870368</v>
      </c>
      <c r="I932">
        <v>122</v>
      </c>
      <c r="J932" t="s">
        <v>264</v>
      </c>
      <c r="K932">
        <v>1</v>
      </c>
      <c r="L932">
        <v>0.01</v>
      </c>
      <c r="M932">
        <v>0.01</v>
      </c>
      <c r="N932">
        <v>1</v>
      </c>
      <c r="O932">
        <v>0.01</v>
      </c>
      <c r="P932">
        <v>0.84</v>
      </c>
      <c r="Q932">
        <v>1.1299999999999999</v>
      </c>
      <c r="R932">
        <v>0.8</v>
      </c>
      <c r="S932" t="s">
        <v>256</v>
      </c>
      <c r="T932" t="s">
        <v>257</v>
      </c>
      <c r="U932">
        <v>10</v>
      </c>
      <c r="V932">
        <v>5531.95</v>
      </c>
      <c r="W932">
        <v>4999.83</v>
      </c>
      <c r="X932">
        <v>4999.16</v>
      </c>
      <c r="Y932">
        <v>0</v>
      </c>
      <c r="Z932">
        <v>0</v>
      </c>
      <c r="AA932">
        <v>35</v>
      </c>
      <c r="AB932">
        <v>50</v>
      </c>
      <c r="AC932">
        <v>5000</v>
      </c>
      <c r="AD932">
        <v>0</v>
      </c>
      <c r="AE932">
        <v>0</v>
      </c>
      <c r="AF932">
        <v>5532.88</v>
      </c>
      <c r="AG932">
        <v>5532.88</v>
      </c>
      <c r="AH932" s="14">
        <v>46265</v>
      </c>
      <c r="AI932" t="s">
        <v>272</v>
      </c>
      <c r="AJ932" s="13">
        <v>46262.99790509259</v>
      </c>
      <c r="AK932">
        <v>5509.79</v>
      </c>
      <c r="AL932" t="s">
        <v>259</v>
      </c>
      <c r="AM932" t="s">
        <v>260</v>
      </c>
      <c r="AN932">
        <v>1400</v>
      </c>
      <c r="AO932">
        <v>0</v>
      </c>
      <c r="AP932">
        <v>35</v>
      </c>
      <c r="AQ932">
        <v>85</v>
      </c>
      <c r="AR932">
        <v>35</v>
      </c>
      <c r="AS932">
        <v>2</v>
      </c>
      <c r="AT932">
        <v>23</v>
      </c>
      <c r="AU932">
        <v>1</v>
      </c>
      <c r="AV932">
        <v>0</v>
      </c>
      <c r="AW932">
        <v>10</v>
      </c>
      <c r="AX932">
        <v>1</v>
      </c>
      <c r="AY932">
        <v>5</v>
      </c>
      <c r="AZ932">
        <v>2</v>
      </c>
      <c r="BA932">
        <v>1</v>
      </c>
      <c r="BB932">
        <v>1440</v>
      </c>
      <c r="BC932">
        <v>0</v>
      </c>
      <c r="BD932">
        <v>0</v>
      </c>
      <c r="BE932">
        <v>14</v>
      </c>
      <c r="BF932">
        <v>25</v>
      </c>
      <c r="BG932">
        <v>3</v>
      </c>
      <c r="BH932">
        <v>8</v>
      </c>
      <c r="BI932">
        <v>3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0</v>
      </c>
      <c r="BQ932">
        <v>60</v>
      </c>
      <c r="BR932">
        <v>0</v>
      </c>
      <c r="BS932">
        <v>3</v>
      </c>
      <c r="BT932" t="s">
        <v>250</v>
      </c>
      <c r="BU932" t="s">
        <v>273</v>
      </c>
      <c r="BV932" t="b">
        <v>0</v>
      </c>
      <c r="BW932" t="s">
        <v>268</v>
      </c>
    </row>
    <row r="933" spans="1:75">
      <c r="A933" t="s">
        <v>250</v>
      </c>
      <c r="B933" t="s">
        <v>252</v>
      </c>
      <c r="C933">
        <v>629</v>
      </c>
      <c r="D933" t="s">
        <v>253</v>
      </c>
      <c r="E933" t="s">
        <v>254</v>
      </c>
      <c r="F933">
        <v>30</v>
      </c>
      <c r="G933" s="13">
        <v>46265.503472222219</v>
      </c>
      <c r="H933" s="13">
        <v>46265.504004629627</v>
      </c>
      <c r="I933">
        <v>46</v>
      </c>
      <c r="J933" t="s">
        <v>255</v>
      </c>
      <c r="K933">
        <v>1</v>
      </c>
      <c r="L933">
        <v>0.01</v>
      </c>
      <c r="M933">
        <v>0.01</v>
      </c>
      <c r="N933">
        <v>1</v>
      </c>
      <c r="O933">
        <v>0.01</v>
      </c>
      <c r="P933">
        <v>0.37</v>
      </c>
      <c r="Q933">
        <v>2.02</v>
      </c>
      <c r="R933">
        <v>1.67</v>
      </c>
      <c r="S933" t="s">
        <v>256</v>
      </c>
      <c r="T933" t="s">
        <v>257</v>
      </c>
      <c r="U933">
        <v>11</v>
      </c>
      <c r="V933">
        <v>5532.72</v>
      </c>
      <c r="W933">
        <v>4999.84</v>
      </c>
      <c r="X933">
        <v>4999.63</v>
      </c>
      <c r="Y933">
        <v>0</v>
      </c>
      <c r="Z933">
        <v>0</v>
      </c>
      <c r="AA933">
        <v>35</v>
      </c>
      <c r="AB933">
        <v>50</v>
      </c>
      <c r="AC933">
        <v>5000</v>
      </c>
      <c r="AD933">
        <v>0</v>
      </c>
      <c r="AE933">
        <v>0</v>
      </c>
      <c r="AF933">
        <v>5534.55</v>
      </c>
      <c r="AG933">
        <v>5534.55</v>
      </c>
      <c r="AH933" s="14">
        <v>46265</v>
      </c>
      <c r="AI933" t="s">
        <v>272</v>
      </c>
      <c r="AJ933" s="13">
        <v>46262.99790509259</v>
      </c>
      <c r="AK933">
        <v>5509.79</v>
      </c>
      <c r="AL933" t="s">
        <v>259</v>
      </c>
      <c r="AM933" t="s">
        <v>260</v>
      </c>
      <c r="AN933">
        <v>1400</v>
      </c>
      <c r="AO933">
        <v>0</v>
      </c>
      <c r="AP933">
        <v>35</v>
      </c>
      <c r="AQ933">
        <v>85</v>
      </c>
      <c r="AR933">
        <v>35</v>
      </c>
      <c r="AS933">
        <v>2</v>
      </c>
      <c r="AT933">
        <v>23</v>
      </c>
      <c r="AU933">
        <v>1</v>
      </c>
      <c r="AV933">
        <v>0</v>
      </c>
      <c r="AW933">
        <v>10</v>
      </c>
      <c r="AX933">
        <v>1</v>
      </c>
      <c r="AY933">
        <v>5</v>
      </c>
      <c r="AZ933">
        <v>2</v>
      </c>
      <c r="BA933">
        <v>1</v>
      </c>
      <c r="BB933">
        <v>1440</v>
      </c>
      <c r="BC933">
        <v>0</v>
      </c>
      <c r="BD933">
        <v>0</v>
      </c>
      <c r="BE933">
        <v>14</v>
      </c>
      <c r="BF933">
        <v>25</v>
      </c>
      <c r="BG933">
        <v>3</v>
      </c>
      <c r="BH933">
        <v>8</v>
      </c>
      <c r="BI933">
        <v>3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0</v>
      </c>
      <c r="BQ933">
        <v>60</v>
      </c>
      <c r="BR933">
        <v>0</v>
      </c>
      <c r="BS933">
        <v>3</v>
      </c>
      <c r="BT933" t="s">
        <v>250</v>
      </c>
      <c r="BU933" t="s">
        <v>273</v>
      </c>
      <c r="BV933" t="b">
        <v>0</v>
      </c>
      <c r="BW933" t="s">
        <v>268</v>
      </c>
    </row>
    <row r="934" spans="1:75">
      <c r="A934" t="s">
        <v>250</v>
      </c>
      <c r="B934" t="s">
        <v>252</v>
      </c>
      <c r="C934">
        <v>630</v>
      </c>
      <c r="D934" t="s">
        <v>253</v>
      </c>
      <c r="E934" t="s">
        <v>254</v>
      </c>
      <c r="F934">
        <v>30</v>
      </c>
      <c r="G934" s="13">
        <v>46265.522870370369</v>
      </c>
      <c r="H934" s="13">
        <v>46265.523819444446</v>
      </c>
      <c r="I934">
        <v>82</v>
      </c>
      <c r="J934" t="s">
        <v>255</v>
      </c>
      <c r="K934">
        <v>1</v>
      </c>
      <c r="L934">
        <v>0.01</v>
      </c>
      <c r="M934">
        <v>0.01</v>
      </c>
      <c r="N934">
        <v>1</v>
      </c>
      <c r="O934">
        <v>0.01</v>
      </c>
      <c r="P934">
        <v>1.65</v>
      </c>
      <c r="Q934">
        <v>1.04</v>
      </c>
      <c r="R934">
        <v>0.79</v>
      </c>
      <c r="S934" t="s">
        <v>256</v>
      </c>
      <c r="T934" t="s">
        <v>257</v>
      </c>
      <c r="U934">
        <v>10</v>
      </c>
      <c r="V934">
        <v>5534.38</v>
      </c>
      <c r="W934">
        <v>4999.83</v>
      </c>
      <c r="X934">
        <v>4998.3500000000004</v>
      </c>
      <c r="Y934">
        <v>0</v>
      </c>
      <c r="Z934">
        <v>0</v>
      </c>
      <c r="AA934">
        <v>35</v>
      </c>
      <c r="AB934">
        <v>50</v>
      </c>
      <c r="AC934">
        <v>5000</v>
      </c>
      <c r="AD934">
        <v>0</v>
      </c>
      <c r="AE934">
        <v>0</v>
      </c>
      <c r="AF934">
        <v>5535.24</v>
      </c>
      <c r="AG934">
        <v>5535.24</v>
      </c>
      <c r="AH934" s="14">
        <v>46265</v>
      </c>
      <c r="AI934" t="s">
        <v>272</v>
      </c>
      <c r="AJ934" s="13">
        <v>46262.99790509259</v>
      </c>
      <c r="AK934">
        <v>5509.79</v>
      </c>
      <c r="AL934" t="s">
        <v>259</v>
      </c>
      <c r="AM934" t="s">
        <v>260</v>
      </c>
      <c r="AN934">
        <v>1400</v>
      </c>
      <c r="AO934">
        <v>0</v>
      </c>
      <c r="AP934">
        <v>35</v>
      </c>
      <c r="AQ934">
        <v>85</v>
      </c>
      <c r="AR934">
        <v>35</v>
      </c>
      <c r="AS934">
        <v>2</v>
      </c>
      <c r="AT934">
        <v>23</v>
      </c>
      <c r="AU934">
        <v>1</v>
      </c>
      <c r="AV934">
        <v>0</v>
      </c>
      <c r="AW934">
        <v>10</v>
      </c>
      <c r="AX934">
        <v>1</v>
      </c>
      <c r="AY934">
        <v>5</v>
      </c>
      <c r="AZ934">
        <v>2</v>
      </c>
      <c r="BA934">
        <v>1</v>
      </c>
      <c r="BB934">
        <v>1440</v>
      </c>
      <c r="BC934">
        <v>0</v>
      </c>
      <c r="BD934">
        <v>0</v>
      </c>
      <c r="BE934">
        <v>14</v>
      </c>
      <c r="BF934">
        <v>25</v>
      </c>
      <c r="BG934">
        <v>3</v>
      </c>
      <c r="BH934">
        <v>8</v>
      </c>
      <c r="BI934">
        <v>3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0</v>
      </c>
      <c r="BQ934">
        <v>60</v>
      </c>
      <c r="BR934">
        <v>0</v>
      </c>
      <c r="BS934">
        <v>3</v>
      </c>
      <c r="BT934" t="s">
        <v>250</v>
      </c>
      <c r="BU934" t="s">
        <v>273</v>
      </c>
      <c r="BV934" t="b">
        <v>0</v>
      </c>
      <c r="BW934" t="s">
        <v>268</v>
      </c>
    </row>
    <row r="935" spans="1:75">
      <c r="A935" t="s">
        <v>250</v>
      </c>
      <c r="B935" t="s">
        <v>252</v>
      </c>
      <c r="C935">
        <v>631</v>
      </c>
      <c r="D935" t="s">
        <v>253</v>
      </c>
      <c r="E935" t="s">
        <v>254</v>
      </c>
      <c r="F935">
        <v>30</v>
      </c>
      <c r="G935" s="13">
        <v>46265.545277777775</v>
      </c>
      <c r="H935" s="13">
        <v>46265.546157407407</v>
      </c>
      <c r="I935">
        <v>76</v>
      </c>
      <c r="J935" t="s">
        <v>255</v>
      </c>
      <c r="K935">
        <v>1</v>
      </c>
      <c r="L935">
        <v>0.01</v>
      </c>
      <c r="M935">
        <v>0.01</v>
      </c>
      <c r="N935">
        <v>1</v>
      </c>
      <c r="O935">
        <v>0.01</v>
      </c>
      <c r="P935">
        <v>1.25</v>
      </c>
      <c r="Q935">
        <v>2.69</v>
      </c>
      <c r="R935">
        <v>2.4900000000000002</v>
      </c>
      <c r="S935" t="s">
        <v>256</v>
      </c>
      <c r="T935" t="s">
        <v>257</v>
      </c>
      <c r="U935">
        <v>11</v>
      </c>
      <c r="V935">
        <v>5535.07</v>
      </c>
      <c r="W935">
        <v>4999.83</v>
      </c>
      <c r="X935">
        <v>4998.75</v>
      </c>
      <c r="Y935">
        <v>0</v>
      </c>
      <c r="Z935">
        <v>0</v>
      </c>
      <c r="AA935">
        <v>35</v>
      </c>
      <c r="AB935">
        <v>50</v>
      </c>
      <c r="AC935">
        <v>5000</v>
      </c>
      <c r="AD935">
        <v>0</v>
      </c>
      <c r="AE935">
        <v>0</v>
      </c>
      <c r="AF935">
        <v>5537.58</v>
      </c>
      <c r="AG935">
        <v>5537.58</v>
      </c>
      <c r="AH935" s="14">
        <v>46265</v>
      </c>
      <c r="AI935" t="s">
        <v>272</v>
      </c>
      <c r="AJ935" s="13">
        <v>46262.99790509259</v>
      </c>
      <c r="AK935">
        <v>5509.79</v>
      </c>
      <c r="AL935" t="s">
        <v>259</v>
      </c>
      <c r="AM935" t="s">
        <v>260</v>
      </c>
      <c r="AN935">
        <v>1400</v>
      </c>
      <c r="AO935">
        <v>0</v>
      </c>
      <c r="AP935">
        <v>35</v>
      </c>
      <c r="AQ935">
        <v>85</v>
      </c>
      <c r="AR935">
        <v>35</v>
      </c>
      <c r="AS935">
        <v>2</v>
      </c>
      <c r="AT935">
        <v>23</v>
      </c>
      <c r="AU935">
        <v>1</v>
      </c>
      <c r="AV935">
        <v>0</v>
      </c>
      <c r="AW935">
        <v>10</v>
      </c>
      <c r="AX935">
        <v>1</v>
      </c>
      <c r="AY935">
        <v>5</v>
      </c>
      <c r="AZ935">
        <v>2</v>
      </c>
      <c r="BA935">
        <v>1</v>
      </c>
      <c r="BB935">
        <v>1440</v>
      </c>
      <c r="BC935">
        <v>0</v>
      </c>
      <c r="BD935">
        <v>0</v>
      </c>
      <c r="BE935">
        <v>14</v>
      </c>
      <c r="BF935">
        <v>25</v>
      </c>
      <c r="BG935">
        <v>3</v>
      </c>
      <c r="BH935">
        <v>8</v>
      </c>
      <c r="BI935">
        <v>3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0</v>
      </c>
      <c r="BQ935">
        <v>60</v>
      </c>
      <c r="BR935">
        <v>0</v>
      </c>
      <c r="BS935">
        <v>3</v>
      </c>
      <c r="BT935" t="s">
        <v>250</v>
      </c>
      <c r="BU935" t="s">
        <v>273</v>
      </c>
      <c r="BV935" t="b">
        <v>0</v>
      </c>
      <c r="BW935" t="s">
        <v>268</v>
      </c>
    </row>
    <row r="936" spans="1:75">
      <c r="A936" t="s">
        <v>250</v>
      </c>
      <c r="B936" t="s">
        <v>252</v>
      </c>
      <c r="C936">
        <v>632</v>
      </c>
      <c r="D936" t="s">
        <v>253</v>
      </c>
      <c r="E936" t="s">
        <v>254</v>
      </c>
      <c r="F936">
        <v>30</v>
      </c>
      <c r="G936" s="13">
        <v>46265.567708333336</v>
      </c>
      <c r="H936" s="13">
        <v>46265.576932870368</v>
      </c>
      <c r="I936">
        <v>797</v>
      </c>
      <c r="J936" t="s">
        <v>255</v>
      </c>
      <c r="K936">
        <v>1</v>
      </c>
      <c r="L936">
        <v>0.01</v>
      </c>
      <c r="M936">
        <v>0.01</v>
      </c>
      <c r="N936">
        <v>1</v>
      </c>
      <c r="O936">
        <v>0.01</v>
      </c>
      <c r="P936">
        <v>2.46</v>
      </c>
      <c r="Q936">
        <v>1.08</v>
      </c>
      <c r="R936">
        <v>0.76</v>
      </c>
      <c r="S936" t="s">
        <v>256</v>
      </c>
      <c r="T936" t="s">
        <v>257</v>
      </c>
      <c r="U936">
        <v>11</v>
      </c>
      <c r="V936">
        <v>5537.41</v>
      </c>
      <c r="W936">
        <v>4999.83</v>
      </c>
      <c r="X936">
        <v>4997.54</v>
      </c>
      <c r="Y936">
        <v>0</v>
      </c>
      <c r="Z936">
        <v>0</v>
      </c>
      <c r="AA936">
        <v>35</v>
      </c>
      <c r="AB936">
        <v>50</v>
      </c>
      <c r="AC936">
        <v>5000</v>
      </c>
      <c r="AD936">
        <v>0</v>
      </c>
      <c r="AE936">
        <v>0</v>
      </c>
      <c r="AF936">
        <v>5538.31</v>
      </c>
      <c r="AG936">
        <v>5538.31</v>
      </c>
      <c r="AH936" s="14">
        <v>46265</v>
      </c>
      <c r="AI936" t="s">
        <v>272</v>
      </c>
      <c r="AJ936" s="13">
        <v>46262.99790509259</v>
      </c>
      <c r="AK936">
        <v>5509.79</v>
      </c>
      <c r="AL936" t="s">
        <v>259</v>
      </c>
      <c r="AM936" t="s">
        <v>260</v>
      </c>
      <c r="AN936">
        <v>1400</v>
      </c>
      <c r="AO936">
        <v>0</v>
      </c>
      <c r="AP936">
        <v>35</v>
      </c>
      <c r="AQ936">
        <v>85</v>
      </c>
      <c r="AR936">
        <v>35</v>
      </c>
      <c r="AS936">
        <v>2</v>
      </c>
      <c r="AT936">
        <v>23</v>
      </c>
      <c r="AU936">
        <v>1</v>
      </c>
      <c r="AV936">
        <v>0</v>
      </c>
      <c r="AW936">
        <v>10</v>
      </c>
      <c r="AX936">
        <v>1</v>
      </c>
      <c r="AY936">
        <v>5</v>
      </c>
      <c r="AZ936">
        <v>2</v>
      </c>
      <c r="BA936">
        <v>1</v>
      </c>
      <c r="BB936">
        <v>1440</v>
      </c>
      <c r="BC936">
        <v>0</v>
      </c>
      <c r="BD936">
        <v>0</v>
      </c>
      <c r="BE936">
        <v>14</v>
      </c>
      <c r="BF936">
        <v>25</v>
      </c>
      <c r="BG936">
        <v>3</v>
      </c>
      <c r="BH936">
        <v>8</v>
      </c>
      <c r="BI936">
        <v>3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0</v>
      </c>
      <c r="BQ936">
        <v>60</v>
      </c>
      <c r="BR936">
        <v>0</v>
      </c>
      <c r="BS936">
        <v>3</v>
      </c>
      <c r="BT936" t="s">
        <v>250</v>
      </c>
      <c r="BU936" t="s">
        <v>273</v>
      </c>
      <c r="BV936" t="b">
        <v>0</v>
      </c>
      <c r="BW936" t="s">
        <v>268</v>
      </c>
    </row>
    <row r="937" spans="1:75">
      <c r="A937" t="s">
        <v>250</v>
      </c>
      <c r="B937" t="s">
        <v>252</v>
      </c>
      <c r="C937">
        <v>633</v>
      </c>
      <c r="D937" t="s">
        <v>253</v>
      </c>
      <c r="E937" t="s">
        <v>254</v>
      </c>
      <c r="F937">
        <v>30</v>
      </c>
      <c r="G937" s="13">
        <v>46265.587280092594</v>
      </c>
      <c r="H937" s="13">
        <v>46265.613368055558</v>
      </c>
      <c r="I937">
        <v>2254</v>
      </c>
      <c r="J937" t="s">
        <v>264</v>
      </c>
      <c r="K937">
        <v>2</v>
      </c>
      <c r="L937">
        <v>0.02</v>
      </c>
      <c r="M937">
        <v>0.01</v>
      </c>
      <c r="N937">
        <v>2</v>
      </c>
      <c r="O937">
        <v>0.02</v>
      </c>
      <c r="P937">
        <v>11</v>
      </c>
      <c r="Q937">
        <v>6.05</v>
      </c>
      <c r="R937">
        <v>4.05</v>
      </c>
      <c r="S937" t="s">
        <v>263</v>
      </c>
      <c r="T937" t="s">
        <v>257</v>
      </c>
      <c r="U937">
        <v>11</v>
      </c>
      <c r="V937">
        <v>5538.14</v>
      </c>
      <c r="W937">
        <v>4999.83</v>
      </c>
      <c r="X937">
        <v>4989</v>
      </c>
      <c r="Y937">
        <v>0</v>
      </c>
      <c r="Z937">
        <v>0</v>
      </c>
      <c r="AA937">
        <v>35</v>
      </c>
      <c r="AB937">
        <v>50</v>
      </c>
      <c r="AC937">
        <v>5000</v>
      </c>
      <c r="AD937">
        <v>0</v>
      </c>
      <c r="AE937">
        <v>0</v>
      </c>
      <c r="AF937">
        <v>5542.36</v>
      </c>
      <c r="AG937">
        <v>5542.36</v>
      </c>
      <c r="AH937" s="14">
        <v>46265</v>
      </c>
      <c r="AI937" t="s">
        <v>272</v>
      </c>
      <c r="AJ937" s="13">
        <v>46262.99790509259</v>
      </c>
      <c r="AK937">
        <v>5509.79</v>
      </c>
      <c r="AL937" t="s">
        <v>259</v>
      </c>
      <c r="AM937" t="s">
        <v>260</v>
      </c>
      <c r="AN937">
        <v>1400</v>
      </c>
      <c r="AO937">
        <v>0</v>
      </c>
      <c r="AP937">
        <v>35</v>
      </c>
      <c r="AQ937">
        <v>85</v>
      </c>
      <c r="AR937">
        <v>35</v>
      </c>
      <c r="AS937">
        <v>2</v>
      </c>
      <c r="AT937">
        <v>23</v>
      </c>
      <c r="AU937">
        <v>1</v>
      </c>
      <c r="AV937">
        <v>0</v>
      </c>
      <c r="AW937">
        <v>10</v>
      </c>
      <c r="AX937">
        <v>1</v>
      </c>
      <c r="AY937">
        <v>5</v>
      </c>
      <c r="AZ937">
        <v>2</v>
      </c>
      <c r="BA937">
        <v>1</v>
      </c>
      <c r="BB937">
        <v>1440</v>
      </c>
      <c r="BC937">
        <v>0</v>
      </c>
      <c r="BD937">
        <v>0</v>
      </c>
      <c r="BE937">
        <v>14</v>
      </c>
      <c r="BF937">
        <v>25</v>
      </c>
      <c r="BG937">
        <v>3</v>
      </c>
      <c r="BH937">
        <v>8</v>
      </c>
      <c r="BI937">
        <v>3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0</v>
      </c>
      <c r="BQ937">
        <v>60</v>
      </c>
      <c r="BR937">
        <v>0</v>
      </c>
      <c r="BS937">
        <v>3</v>
      </c>
      <c r="BT937" t="s">
        <v>250</v>
      </c>
      <c r="BU937" t="s">
        <v>273</v>
      </c>
      <c r="BV937" t="b">
        <v>0</v>
      </c>
      <c r="BW937" t="s">
        <v>268</v>
      </c>
    </row>
    <row r="938" spans="1:75">
      <c r="A938" t="s">
        <v>250</v>
      </c>
      <c r="B938" t="s">
        <v>252</v>
      </c>
      <c r="C938">
        <v>634</v>
      </c>
      <c r="D938" t="s">
        <v>253</v>
      </c>
      <c r="E938" t="s">
        <v>254</v>
      </c>
      <c r="F938">
        <v>30</v>
      </c>
      <c r="G938" s="13">
        <v>46265.626689814817</v>
      </c>
      <c r="H938" s="13">
        <v>46265.628807870373</v>
      </c>
      <c r="I938">
        <v>183</v>
      </c>
      <c r="J938" t="s">
        <v>255</v>
      </c>
      <c r="K938">
        <v>1</v>
      </c>
      <c r="L938">
        <v>0.01</v>
      </c>
      <c r="M938">
        <v>0.01</v>
      </c>
      <c r="N938">
        <v>1</v>
      </c>
      <c r="O938">
        <v>0.01</v>
      </c>
      <c r="P938">
        <v>1.87</v>
      </c>
      <c r="Q938">
        <v>0.8</v>
      </c>
      <c r="R938">
        <v>0.48</v>
      </c>
      <c r="S938" t="s">
        <v>256</v>
      </c>
      <c r="T938" t="s">
        <v>257</v>
      </c>
      <c r="U938">
        <v>10</v>
      </c>
      <c r="V938">
        <v>5542.19</v>
      </c>
      <c r="W938">
        <v>4999.83</v>
      </c>
      <c r="X938">
        <v>4998.13</v>
      </c>
      <c r="Y938">
        <v>0</v>
      </c>
      <c r="Z938">
        <v>0</v>
      </c>
      <c r="AA938">
        <v>35</v>
      </c>
      <c r="AB938">
        <v>50</v>
      </c>
      <c r="AC938">
        <v>5000</v>
      </c>
      <c r="AD938">
        <v>0</v>
      </c>
      <c r="AE938">
        <v>0</v>
      </c>
      <c r="AF938">
        <v>5542.81</v>
      </c>
      <c r="AG938">
        <v>5542.81</v>
      </c>
      <c r="AH938" s="14">
        <v>46265</v>
      </c>
      <c r="AI938" t="s">
        <v>272</v>
      </c>
      <c r="AJ938" s="13">
        <v>46262.99790509259</v>
      </c>
      <c r="AK938">
        <v>5509.79</v>
      </c>
      <c r="AL938" t="s">
        <v>259</v>
      </c>
      <c r="AM938" t="s">
        <v>260</v>
      </c>
      <c r="AN938">
        <v>1400</v>
      </c>
      <c r="AO938">
        <v>0</v>
      </c>
      <c r="AP938">
        <v>35</v>
      </c>
      <c r="AQ938">
        <v>85</v>
      </c>
      <c r="AR938">
        <v>35</v>
      </c>
      <c r="AS938">
        <v>2</v>
      </c>
      <c r="AT938">
        <v>23</v>
      </c>
      <c r="AU938">
        <v>1</v>
      </c>
      <c r="AV938">
        <v>0</v>
      </c>
      <c r="AW938">
        <v>10</v>
      </c>
      <c r="AX938">
        <v>1</v>
      </c>
      <c r="AY938">
        <v>5</v>
      </c>
      <c r="AZ938">
        <v>2</v>
      </c>
      <c r="BA938">
        <v>1</v>
      </c>
      <c r="BB938">
        <v>1440</v>
      </c>
      <c r="BC938">
        <v>0</v>
      </c>
      <c r="BD938">
        <v>0</v>
      </c>
      <c r="BE938">
        <v>14</v>
      </c>
      <c r="BF938">
        <v>25</v>
      </c>
      <c r="BG938">
        <v>3</v>
      </c>
      <c r="BH938">
        <v>8</v>
      </c>
      <c r="BI938">
        <v>3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0</v>
      </c>
      <c r="BQ938">
        <v>60</v>
      </c>
      <c r="BR938">
        <v>0</v>
      </c>
      <c r="BS938">
        <v>3</v>
      </c>
      <c r="BT938" t="s">
        <v>250</v>
      </c>
      <c r="BU938" t="s">
        <v>273</v>
      </c>
      <c r="BV938" t="b">
        <v>0</v>
      </c>
      <c r="BW938" t="s">
        <v>268</v>
      </c>
    </row>
    <row r="939" spans="1:75">
      <c r="A939" t="s">
        <v>250</v>
      </c>
      <c r="B939" t="s">
        <v>252</v>
      </c>
      <c r="C939">
        <v>635</v>
      </c>
      <c r="D939" t="s">
        <v>253</v>
      </c>
      <c r="E939" t="s">
        <v>254</v>
      </c>
      <c r="F939">
        <v>30</v>
      </c>
      <c r="G939" s="13">
        <v>46265.646331018521</v>
      </c>
      <c r="H939" s="13">
        <v>46265.67391203704</v>
      </c>
      <c r="I939">
        <v>2383</v>
      </c>
      <c r="J939" t="s">
        <v>255</v>
      </c>
      <c r="K939">
        <v>2</v>
      </c>
      <c r="L939">
        <v>0.02</v>
      </c>
      <c r="M939">
        <v>0.01</v>
      </c>
      <c r="N939">
        <v>2</v>
      </c>
      <c r="O939">
        <v>0.02</v>
      </c>
      <c r="P939">
        <v>19.489999999999998</v>
      </c>
      <c r="Q939">
        <v>5.85</v>
      </c>
      <c r="R939">
        <v>3.71</v>
      </c>
      <c r="S939" t="s">
        <v>263</v>
      </c>
      <c r="T939" t="s">
        <v>257</v>
      </c>
      <c r="U939">
        <v>11</v>
      </c>
      <c r="V939">
        <v>5542.65</v>
      </c>
      <c r="W939">
        <v>4999.84</v>
      </c>
      <c r="X939">
        <v>4980.51</v>
      </c>
      <c r="Y939">
        <v>0</v>
      </c>
      <c r="Z939">
        <v>0</v>
      </c>
      <c r="AA939">
        <v>35</v>
      </c>
      <c r="AB939">
        <v>50</v>
      </c>
      <c r="AC939">
        <v>5000</v>
      </c>
      <c r="AD939">
        <v>0</v>
      </c>
      <c r="AE939">
        <v>0</v>
      </c>
      <c r="AF939">
        <v>5546.66</v>
      </c>
      <c r="AG939">
        <v>5546.66</v>
      </c>
      <c r="AH939" s="14">
        <v>46265</v>
      </c>
      <c r="AI939" t="s">
        <v>272</v>
      </c>
      <c r="AJ939" s="13">
        <v>46262.99790509259</v>
      </c>
      <c r="AK939">
        <v>5509.79</v>
      </c>
      <c r="AL939" t="s">
        <v>259</v>
      </c>
      <c r="AM939" t="s">
        <v>260</v>
      </c>
      <c r="AN939">
        <v>1400</v>
      </c>
      <c r="AO939">
        <v>0</v>
      </c>
      <c r="AP939">
        <v>35</v>
      </c>
      <c r="AQ939">
        <v>85</v>
      </c>
      <c r="AR939">
        <v>35</v>
      </c>
      <c r="AS939">
        <v>2</v>
      </c>
      <c r="AT939">
        <v>23</v>
      </c>
      <c r="AU939">
        <v>1</v>
      </c>
      <c r="AV939">
        <v>0</v>
      </c>
      <c r="AW939">
        <v>10</v>
      </c>
      <c r="AX939">
        <v>1</v>
      </c>
      <c r="AY939">
        <v>5</v>
      </c>
      <c r="AZ939">
        <v>2</v>
      </c>
      <c r="BA939">
        <v>1</v>
      </c>
      <c r="BB939">
        <v>1440</v>
      </c>
      <c r="BC939">
        <v>0</v>
      </c>
      <c r="BD939">
        <v>0</v>
      </c>
      <c r="BE939">
        <v>14</v>
      </c>
      <c r="BF939">
        <v>25</v>
      </c>
      <c r="BG939">
        <v>3</v>
      </c>
      <c r="BH939">
        <v>8</v>
      </c>
      <c r="BI939">
        <v>3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0</v>
      </c>
      <c r="BQ939">
        <v>60</v>
      </c>
      <c r="BR939">
        <v>0</v>
      </c>
      <c r="BS939">
        <v>3</v>
      </c>
      <c r="BT939" t="s">
        <v>250</v>
      </c>
      <c r="BU939" t="s">
        <v>273</v>
      </c>
      <c r="BV939" t="b">
        <v>0</v>
      </c>
      <c r="BW939" t="s">
        <v>268</v>
      </c>
    </row>
    <row r="940" spans="1:75">
      <c r="A940" t="s">
        <v>250</v>
      </c>
      <c r="B940" t="s">
        <v>252</v>
      </c>
      <c r="C940">
        <v>636</v>
      </c>
      <c r="D940" t="s">
        <v>253</v>
      </c>
      <c r="E940" t="s">
        <v>254</v>
      </c>
      <c r="F940">
        <v>30</v>
      </c>
      <c r="G940" s="13">
        <v>46265.687731481485</v>
      </c>
      <c r="H940" s="13">
        <v>46265.687986111108</v>
      </c>
      <c r="I940">
        <v>22</v>
      </c>
      <c r="J940" t="s">
        <v>264</v>
      </c>
      <c r="K940">
        <v>1</v>
      </c>
      <c r="L940">
        <v>0.01</v>
      </c>
      <c r="M940">
        <v>0.01</v>
      </c>
      <c r="N940">
        <v>1</v>
      </c>
      <c r="O940">
        <v>0.01</v>
      </c>
      <c r="P940">
        <v>0.87</v>
      </c>
      <c r="Q940">
        <v>0.87</v>
      </c>
      <c r="R940">
        <v>0.57999999999999996</v>
      </c>
      <c r="S940" t="s">
        <v>256</v>
      </c>
      <c r="T940" t="s">
        <v>257</v>
      </c>
      <c r="U940">
        <v>11</v>
      </c>
      <c r="V940">
        <v>5546.5</v>
      </c>
      <c r="W940">
        <v>4999.84</v>
      </c>
      <c r="X940">
        <v>4999.13</v>
      </c>
      <c r="Y940">
        <v>0</v>
      </c>
      <c r="Z940">
        <v>0</v>
      </c>
      <c r="AA940">
        <v>35</v>
      </c>
      <c r="AB940">
        <v>50</v>
      </c>
      <c r="AC940">
        <v>5000</v>
      </c>
      <c r="AD940">
        <v>0</v>
      </c>
      <c r="AE940">
        <v>0</v>
      </c>
      <c r="AF940">
        <v>5547.18</v>
      </c>
      <c r="AG940">
        <v>5547.18</v>
      </c>
      <c r="AH940" s="14">
        <v>46265</v>
      </c>
      <c r="AI940" t="s">
        <v>272</v>
      </c>
      <c r="AJ940" s="13">
        <v>46262.99790509259</v>
      </c>
      <c r="AK940">
        <v>5509.79</v>
      </c>
      <c r="AL940" t="s">
        <v>259</v>
      </c>
      <c r="AM940" t="s">
        <v>260</v>
      </c>
      <c r="AN940">
        <v>1400</v>
      </c>
      <c r="AO940">
        <v>0</v>
      </c>
      <c r="AP940">
        <v>35</v>
      </c>
      <c r="AQ940">
        <v>85</v>
      </c>
      <c r="AR940">
        <v>35</v>
      </c>
      <c r="AS940">
        <v>2</v>
      </c>
      <c r="AT940">
        <v>23</v>
      </c>
      <c r="AU940">
        <v>1</v>
      </c>
      <c r="AV940">
        <v>0</v>
      </c>
      <c r="AW940">
        <v>10</v>
      </c>
      <c r="AX940">
        <v>1</v>
      </c>
      <c r="AY940">
        <v>5</v>
      </c>
      <c r="AZ940">
        <v>2</v>
      </c>
      <c r="BA940">
        <v>1</v>
      </c>
      <c r="BB940">
        <v>1440</v>
      </c>
      <c r="BC940">
        <v>0</v>
      </c>
      <c r="BD940">
        <v>0</v>
      </c>
      <c r="BE940">
        <v>14</v>
      </c>
      <c r="BF940">
        <v>25</v>
      </c>
      <c r="BG940">
        <v>3</v>
      </c>
      <c r="BH940">
        <v>8</v>
      </c>
      <c r="BI940">
        <v>3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0</v>
      </c>
      <c r="BQ940">
        <v>60</v>
      </c>
      <c r="BR940">
        <v>0</v>
      </c>
      <c r="BS940">
        <v>3</v>
      </c>
      <c r="BT940" t="s">
        <v>250</v>
      </c>
      <c r="BU940" t="s">
        <v>273</v>
      </c>
      <c r="BV940" t="b">
        <v>0</v>
      </c>
      <c r="BW940" t="s">
        <v>268</v>
      </c>
    </row>
    <row r="941" spans="1:75">
      <c r="A941" t="s">
        <v>250</v>
      </c>
      <c r="B941" t="s">
        <v>252</v>
      </c>
      <c r="C941">
        <v>637</v>
      </c>
      <c r="D941" t="s">
        <v>253</v>
      </c>
      <c r="E941" t="s">
        <v>254</v>
      </c>
      <c r="F941">
        <v>30</v>
      </c>
      <c r="G941" s="13">
        <v>46265.708645833336</v>
      </c>
      <c r="H941" s="13">
        <v>46265.708784722221</v>
      </c>
      <c r="I941">
        <v>12</v>
      </c>
      <c r="J941" t="s">
        <v>255</v>
      </c>
      <c r="K941">
        <v>1</v>
      </c>
      <c r="L941">
        <v>0.01</v>
      </c>
      <c r="M941">
        <v>0.01</v>
      </c>
      <c r="N941">
        <v>1</v>
      </c>
      <c r="O941">
        <v>0.01</v>
      </c>
      <c r="P941">
        <v>0.41</v>
      </c>
      <c r="Q941">
        <v>1.08</v>
      </c>
      <c r="R941">
        <v>1.08</v>
      </c>
      <c r="S941" t="s">
        <v>256</v>
      </c>
      <c r="T941" t="s">
        <v>257</v>
      </c>
      <c r="U941">
        <v>11</v>
      </c>
      <c r="V941">
        <v>5547.01</v>
      </c>
      <c r="W941">
        <v>4999.83</v>
      </c>
      <c r="X941">
        <v>4999.59</v>
      </c>
      <c r="Y941">
        <v>0</v>
      </c>
      <c r="Z941">
        <v>0</v>
      </c>
      <c r="AA941">
        <v>35</v>
      </c>
      <c r="AB941">
        <v>50</v>
      </c>
      <c r="AC941">
        <v>5000</v>
      </c>
      <c r="AD941">
        <v>0</v>
      </c>
      <c r="AE941">
        <v>0</v>
      </c>
      <c r="AF941">
        <v>5547.9</v>
      </c>
      <c r="AG941">
        <v>5547.9</v>
      </c>
      <c r="AH941" s="14">
        <v>46265</v>
      </c>
      <c r="AI941" t="s">
        <v>272</v>
      </c>
      <c r="AJ941" s="13">
        <v>46262.99790509259</v>
      </c>
      <c r="AK941">
        <v>5509.79</v>
      </c>
      <c r="AL941" t="s">
        <v>259</v>
      </c>
      <c r="AM941" t="s">
        <v>260</v>
      </c>
      <c r="AN941">
        <v>1400</v>
      </c>
      <c r="AO941">
        <v>0</v>
      </c>
      <c r="AP941">
        <v>35</v>
      </c>
      <c r="AQ941">
        <v>85</v>
      </c>
      <c r="AR941">
        <v>35</v>
      </c>
      <c r="AS941">
        <v>2</v>
      </c>
      <c r="AT941">
        <v>23</v>
      </c>
      <c r="AU941">
        <v>1</v>
      </c>
      <c r="AV941">
        <v>0</v>
      </c>
      <c r="AW941">
        <v>10</v>
      </c>
      <c r="AX941">
        <v>1</v>
      </c>
      <c r="AY941">
        <v>5</v>
      </c>
      <c r="AZ941">
        <v>2</v>
      </c>
      <c r="BA941">
        <v>1</v>
      </c>
      <c r="BB941">
        <v>1440</v>
      </c>
      <c r="BC941">
        <v>0</v>
      </c>
      <c r="BD941">
        <v>0</v>
      </c>
      <c r="BE941">
        <v>14</v>
      </c>
      <c r="BF941">
        <v>25</v>
      </c>
      <c r="BG941">
        <v>3</v>
      </c>
      <c r="BH941">
        <v>8</v>
      </c>
      <c r="BI941">
        <v>3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0</v>
      </c>
      <c r="BQ941">
        <v>60</v>
      </c>
      <c r="BR941">
        <v>0</v>
      </c>
      <c r="BS941">
        <v>3</v>
      </c>
      <c r="BT941" t="s">
        <v>250</v>
      </c>
      <c r="BU941" t="s">
        <v>273</v>
      </c>
      <c r="BV941" t="b">
        <v>0</v>
      </c>
      <c r="BW941" t="s">
        <v>268</v>
      </c>
    </row>
    <row r="942" spans="1:75">
      <c r="A942" t="s">
        <v>250</v>
      </c>
      <c r="B942" t="s">
        <v>252</v>
      </c>
      <c r="C942">
        <v>638</v>
      </c>
      <c r="D942" t="s">
        <v>253</v>
      </c>
      <c r="E942" t="s">
        <v>254</v>
      </c>
      <c r="F942">
        <v>30</v>
      </c>
      <c r="G942" s="13">
        <v>46265.729571759257</v>
      </c>
      <c r="H942" s="13">
        <v>46265.729641203703</v>
      </c>
      <c r="I942">
        <v>6</v>
      </c>
      <c r="J942" t="s">
        <v>255</v>
      </c>
      <c r="K942">
        <v>1</v>
      </c>
      <c r="L942">
        <v>0.01</v>
      </c>
      <c r="M942">
        <v>0.01</v>
      </c>
      <c r="N942">
        <v>1</v>
      </c>
      <c r="O942">
        <v>0.01</v>
      </c>
      <c r="P942">
        <v>0.17</v>
      </c>
      <c r="Q942">
        <v>0.84</v>
      </c>
      <c r="R942">
        <v>0.54</v>
      </c>
      <c r="S942" t="s">
        <v>256</v>
      </c>
      <c r="T942" t="s">
        <v>257</v>
      </c>
      <c r="U942">
        <v>11</v>
      </c>
      <c r="V942">
        <v>5547.73</v>
      </c>
      <c r="W942">
        <v>4999.83</v>
      </c>
      <c r="X942">
        <v>4999.83</v>
      </c>
      <c r="Y942">
        <v>0</v>
      </c>
      <c r="Z942">
        <v>0</v>
      </c>
      <c r="AA942">
        <v>35</v>
      </c>
      <c r="AB942">
        <v>50</v>
      </c>
      <c r="AC942">
        <v>5000</v>
      </c>
      <c r="AD942">
        <v>0</v>
      </c>
      <c r="AE942">
        <v>0</v>
      </c>
      <c r="AF942">
        <v>5548.39</v>
      </c>
      <c r="AG942">
        <v>5548.39</v>
      </c>
      <c r="AH942" s="14">
        <v>46265</v>
      </c>
      <c r="AI942" t="s">
        <v>272</v>
      </c>
      <c r="AJ942" s="13">
        <v>46262.99790509259</v>
      </c>
      <c r="AK942">
        <v>5509.79</v>
      </c>
      <c r="AL942" t="s">
        <v>259</v>
      </c>
      <c r="AM942" t="s">
        <v>260</v>
      </c>
      <c r="AN942">
        <v>1400</v>
      </c>
      <c r="AO942">
        <v>0</v>
      </c>
      <c r="AP942">
        <v>35</v>
      </c>
      <c r="AQ942">
        <v>85</v>
      </c>
      <c r="AR942">
        <v>35</v>
      </c>
      <c r="AS942">
        <v>2</v>
      </c>
      <c r="AT942">
        <v>23</v>
      </c>
      <c r="AU942">
        <v>1</v>
      </c>
      <c r="AV942">
        <v>0</v>
      </c>
      <c r="AW942">
        <v>10</v>
      </c>
      <c r="AX942">
        <v>1</v>
      </c>
      <c r="AY942">
        <v>5</v>
      </c>
      <c r="AZ942">
        <v>2</v>
      </c>
      <c r="BA942">
        <v>1</v>
      </c>
      <c r="BB942">
        <v>1440</v>
      </c>
      <c r="BC942">
        <v>0</v>
      </c>
      <c r="BD942">
        <v>0</v>
      </c>
      <c r="BE942">
        <v>14</v>
      </c>
      <c r="BF942">
        <v>25</v>
      </c>
      <c r="BG942">
        <v>3</v>
      </c>
      <c r="BH942">
        <v>8</v>
      </c>
      <c r="BI942">
        <v>3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0</v>
      </c>
      <c r="BQ942">
        <v>60</v>
      </c>
      <c r="BR942">
        <v>0</v>
      </c>
      <c r="BS942">
        <v>3</v>
      </c>
      <c r="BT942" t="s">
        <v>250</v>
      </c>
      <c r="BU942" t="s">
        <v>273</v>
      </c>
      <c r="BV942" t="b">
        <v>0</v>
      </c>
      <c r="BW942" t="s">
        <v>268</v>
      </c>
    </row>
    <row r="943" spans="1:75">
      <c r="A943" t="s">
        <v>250</v>
      </c>
      <c r="B943" t="s">
        <v>252</v>
      </c>
      <c r="C943">
        <v>639</v>
      </c>
      <c r="D943" t="s">
        <v>253</v>
      </c>
      <c r="E943" t="s">
        <v>254</v>
      </c>
      <c r="F943">
        <v>30</v>
      </c>
      <c r="G943" s="13">
        <v>46265.750324074077</v>
      </c>
      <c r="H943" s="13">
        <v>46265.750393518516</v>
      </c>
      <c r="I943">
        <v>6</v>
      </c>
      <c r="J943" t="s">
        <v>255</v>
      </c>
      <c r="K943">
        <v>1</v>
      </c>
      <c r="L943">
        <v>0.01</v>
      </c>
      <c r="M943">
        <v>0.01</v>
      </c>
      <c r="N943">
        <v>1</v>
      </c>
      <c r="O943">
        <v>0.01</v>
      </c>
      <c r="P943">
        <v>0.16</v>
      </c>
      <c r="Q943">
        <v>1.06</v>
      </c>
      <c r="R943">
        <v>0.71</v>
      </c>
      <c r="S943" t="s">
        <v>256</v>
      </c>
      <c r="T943" t="s">
        <v>257</v>
      </c>
      <c r="U943">
        <v>11</v>
      </c>
      <c r="V943">
        <v>5548.23</v>
      </c>
      <c r="W943">
        <v>4999.84</v>
      </c>
      <c r="X943">
        <v>4999.84</v>
      </c>
      <c r="Y943">
        <v>0</v>
      </c>
      <c r="Z943">
        <v>0</v>
      </c>
      <c r="AA943">
        <v>35</v>
      </c>
      <c r="AB943">
        <v>50</v>
      </c>
      <c r="AC943">
        <v>5000</v>
      </c>
      <c r="AD943">
        <v>0</v>
      </c>
      <c r="AE943">
        <v>0</v>
      </c>
      <c r="AF943">
        <v>5549.1</v>
      </c>
      <c r="AG943">
        <v>5549.1</v>
      </c>
      <c r="AH943" s="14">
        <v>46265</v>
      </c>
      <c r="AI943" t="s">
        <v>272</v>
      </c>
      <c r="AJ943" s="13">
        <v>46262.99790509259</v>
      </c>
      <c r="AK943">
        <v>5509.79</v>
      </c>
      <c r="AL943" t="s">
        <v>259</v>
      </c>
      <c r="AM943" t="s">
        <v>260</v>
      </c>
      <c r="AN943">
        <v>1400</v>
      </c>
      <c r="AO943">
        <v>0</v>
      </c>
      <c r="AP943">
        <v>35</v>
      </c>
      <c r="AQ943">
        <v>85</v>
      </c>
      <c r="AR943">
        <v>35</v>
      </c>
      <c r="AS943">
        <v>2</v>
      </c>
      <c r="AT943">
        <v>23</v>
      </c>
      <c r="AU943">
        <v>1</v>
      </c>
      <c r="AV943">
        <v>0</v>
      </c>
      <c r="AW943">
        <v>10</v>
      </c>
      <c r="AX943">
        <v>1</v>
      </c>
      <c r="AY943">
        <v>5</v>
      </c>
      <c r="AZ943">
        <v>2</v>
      </c>
      <c r="BA943">
        <v>1</v>
      </c>
      <c r="BB943">
        <v>1440</v>
      </c>
      <c r="BC943">
        <v>0</v>
      </c>
      <c r="BD943">
        <v>0</v>
      </c>
      <c r="BE943">
        <v>14</v>
      </c>
      <c r="BF943">
        <v>25</v>
      </c>
      <c r="BG943">
        <v>3</v>
      </c>
      <c r="BH943">
        <v>8</v>
      </c>
      <c r="BI943">
        <v>3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0</v>
      </c>
      <c r="BQ943">
        <v>60</v>
      </c>
      <c r="BR943">
        <v>0</v>
      </c>
      <c r="BS943">
        <v>3</v>
      </c>
      <c r="BT943" t="s">
        <v>250</v>
      </c>
      <c r="BU943" t="s">
        <v>273</v>
      </c>
      <c r="BV943" t="b">
        <v>0</v>
      </c>
      <c r="BW943" t="s">
        <v>268</v>
      </c>
    </row>
    <row r="944" spans="1:75">
      <c r="A944" t="s">
        <v>250</v>
      </c>
      <c r="B944" t="s">
        <v>252</v>
      </c>
      <c r="C944">
        <v>640</v>
      </c>
      <c r="D944" t="s">
        <v>253</v>
      </c>
      <c r="E944" t="s">
        <v>254</v>
      </c>
      <c r="F944">
        <v>30</v>
      </c>
      <c r="G944" s="13">
        <v>46265.772581018522</v>
      </c>
      <c r="H944" s="13">
        <v>46265.796238425923</v>
      </c>
      <c r="I944">
        <v>2044</v>
      </c>
      <c r="J944" t="s">
        <v>255</v>
      </c>
      <c r="K944">
        <v>2</v>
      </c>
      <c r="L944">
        <v>0.02</v>
      </c>
      <c r="M944">
        <v>0.01</v>
      </c>
      <c r="N944">
        <v>2</v>
      </c>
      <c r="O944">
        <v>0.02</v>
      </c>
      <c r="P944">
        <v>10.55</v>
      </c>
      <c r="Q944">
        <v>6.76</v>
      </c>
      <c r="R944">
        <v>4.6399999999999997</v>
      </c>
      <c r="S944" t="s">
        <v>263</v>
      </c>
      <c r="T944" t="s">
        <v>257</v>
      </c>
      <c r="U944">
        <v>11</v>
      </c>
      <c r="V944">
        <v>5548.93</v>
      </c>
      <c r="W944">
        <v>4999.83</v>
      </c>
      <c r="X944">
        <v>4989.45</v>
      </c>
      <c r="Y944">
        <v>0</v>
      </c>
      <c r="Z944">
        <v>0</v>
      </c>
      <c r="AA944">
        <v>35</v>
      </c>
      <c r="AB944">
        <v>50</v>
      </c>
      <c r="AC944">
        <v>5000</v>
      </c>
      <c r="AD944">
        <v>0</v>
      </c>
      <c r="AE944">
        <v>0</v>
      </c>
      <c r="AF944">
        <v>5553.48</v>
      </c>
      <c r="AG944">
        <v>5553.48</v>
      </c>
      <c r="AH944" s="14">
        <v>46265</v>
      </c>
      <c r="AI944" t="s">
        <v>272</v>
      </c>
      <c r="AJ944" s="13">
        <v>46262.99790509259</v>
      </c>
      <c r="AK944">
        <v>5509.79</v>
      </c>
      <c r="AL944" t="s">
        <v>259</v>
      </c>
      <c r="AM944" t="s">
        <v>260</v>
      </c>
      <c r="AN944">
        <v>1400</v>
      </c>
      <c r="AO944">
        <v>0</v>
      </c>
      <c r="AP944">
        <v>35</v>
      </c>
      <c r="AQ944">
        <v>85</v>
      </c>
      <c r="AR944">
        <v>35</v>
      </c>
      <c r="AS944">
        <v>2</v>
      </c>
      <c r="AT944">
        <v>23</v>
      </c>
      <c r="AU944">
        <v>1</v>
      </c>
      <c r="AV944">
        <v>0</v>
      </c>
      <c r="AW944">
        <v>10</v>
      </c>
      <c r="AX944">
        <v>1</v>
      </c>
      <c r="AY944">
        <v>5</v>
      </c>
      <c r="AZ944">
        <v>2</v>
      </c>
      <c r="BA944">
        <v>1</v>
      </c>
      <c r="BB944">
        <v>1440</v>
      </c>
      <c r="BC944">
        <v>0</v>
      </c>
      <c r="BD944">
        <v>0</v>
      </c>
      <c r="BE944">
        <v>14</v>
      </c>
      <c r="BF944">
        <v>25</v>
      </c>
      <c r="BG944">
        <v>3</v>
      </c>
      <c r="BH944">
        <v>8</v>
      </c>
      <c r="BI944">
        <v>3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0</v>
      </c>
      <c r="BQ944">
        <v>60</v>
      </c>
      <c r="BR944">
        <v>0</v>
      </c>
      <c r="BS944">
        <v>3</v>
      </c>
      <c r="BT944" t="s">
        <v>250</v>
      </c>
      <c r="BU944" t="s">
        <v>273</v>
      </c>
      <c r="BV944" t="b">
        <v>0</v>
      </c>
      <c r="BW944" t="s">
        <v>268</v>
      </c>
    </row>
    <row r="945" spans="1:75">
      <c r="A945" t="s">
        <v>250</v>
      </c>
      <c r="B945" t="s">
        <v>252</v>
      </c>
      <c r="C945">
        <v>641</v>
      </c>
      <c r="D945" t="s">
        <v>253</v>
      </c>
      <c r="E945" t="s">
        <v>254</v>
      </c>
      <c r="F945">
        <v>30</v>
      </c>
      <c r="G945" s="13">
        <v>46265.813391203701</v>
      </c>
      <c r="H945" s="13">
        <v>46265.814837962964</v>
      </c>
      <c r="I945">
        <v>125</v>
      </c>
      <c r="J945" t="s">
        <v>264</v>
      </c>
      <c r="K945">
        <v>1</v>
      </c>
      <c r="L945">
        <v>0.01</v>
      </c>
      <c r="M945">
        <v>0.01</v>
      </c>
      <c r="N945">
        <v>1</v>
      </c>
      <c r="O945">
        <v>0.01</v>
      </c>
      <c r="P945">
        <v>1.37</v>
      </c>
      <c r="Q945">
        <v>0.83</v>
      </c>
      <c r="R945">
        <v>0.49</v>
      </c>
      <c r="S945" t="s">
        <v>256</v>
      </c>
      <c r="T945" t="s">
        <v>257</v>
      </c>
      <c r="U945">
        <v>11</v>
      </c>
      <c r="V945">
        <v>5553.31</v>
      </c>
      <c r="W945">
        <v>4999.83</v>
      </c>
      <c r="X945">
        <v>4998.63</v>
      </c>
      <c r="Y945">
        <v>0</v>
      </c>
      <c r="Z945">
        <v>0</v>
      </c>
      <c r="AA945">
        <v>35</v>
      </c>
      <c r="AB945">
        <v>50</v>
      </c>
      <c r="AC945">
        <v>5000</v>
      </c>
      <c r="AD945">
        <v>0</v>
      </c>
      <c r="AE945">
        <v>0</v>
      </c>
      <c r="AF945">
        <v>5553.96</v>
      </c>
      <c r="AG945">
        <v>5553.96</v>
      </c>
      <c r="AH945" s="14">
        <v>46265</v>
      </c>
      <c r="AI945" t="s">
        <v>272</v>
      </c>
      <c r="AJ945" s="13">
        <v>46262.99790509259</v>
      </c>
      <c r="AK945">
        <v>5509.79</v>
      </c>
      <c r="AL945" t="s">
        <v>259</v>
      </c>
      <c r="AM945" t="s">
        <v>260</v>
      </c>
      <c r="AN945">
        <v>1400</v>
      </c>
      <c r="AO945">
        <v>0</v>
      </c>
      <c r="AP945">
        <v>35</v>
      </c>
      <c r="AQ945">
        <v>85</v>
      </c>
      <c r="AR945">
        <v>35</v>
      </c>
      <c r="AS945">
        <v>2</v>
      </c>
      <c r="AT945">
        <v>23</v>
      </c>
      <c r="AU945">
        <v>1</v>
      </c>
      <c r="AV945">
        <v>0</v>
      </c>
      <c r="AW945">
        <v>10</v>
      </c>
      <c r="AX945">
        <v>1</v>
      </c>
      <c r="AY945">
        <v>5</v>
      </c>
      <c r="AZ945">
        <v>2</v>
      </c>
      <c r="BA945">
        <v>1</v>
      </c>
      <c r="BB945">
        <v>1440</v>
      </c>
      <c r="BC945">
        <v>0</v>
      </c>
      <c r="BD945">
        <v>0</v>
      </c>
      <c r="BE945">
        <v>14</v>
      </c>
      <c r="BF945">
        <v>25</v>
      </c>
      <c r="BG945">
        <v>3</v>
      </c>
      <c r="BH945">
        <v>8</v>
      </c>
      <c r="BI945">
        <v>3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0</v>
      </c>
      <c r="BQ945">
        <v>60</v>
      </c>
      <c r="BR945">
        <v>0</v>
      </c>
      <c r="BS945">
        <v>3</v>
      </c>
      <c r="BT945" t="s">
        <v>250</v>
      </c>
      <c r="BU945" t="s">
        <v>273</v>
      </c>
      <c r="BV945" t="b">
        <v>0</v>
      </c>
      <c r="BW945" t="s">
        <v>268</v>
      </c>
    </row>
    <row r="946" spans="1:75">
      <c r="A946" t="s">
        <v>250</v>
      </c>
      <c r="B946" t="s">
        <v>252</v>
      </c>
      <c r="C946">
        <v>642</v>
      </c>
      <c r="D946" t="s">
        <v>253</v>
      </c>
      <c r="E946" t="s">
        <v>254</v>
      </c>
      <c r="F946">
        <v>30</v>
      </c>
      <c r="G946" s="13">
        <v>46265.839120370372</v>
      </c>
      <c r="H946" s="13">
        <v>46265.851504629631</v>
      </c>
      <c r="I946">
        <v>1070</v>
      </c>
      <c r="J946" t="s">
        <v>264</v>
      </c>
      <c r="K946">
        <v>1</v>
      </c>
      <c r="L946">
        <v>0.01</v>
      </c>
      <c r="M946">
        <v>0.01</v>
      </c>
      <c r="N946">
        <v>1</v>
      </c>
      <c r="O946">
        <v>0.01</v>
      </c>
      <c r="P946">
        <v>6.17</v>
      </c>
      <c r="Q946">
        <v>0.81</v>
      </c>
      <c r="R946">
        <v>0.52</v>
      </c>
      <c r="S946" t="s">
        <v>256</v>
      </c>
      <c r="T946" t="s">
        <v>257</v>
      </c>
      <c r="U946">
        <v>10</v>
      </c>
      <c r="V946">
        <v>5553.79</v>
      </c>
      <c r="W946">
        <v>4999.83</v>
      </c>
      <c r="X946">
        <v>4993.83</v>
      </c>
      <c r="Y946">
        <v>0</v>
      </c>
      <c r="Z946">
        <v>0</v>
      </c>
      <c r="AA946">
        <v>35</v>
      </c>
      <c r="AB946">
        <v>50</v>
      </c>
      <c r="AC946">
        <v>5000</v>
      </c>
      <c r="AD946">
        <v>0</v>
      </c>
      <c r="AE946">
        <v>0</v>
      </c>
      <c r="AF946">
        <v>5554.42</v>
      </c>
      <c r="AG946">
        <v>5554.42</v>
      </c>
      <c r="AH946" s="14">
        <v>46265</v>
      </c>
      <c r="AI946" t="s">
        <v>272</v>
      </c>
      <c r="AJ946" s="13">
        <v>46262.99790509259</v>
      </c>
      <c r="AK946">
        <v>5509.79</v>
      </c>
      <c r="AL946" t="s">
        <v>259</v>
      </c>
      <c r="AM946" t="s">
        <v>260</v>
      </c>
      <c r="AN946">
        <v>1400</v>
      </c>
      <c r="AO946">
        <v>0</v>
      </c>
      <c r="AP946">
        <v>35</v>
      </c>
      <c r="AQ946">
        <v>85</v>
      </c>
      <c r="AR946">
        <v>35</v>
      </c>
      <c r="AS946">
        <v>2</v>
      </c>
      <c r="AT946">
        <v>23</v>
      </c>
      <c r="AU946">
        <v>1</v>
      </c>
      <c r="AV946">
        <v>0</v>
      </c>
      <c r="AW946">
        <v>10</v>
      </c>
      <c r="AX946">
        <v>1</v>
      </c>
      <c r="AY946">
        <v>5</v>
      </c>
      <c r="AZ946">
        <v>2</v>
      </c>
      <c r="BA946">
        <v>1</v>
      </c>
      <c r="BB946">
        <v>1440</v>
      </c>
      <c r="BC946">
        <v>0</v>
      </c>
      <c r="BD946">
        <v>0</v>
      </c>
      <c r="BE946">
        <v>14</v>
      </c>
      <c r="BF946">
        <v>25</v>
      </c>
      <c r="BG946">
        <v>3</v>
      </c>
      <c r="BH946">
        <v>8</v>
      </c>
      <c r="BI946">
        <v>3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0</v>
      </c>
      <c r="BQ946">
        <v>60</v>
      </c>
      <c r="BR946">
        <v>0</v>
      </c>
      <c r="BS946">
        <v>3</v>
      </c>
      <c r="BT946" t="s">
        <v>250</v>
      </c>
      <c r="BU946" t="s">
        <v>273</v>
      </c>
      <c r="BV946" t="b">
        <v>0</v>
      </c>
      <c r="BW946" t="s">
        <v>268</v>
      </c>
    </row>
    <row r="947" spans="1:75">
      <c r="A947" t="s">
        <v>250</v>
      </c>
      <c r="B947" t="s">
        <v>252</v>
      </c>
      <c r="C947">
        <v>643</v>
      </c>
      <c r="D947" t="s">
        <v>253</v>
      </c>
      <c r="E947" t="s">
        <v>254</v>
      </c>
      <c r="F947">
        <v>30</v>
      </c>
      <c r="G947" s="13">
        <v>46265.856770833336</v>
      </c>
      <c r="H947" s="13">
        <v>46265.857083333336</v>
      </c>
      <c r="I947">
        <v>27</v>
      </c>
      <c r="J947" t="s">
        <v>255</v>
      </c>
      <c r="K947">
        <v>1</v>
      </c>
      <c r="L947">
        <v>0.01</v>
      </c>
      <c r="M947">
        <v>0.01</v>
      </c>
      <c r="N947">
        <v>1</v>
      </c>
      <c r="O947">
        <v>0.01</v>
      </c>
      <c r="P947">
        <v>0.53</v>
      </c>
      <c r="Q947">
        <v>1.27</v>
      </c>
      <c r="R947">
        <v>1.1000000000000001</v>
      </c>
      <c r="S947" t="s">
        <v>256</v>
      </c>
      <c r="T947" t="s">
        <v>257</v>
      </c>
      <c r="U947">
        <v>11</v>
      </c>
      <c r="V947">
        <v>5554.25</v>
      </c>
      <c r="W947">
        <v>4999.83</v>
      </c>
      <c r="X947">
        <v>4999.47</v>
      </c>
      <c r="Y947">
        <v>0</v>
      </c>
      <c r="Z947">
        <v>0</v>
      </c>
      <c r="AA947">
        <v>35</v>
      </c>
      <c r="AB947">
        <v>50</v>
      </c>
      <c r="AC947">
        <v>5000</v>
      </c>
      <c r="AD947">
        <v>0</v>
      </c>
      <c r="AE947">
        <v>0</v>
      </c>
      <c r="AF947">
        <v>5555.34</v>
      </c>
      <c r="AG947">
        <v>5555.34</v>
      </c>
      <c r="AH947" s="14">
        <v>46265</v>
      </c>
      <c r="AI947" t="s">
        <v>272</v>
      </c>
      <c r="AJ947" s="13">
        <v>46262.99790509259</v>
      </c>
      <c r="AK947">
        <v>5509.79</v>
      </c>
      <c r="AL947" t="s">
        <v>259</v>
      </c>
      <c r="AM947" t="s">
        <v>260</v>
      </c>
      <c r="AN947">
        <v>1400</v>
      </c>
      <c r="AO947">
        <v>0</v>
      </c>
      <c r="AP947">
        <v>35</v>
      </c>
      <c r="AQ947">
        <v>85</v>
      </c>
      <c r="AR947">
        <v>35</v>
      </c>
      <c r="AS947">
        <v>2</v>
      </c>
      <c r="AT947">
        <v>23</v>
      </c>
      <c r="AU947">
        <v>1</v>
      </c>
      <c r="AV947">
        <v>0</v>
      </c>
      <c r="AW947">
        <v>10</v>
      </c>
      <c r="AX947">
        <v>1</v>
      </c>
      <c r="AY947">
        <v>5</v>
      </c>
      <c r="AZ947">
        <v>2</v>
      </c>
      <c r="BA947">
        <v>1</v>
      </c>
      <c r="BB947">
        <v>1440</v>
      </c>
      <c r="BC947">
        <v>0</v>
      </c>
      <c r="BD947">
        <v>0</v>
      </c>
      <c r="BE947">
        <v>14</v>
      </c>
      <c r="BF947">
        <v>25</v>
      </c>
      <c r="BG947">
        <v>3</v>
      </c>
      <c r="BH947">
        <v>8</v>
      </c>
      <c r="BI947">
        <v>3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0</v>
      </c>
      <c r="BQ947">
        <v>60</v>
      </c>
      <c r="BR947">
        <v>0</v>
      </c>
      <c r="BS947">
        <v>3</v>
      </c>
      <c r="BT947" t="s">
        <v>250</v>
      </c>
      <c r="BU947" t="s">
        <v>273</v>
      </c>
      <c r="BV947" t="b">
        <v>0</v>
      </c>
      <c r="BW947" t="s">
        <v>268</v>
      </c>
    </row>
    <row r="948" spans="1:75">
      <c r="A948" t="s">
        <v>250</v>
      </c>
      <c r="B948" t="s">
        <v>252</v>
      </c>
      <c r="C948">
        <v>644</v>
      </c>
      <c r="D948" t="s">
        <v>253</v>
      </c>
      <c r="E948" t="s">
        <v>254</v>
      </c>
      <c r="F948">
        <v>30</v>
      </c>
      <c r="G948" s="13">
        <v>46265.876689814817</v>
      </c>
      <c r="H948" s="13">
        <v>46265.876828703702</v>
      </c>
      <c r="I948">
        <v>12</v>
      </c>
      <c r="J948" t="s">
        <v>264</v>
      </c>
      <c r="K948">
        <v>1</v>
      </c>
      <c r="L948">
        <v>0.01</v>
      </c>
      <c r="M948">
        <v>0.01</v>
      </c>
      <c r="N948">
        <v>1</v>
      </c>
      <c r="O948">
        <v>0.01</v>
      </c>
      <c r="P948">
        <v>0.48</v>
      </c>
      <c r="Q948">
        <v>2.1800000000000002</v>
      </c>
      <c r="R948">
        <v>2.02</v>
      </c>
      <c r="S948" t="s">
        <v>256</v>
      </c>
      <c r="T948" t="s">
        <v>257</v>
      </c>
      <c r="U948">
        <v>11</v>
      </c>
      <c r="V948">
        <v>5555.18</v>
      </c>
      <c r="W948">
        <v>4999.84</v>
      </c>
      <c r="X948">
        <v>4999.5200000000004</v>
      </c>
      <c r="Y948">
        <v>0</v>
      </c>
      <c r="Z948">
        <v>0</v>
      </c>
      <c r="AA948">
        <v>35</v>
      </c>
      <c r="AB948">
        <v>50</v>
      </c>
      <c r="AC948">
        <v>5000</v>
      </c>
      <c r="AD948">
        <v>0</v>
      </c>
      <c r="AE948">
        <v>0</v>
      </c>
      <c r="AF948">
        <v>5557.14</v>
      </c>
      <c r="AG948">
        <v>5557.14</v>
      </c>
      <c r="AH948" s="14">
        <v>46265</v>
      </c>
      <c r="AI948" t="s">
        <v>272</v>
      </c>
      <c r="AJ948" s="13">
        <v>46262.99790509259</v>
      </c>
      <c r="AK948">
        <v>5509.79</v>
      </c>
      <c r="AL948" t="s">
        <v>259</v>
      </c>
      <c r="AM948" t="s">
        <v>260</v>
      </c>
      <c r="AN948">
        <v>1400</v>
      </c>
      <c r="AO948">
        <v>0</v>
      </c>
      <c r="AP948">
        <v>35</v>
      </c>
      <c r="AQ948">
        <v>85</v>
      </c>
      <c r="AR948">
        <v>35</v>
      </c>
      <c r="AS948">
        <v>2</v>
      </c>
      <c r="AT948">
        <v>23</v>
      </c>
      <c r="AU948">
        <v>1</v>
      </c>
      <c r="AV948">
        <v>0</v>
      </c>
      <c r="AW948">
        <v>10</v>
      </c>
      <c r="AX948">
        <v>1</v>
      </c>
      <c r="AY948">
        <v>5</v>
      </c>
      <c r="AZ948">
        <v>2</v>
      </c>
      <c r="BA948">
        <v>1</v>
      </c>
      <c r="BB948">
        <v>1440</v>
      </c>
      <c r="BC948">
        <v>0</v>
      </c>
      <c r="BD948">
        <v>0</v>
      </c>
      <c r="BE948">
        <v>14</v>
      </c>
      <c r="BF948">
        <v>25</v>
      </c>
      <c r="BG948">
        <v>3</v>
      </c>
      <c r="BH948">
        <v>8</v>
      </c>
      <c r="BI948">
        <v>3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0</v>
      </c>
      <c r="BQ948">
        <v>60</v>
      </c>
      <c r="BR948">
        <v>0</v>
      </c>
      <c r="BS948">
        <v>3</v>
      </c>
      <c r="BT948" t="s">
        <v>250</v>
      </c>
      <c r="BU948" t="s">
        <v>273</v>
      </c>
      <c r="BV948" t="b">
        <v>0</v>
      </c>
      <c r="BW948" t="s">
        <v>268</v>
      </c>
    </row>
    <row r="949" spans="1:75">
      <c r="A949" t="s">
        <v>250</v>
      </c>
      <c r="B949" t="s">
        <v>252</v>
      </c>
      <c r="C949">
        <v>645</v>
      </c>
      <c r="D949" t="s">
        <v>253</v>
      </c>
      <c r="E949" t="s">
        <v>254</v>
      </c>
      <c r="F949">
        <v>30</v>
      </c>
      <c r="G949" s="13">
        <v>46265.898587962962</v>
      </c>
      <c r="H949" s="13">
        <v>46266.180601851855</v>
      </c>
      <c r="I949">
        <v>24366</v>
      </c>
      <c r="J949" t="s">
        <v>264</v>
      </c>
      <c r="K949">
        <v>9</v>
      </c>
      <c r="L949">
        <v>0.09</v>
      </c>
      <c r="M949">
        <v>0.01</v>
      </c>
      <c r="N949">
        <v>9</v>
      </c>
      <c r="O949">
        <v>0.09</v>
      </c>
      <c r="P949">
        <v>145.37</v>
      </c>
      <c r="Q949">
        <v>8.43</v>
      </c>
      <c r="R949">
        <v>6.27</v>
      </c>
      <c r="S949" t="s">
        <v>263</v>
      </c>
      <c r="T949" t="s">
        <v>257</v>
      </c>
      <c r="U949">
        <v>11</v>
      </c>
      <c r="V949">
        <v>5556.98</v>
      </c>
      <c r="W949">
        <v>4999.84</v>
      </c>
      <c r="X949">
        <v>4854.63</v>
      </c>
      <c r="Y949">
        <v>0</v>
      </c>
      <c r="Z949">
        <v>0</v>
      </c>
      <c r="AA949">
        <v>35</v>
      </c>
      <c r="AB949">
        <v>50</v>
      </c>
      <c r="AC949">
        <v>5000</v>
      </c>
      <c r="AD949">
        <v>0</v>
      </c>
      <c r="AE949">
        <v>0</v>
      </c>
      <c r="AF949">
        <v>5562.05</v>
      </c>
      <c r="AG949">
        <v>5562.05</v>
      </c>
      <c r="AH949" s="14">
        <v>46265</v>
      </c>
      <c r="AI949" t="s">
        <v>272</v>
      </c>
      <c r="AJ949" s="13">
        <v>46262.99790509259</v>
      </c>
      <c r="AK949">
        <v>5509.79</v>
      </c>
      <c r="AL949" t="s">
        <v>259</v>
      </c>
      <c r="AM949" t="s">
        <v>260</v>
      </c>
      <c r="AN949">
        <v>1400</v>
      </c>
      <c r="AO949">
        <v>0</v>
      </c>
      <c r="AP949">
        <v>35</v>
      </c>
      <c r="AQ949">
        <v>85</v>
      </c>
      <c r="AR949">
        <v>35</v>
      </c>
      <c r="AS949">
        <v>2</v>
      </c>
      <c r="AT949">
        <v>23</v>
      </c>
      <c r="AU949">
        <v>1</v>
      </c>
      <c r="AV949">
        <v>0</v>
      </c>
      <c r="AW949">
        <v>10</v>
      </c>
      <c r="AX949">
        <v>1</v>
      </c>
      <c r="AY949">
        <v>5</v>
      </c>
      <c r="AZ949">
        <v>2</v>
      </c>
      <c r="BA949">
        <v>1</v>
      </c>
      <c r="BB949">
        <v>1440</v>
      </c>
      <c r="BC949">
        <v>0</v>
      </c>
      <c r="BD949">
        <v>0</v>
      </c>
      <c r="BE949">
        <v>14</v>
      </c>
      <c r="BF949">
        <v>25</v>
      </c>
      <c r="BG949">
        <v>3</v>
      </c>
      <c r="BH949">
        <v>8</v>
      </c>
      <c r="BI949">
        <v>3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0</v>
      </c>
      <c r="BQ949">
        <v>60</v>
      </c>
      <c r="BR949">
        <v>0</v>
      </c>
      <c r="BS949">
        <v>3</v>
      </c>
      <c r="BT949" t="s">
        <v>250</v>
      </c>
      <c r="BU949" t="s">
        <v>273</v>
      </c>
      <c r="BV949" t="b">
        <v>0</v>
      </c>
      <c r="BW949" t="s">
        <v>268</v>
      </c>
    </row>
    <row r="950" spans="1:75">
      <c r="A950" t="s">
        <v>250</v>
      </c>
      <c r="B950" t="s">
        <v>252</v>
      </c>
      <c r="C950">
        <v>646</v>
      </c>
      <c r="D950" t="s">
        <v>253</v>
      </c>
      <c r="E950" t="s">
        <v>254</v>
      </c>
      <c r="F950">
        <v>30</v>
      </c>
      <c r="G950" s="13">
        <v>46266.189247685186</v>
      </c>
      <c r="H950" s="13">
        <v>46266.189722222225</v>
      </c>
      <c r="I950">
        <v>41</v>
      </c>
      <c r="J950" t="s">
        <v>264</v>
      </c>
      <c r="K950">
        <v>1</v>
      </c>
      <c r="L950">
        <v>0.01</v>
      </c>
      <c r="M950">
        <v>0.01</v>
      </c>
      <c r="N950">
        <v>1</v>
      </c>
      <c r="O950">
        <v>0.01</v>
      </c>
      <c r="P950">
        <v>1.06</v>
      </c>
      <c r="Q950">
        <v>0.79</v>
      </c>
      <c r="R950">
        <v>0.52</v>
      </c>
      <c r="S950" t="s">
        <v>256</v>
      </c>
      <c r="T950" t="s">
        <v>257</v>
      </c>
      <c r="U950">
        <v>10</v>
      </c>
      <c r="V950">
        <v>5561.87</v>
      </c>
      <c r="W950">
        <v>4999.82</v>
      </c>
      <c r="X950">
        <v>4998.9399999999996</v>
      </c>
      <c r="Y950">
        <v>0</v>
      </c>
      <c r="Z950">
        <v>0</v>
      </c>
      <c r="AA950">
        <v>35</v>
      </c>
      <c r="AB950">
        <v>50</v>
      </c>
      <c r="AC950">
        <v>5000</v>
      </c>
      <c r="AD950">
        <v>0</v>
      </c>
      <c r="AE950">
        <v>0</v>
      </c>
      <c r="AF950">
        <v>5562.49</v>
      </c>
      <c r="AG950">
        <v>5562.49</v>
      </c>
      <c r="AH950" s="14">
        <v>46266</v>
      </c>
      <c r="AI950" t="s">
        <v>272</v>
      </c>
      <c r="AJ950" s="13">
        <v>46262.99790509259</v>
      </c>
      <c r="AK950">
        <v>5509.79</v>
      </c>
      <c r="AL950" t="s">
        <v>259</v>
      </c>
      <c r="AM950" t="s">
        <v>260</v>
      </c>
      <c r="AN950">
        <v>1400</v>
      </c>
      <c r="AO950">
        <v>0</v>
      </c>
      <c r="AP950">
        <v>35</v>
      </c>
      <c r="AQ950">
        <v>85</v>
      </c>
      <c r="AR950">
        <v>35</v>
      </c>
      <c r="AS950">
        <v>2</v>
      </c>
      <c r="AT950">
        <v>23</v>
      </c>
      <c r="AU950">
        <v>1</v>
      </c>
      <c r="AV950">
        <v>0</v>
      </c>
      <c r="AW950">
        <v>10</v>
      </c>
      <c r="AX950">
        <v>1</v>
      </c>
      <c r="AY950">
        <v>5</v>
      </c>
      <c r="AZ950">
        <v>2</v>
      </c>
      <c r="BA950">
        <v>1</v>
      </c>
      <c r="BB950">
        <v>1440</v>
      </c>
      <c r="BC950">
        <v>0</v>
      </c>
      <c r="BD950">
        <v>0</v>
      </c>
      <c r="BE950">
        <v>14</v>
      </c>
      <c r="BF950">
        <v>25</v>
      </c>
      <c r="BG950">
        <v>3</v>
      </c>
      <c r="BH950">
        <v>8</v>
      </c>
      <c r="BI950">
        <v>3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0</v>
      </c>
      <c r="BQ950">
        <v>60</v>
      </c>
      <c r="BR950">
        <v>0</v>
      </c>
      <c r="BS950">
        <v>3</v>
      </c>
      <c r="BT950" t="s">
        <v>250</v>
      </c>
      <c r="BU950" t="s">
        <v>273</v>
      </c>
      <c r="BV950" t="b">
        <v>0</v>
      </c>
      <c r="BW950" t="s">
        <v>268</v>
      </c>
    </row>
    <row r="951" spans="1:75">
      <c r="A951" t="s">
        <v>250</v>
      </c>
      <c r="B951" t="s">
        <v>252</v>
      </c>
      <c r="C951">
        <v>647</v>
      </c>
      <c r="D951" t="s">
        <v>253</v>
      </c>
      <c r="E951" t="s">
        <v>254</v>
      </c>
      <c r="F951">
        <v>30</v>
      </c>
      <c r="G951" s="13">
        <v>46266.211435185185</v>
      </c>
      <c r="H951" s="13">
        <v>46266.211828703701</v>
      </c>
      <c r="I951">
        <v>34</v>
      </c>
      <c r="J951" t="s">
        <v>255</v>
      </c>
      <c r="K951">
        <v>1</v>
      </c>
      <c r="L951">
        <v>0.01</v>
      </c>
      <c r="M951">
        <v>0.01</v>
      </c>
      <c r="N951">
        <v>1</v>
      </c>
      <c r="O951">
        <v>0.01</v>
      </c>
      <c r="P951">
        <v>0.83</v>
      </c>
      <c r="Q951">
        <v>1.53</v>
      </c>
      <c r="R951">
        <v>1.34</v>
      </c>
      <c r="S951" t="s">
        <v>256</v>
      </c>
      <c r="T951" t="s">
        <v>257</v>
      </c>
      <c r="U951">
        <v>11</v>
      </c>
      <c r="V951">
        <v>5562.33</v>
      </c>
      <c r="W951">
        <v>4999.84</v>
      </c>
      <c r="X951">
        <v>4999.17</v>
      </c>
      <c r="Y951">
        <v>0</v>
      </c>
      <c r="Z951">
        <v>0</v>
      </c>
      <c r="AA951">
        <v>35</v>
      </c>
      <c r="AB951">
        <v>50</v>
      </c>
      <c r="AC951">
        <v>5000</v>
      </c>
      <c r="AD951">
        <v>0</v>
      </c>
      <c r="AE951">
        <v>0</v>
      </c>
      <c r="AF951">
        <v>5563.67</v>
      </c>
      <c r="AG951">
        <v>5563.67</v>
      </c>
      <c r="AH951" s="14">
        <v>46266</v>
      </c>
      <c r="AI951" t="s">
        <v>272</v>
      </c>
      <c r="AJ951" s="13">
        <v>46262.99790509259</v>
      </c>
      <c r="AK951">
        <v>5509.79</v>
      </c>
      <c r="AL951" t="s">
        <v>259</v>
      </c>
      <c r="AM951" t="s">
        <v>260</v>
      </c>
      <c r="AN951">
        <v>1400</v>
      </c>
      <c r="AO951">
        <v>0</v>
      </c>
      <c r="AP951">
        <v>35</v>
      </c>
      <c r="AQ951">
        <v>85</v>
      </c>
      <c r="AR951">
        <v>35</v>
      </c>
      <c r="AS951">
        <v>2</v>
      </c>
      <c r="AT951">
        <v>23</v>
      </c>
      <c r="AU951">
        <v>1</v>
      </c>
      <c r="AV951">
        <v>0</v>
      </c>
      <c r="AW951">
        <v>10</v>
      </c>
      <c r="AX951">
        <v>1</v>
      </c>
      <c r="AY951">
        <v>5</v>
      </c>
      <c r="AZ951">
        <v>2</v>
      </c>
      <c r="BA951">
        <v>1</v>
      </c>
      <c r="BB951">
        <v>1440</v>
      </c>
      <c r="BC951">
        <v>0</v>
      </c>
      <c r="BD951">
        <v>0</v>
      </c>
      <c r="BE951">
        <v>14</v>
      </c>
      <c r="BF951">
        <v>25</v>
      </c>
      <c r="BG951">
        <v>3</v>
      </c>
      <c r="BH951">
        <v>8</v>
      </c>
      <c r="BI951">
        <v>3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0</v>
      </c>
      <c r="BQ951">
        <v>60</v>
      </c>
      <c r="BR951">
        <v>0</v>
      </c>
      <c r="BS951">
        <v>3</v>
      </c>
      <c r="BT951" t="s">
        <v>250</v>
      </c>
      <c r="BU951" t="s">
        <v>273</v>
      </c>
      <c r="BV951" t="b">
        <v>0</v>
      </c>
      <c r="BW951" t="s">
        <v>268</v>
      </c>
    </row>
    <row r="952" spans="1:75">
      <c r="A952" t="s">
        <v>250</v>
      </c>
      <c r="B952" t="s">
        <v>252</v>
      </c>
      <c r="C952">
        <v>648</v>
      </c>
      <c r="D952" t="s">
        <v>253</v>
      </c>
      <c r="E952" t="s">
        <v>254</v>
      </c>
      <c r="F952">
        <v>30</v>
      </c>
      <c r="G952" s="13">
        <v>46266.229583333334</v>
      </c>
      <c r="H952" s="13">
        <v>46266.230115740742</v>
      </c>
      <c r="I952">
        <v>46</v>
      </c>
      <c r="J952" t="s">
        <v>264</v>
      </c>
      <c r="K952">
        <v>1</v>
      </c>
      <c r="L952">
        <v>0.01</v>
      </c>
      <c r="M952">
        <v>0.01</v>
      </c>
      <c r="N952">
        <v>1</v>
      </c>
      <c r="O952">
        <v>0.01</v>
      </c>
      <c r="P952">
        <v>1.03</v>
      </c>
      <c r="Q952">
        <v>2.1</v>
      </c>
      <c r="R952">
        <v>2.02</v>
      </c>
      <c r="S952" t="s">
        <v>256</v>
      </c>
      <c r="T952" t="s">
        <v>257</v>
      </c>
      <c r="U952">
        <v>11</v>
      </c>
      <c r="V952">
        <v>5563.51</v>
      </c>
      <c r="W952">
        <v>4999.84</v>
      </c>
      <c r="X952">
        <v>4998.97</v>
      </c>
      <c r="Y952">
        <v>0</v>
      </c>
      <c r="Z952">
        <v>0</v>
      </c>
      <c r="AA952">
        <v>35</v>
      </c>
      <c r="AB952">
        <v>50</v>
      </c>
      <c r="AC952">
        <v>5000</v>
      </c>
      <c r="AD952">
        <v>0</v>
      </c>
      <c r="AE952">
        <v>0</v>
      </c>
      <c r="AF952">
        <v>5565.42</v>
      </c>
      <c r="AG952">
        <v>5565.42</v>
      </c>
      <c r="AH952" s="14">
        <v>46266</v>
      </c>
      <c r="AI952" t="s">
        <v>272</v>
      </c>
      <c r="AJ952" s="13">
        <v>46262.99790509259</v>
      </c>
      <c r="AK952">
        <v>5509.79</v>
      </c>
      <c r="AL952" t="s">
        <v>259</v>
      </c>
      <c r="AM952" t="s">
        <v>260</v>
      </c>
      <c r="AN952">
        <v>1400</v>
      </c>
      <c r="AO952">
        <v>0</v>
      </c>
      <c r="AP952">
        <v>35</v>
      </c>
      <c r="AQ952">
        <v>85</v>
      </c>
      <c r="AR952">
        <v>35</v>
      </c>
      <c r="AS952">
        <v>2</v>
      </c>
      <c r="AT952">
        <v>23</v>
      </c>
      <c r="AU952">
        <v>1</v>
      </c>
      <c r="AV952">
        <v>0</v>
      </c>
      <c r="AW952">
        <v>10</v>
      </c>
      <c r="AX952">
        <v>1</v>
      </c>
      <c r="AY952">
        <v>5</v>
      </c>
      <c r="AZ952">
        <v>2</v>
      </c>
      <c r="BA952">
        <v>1</v>
      </c>
      <c r="BB952">
        <v>1440</v>
      </c>
      <c r="BC952">
        <v>0</v>
      </c>
      <c r="BD952">
        <v>0</v>
      </c>
      <c r="BE952">
        <v>14</v>
      </c>
      <c r="BF952">
        <v>25</v>
      </c>
      <c r="BG952">
        <v>3</v>
      </c>
      <c r="BH952">
        <v>8</v>
      </c>
      <c r="BI952">
        <v>3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0</v>
      </c>
      <c r="BQ952">
        <v>60</v>
      </c>
      <c r="BR952">
        <v>0</v>
      </c>
      <c r="BS952">
        <v>3</v>
      </c>
      <c r="BT952" t="s">
        <v>250</v>
      </c>
      <c r="BU952" t="s">
        <v>273</v>
      </c>
      <c r="BV952" t="b">
        <v>0</v>
      </c>
      <c r="BW952" t="s">
        <v>268</v>
      </c>
    </row>
    <row r="953" spans="1:75">
      <c r="A953" t="s">
        <v>250</v>
      </c>
      <c r="B953" t="s">
        <v>252</v>
      </c>
      <c r="C953">
        <v>649</v>
      </c>
      <c r="D953" t="s">
        <v>253</v>
      </c>
      <c r="E953" t="s">
        <v>254</v>
      </c>
      <c r="F953">
        <v>30</v>
      </c>
      <c r="G953" s="13">
        <v>46266.251793981479</v>
      </c>
      <c r="H953" s="13">
        <v>46266.252812500003</v>
      </c>
      <c r="I953">
        <v>88</v>
      </c>
      <c r="J953" t="s">
        <v>264</v>
      </c>
      <c r="K953">
        <v>1</v>
      </c>
      <c r="L953">
        <v>0.01</v>
      </c>
      <c r="M953">
        <v>0.01</v>
      </c>
      <c r="N953">
        <v>1</v>
      </c>
      <c r="O953">
        <v>0.01</v>
      </c>
      <c r="P953">
        <v>1.72</v>
      </c>
      <c r="Q953">
        <v>0.86</v>
      </c>
      <c r="R953">
        <v>0.52</v>
      </c>
      <c r="S953" t="s">
        <v>256</v>
      </c>
      <c r="T953" t="s">
        <v>257</v>
      </c>
      <c r="U953">
        <v>10</v>
      </c>
      <c r="V953">
        <v>5565.25</v>
      </c>
      <c r="W953">
        <v>4999.83</v>
      </c>
      <c r="X953">
        <v>4998.28</v>
      </c>
      <c r="Y953">
        <v>0</v>
      </c>
      <c r="Z953">
        <v>0</v>
      </c>
      <c r="AA953">
        <v>35</v>
      </c>
      <c r="AB953">
        <v>50</v>
      </c>
      <c r="AC953">
        <v>5000</v>
      </c>
      <c r="AD953">
        <v>0</v>
      </c>
      <c r="AE953">
        <v>0</v>
      </c>
      <c r="AF953">
        <v>5565.93</v>
      </c>
      <c r="AG953">
        <v>5565.93</v>
      </c>
      <c r="AH953" s="14">
        <v>46266</v>
      </c>
      <c r="AI953" t="s">
        <v>272</v>
      </c>
      <c r="AJ953" s="13">
        <v>46262.99790509259</v>
      </c>
      <c r="AK953">
        <v>5509.79</v>
      </c>
      <c r="AL953" t="s">
        <v>259</v>
      </c>
      <c r="AM953" t="s">
        <v>260</v>
      </c>
      <c r="AN953">
        <v>1400</v>
      </c>
      <c r="AO953">
        <v>0</v>
      </c>
      <c r="AP953">
        <v>35</v>
      </c>
      <c r="AQ953">
        <v>85</v>
      </c>
      <c r="AR953">
        <v>35</v>
      </c>
      <c r="AS953">
        <v>2</v>
      </c>
      <c r="AT953">
        <v>23</v>
      </c>
      <c r="AU953">
        <v>1</v>
      </c>
      <c r="AV953">
        <v>0</v>
      </c>
      <c r="AW953">
        <v>10</v>
      </c>
      <c r="AX953">
        <v>1</v>
      </c>
      <c r="AY953">
        <v>5</v>
      </c>
      <c r="AZ953">
        <v>2</v>
      </c>
      <c r="BA953">
        <v>1</v>
      </c>
      <c r="BB953">
        <v>1440</v>
      </c>
      <c r="BC953">
        <v>0</v>
      </c>
      <c r="BD953">
        <v>0</v>
      </c>
      <c r="BE953">
        <v>14</v>
      </c>
      <c r="BF953">
        <v>25</v>
      </c>
      <c r="BG953">
        <v>3</v>
      </c>
      <c r="BH953">
        <v>8</v>
      </c>
      <c r="BI953">
        <v>3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0</v>
      </c>
      <c r="BQ953">
        <v>60</v>
      </c>
      <c r="BR953">
        <v>0</v>
      </c>
      <c r="BS953">
        <v>3</v>
      </c>
      <c r="BT953" t="s">
        <v>250</v>
      </c>
      <c r="BU953" t="s">
        <v>273</v>
      </c>
      <c r="BV953" t="b">
        <v>0</v>
      </c>
      <c r="BW953" t="s">
        <v>268</v>
      </c>
    </row>
    <row r="954" spans="1:75">
      <c r="A954" t="s">
        <v>250</v>
      </c>
      <c r="B954" t="s">
        <v>252</v>
      </c>
      <c r="C954">
        <v>650</v>
      </c>
      <c r="D954" t="s">
        <v>253</v>
      </c>
      <c r="E954" t="s">
        <v>254</v>
      </c>
      <c r="F954">
        <v>30</v>
      </c>
      <c r="G954" s="13">
        <v>46266.276666666665</v>
      </c>
      <c r="H954" s="13">
        <v>46266.277916666666</v>
      </c>
      <c r="I954">
        <v>108</v>
      </c>
      <c r="J954" t="s">
        <v>255</v>
      </c>
      <c r="K954">
        <v>1</v>
      </c>
      <c r="L954">
        <v>0.01</v>
      </c>
      <c r="M954">
        <v>0.01</v>
      </c>
      <c r="N954">
        <v>1</v>
      </c>
      <c r="O954">
        <v>0.01</v>
      </c>
      <c r="P954">
        <v>1.89</v>
      </c>
      <c r="Q954">
        <v>1.05</v>
      </c>
      <c r="R954">
        <v>0.69</v>
      </c>
      <c r="S954" t="s">
        <v>256</v>
      </c>
      <c r="T954" t="s">
        <v>257</v>
      </c>
      <c r="U954">
        <v>11</v>
      </c>
      <c r="V954">
        <v>5565.77</v>
      </c>
      <c r="W954">
        <v>4999.84</v>
      </c>
      <c r="X954">
        <v>4998.1099999999997</v>
      </c>
      <c r="Y954">
        <v>0</v>
      </c>
      <c r="Z954">
        <v>0</v>
      </c>
      <c r="AA954">
        <v>35</v>
      </c>
      <c r="AB954">
        <v>50</v>
      </c>
      <c r="AC954">
        <v>5000</v>
      </c>
      <c r="AD954">
        <v>0</v>
      </c>
      <c r="AE954">
        <v>0</v>
      </c>
      <c r="AF954">
        <v>5566.63</v>
      </c>
      <c r="AG954">
        <v>5566.63</v>
      </c>
      <c r="AH954" s="14">
        <v>46266</v>
      </c>
      <c r="AI954" t="s">
        <v>272</v>
      </c>
      <c r="AJ954" s="13">
        <v>46262.99790509259</v>
      </c>
      <c r="AK954">
        <v>5509.79</v>
      </c>
      <c r="AL954" t="s">
        <v>259</v>
      </c>
      <c r="AM954" t="s">
        <v>260</v>
      </c>
      <c r="AN954">
        <v>1400</v>
      </c>
      <c r="AO954">
        <v>0</v>
      </c>
      <c r="AP954">
        <v>35</v>
      </c>
      <c r="AQ954">
        <v>85</v>
      </c>
      <c r="AR954">
        <v>35</v>
      </c>
      <c r="AS954">
        <v>2</v>
      </c>
      <c r="AT954">
        <v>23</v>
      </c>
      <c r="AU954">
        <v>1</v>
      </c>
      <c r="AV954">
        <v>0</v>
      </c>
      <c r="AW954">
        <v>10</v>
      </c>
      <c r="AX954">
        <v>1</v>
      </c>
      <c r="AY954">
        <v>5</v>
      </c>
      <c r="AZ954">
        <v>2</v>
      </c>
      <c r="BA954">
        <v>1</v>
      </c>
      <c r="BB954">
        <v>1440</v>
      </c>
      <c r="BC954">
        <v>0</v>
      </c>
      <c r="BD954">
        <v>0</v>
      </c>
      <c r="BE954">
        <v>14</v>
      </c>
      <c r="BF954">
        <v>25</v>
      </c>
      <c r="BG954">
        <v>3</v>
      </c>
      <c r="BH954">
        <v>8</v>
      </c>
      <c r="BI954">
        <v>3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0</v>
      </c>
      <c r="BQ954">
        <v>60</v>
      </c>
      <c r="BR954">
        <v>0</v>
      </c>
      <c r="BS954">
        <v>3</v>
      </c>
      <c r="BT954" t="s">
        <v>250</v>
      </c>
      <c r="BU954" t="s">
        <v>273</v>
      </c>
      <c r="BV954" t="b">
        <v>0</v>
      </c>
      <c r="BW954" t="s">
        <v>268</v>
      </c>
    </row>
    <row r="955" spans="1:75">
      <c r="A955" t="s">
        <v>250</v>
      </c>
      <c r="B955" t="s">
        <v>252</v>
      </c>
      <c r="C955">
        <v>651</v>
      </c>
      <c r="D955" t="s">
        <v>253</v>
      </c>
      <c r="E955" t="s">
        <v>254</v>
      </c>
      <c r="F955">
        <v>30</v>
      </c>
      <c r="G955" s="13">
        <v>46266.2971412037</v>
      </c>
      <c r="H955" s="13">
        <v>46266.297650462962</v>
      </c>
      <c r="I955">
        <v>44</v>
      </c>
      <c r="J955" t="s">
        <v>264</v>
      </c>
      <c r="K955">
        <v>1</v>
      </c>
      <c r="L955">
        <v>0.01</v>
      </c>
      <c r="M955">
        <v>0.01</v>
      </c>
      <c r="N955">
        <v>1</v>
      </c>
      <c r="O955">
        <v>0.01</v>
      </c>
      <c r="P955">
        <v>0.27</v>
      </c>
      <c r="Q955">
        <v>0.98</v>
      </c>
      <c r="R955">
        <v>0.8</v>
      </c>
      <c r="S955" t="s">
        <v>256</v>
      </c>
      <c r="T955" t="s">
        <v>257</v>
      </c>
      <c r="U955">
        <v>10</v>
      </c>
      <c r="V955">
        <v>5566.47</v>
      </c>
      <c r="W955">
        <v>4999.84</v>
      </c>
      <c r="X955">
        <v>4999.7299999999996</v>
      </c>
      <c r="Y955">
        <v>0</v>
      </c>
      <c r="Z955">
        <v>0</v>
      </c>
      <c r="AA955">
        <v>35</v>
      </c>
      <c r="AB955">
        <v>50</v>
      </c>
      <c r="AC955">
        <v>5000</v>
      </c>
      <c r="AD955">
        <v>0</v>
      </c>
      <c r="AE955">
        <v>0</v>
      </c>
      <c r="AF955">
        <v>5567.25</v>
      </c>
      <c r="AG955">
        <v>5567.25</v>
      </c>
      <c r="AH955" s="14">
        <v>46266</v>
      </c>
      <c r="AI955" t="s">
        <v>272</v>
      </c>
      <c r="AJ955" s="13">
        <v>46262.99790509259</v>
      </c>
      <c r="AK955">
        <v>5509.79</v>
      </c>
      <c r="AL955" t="s">
        <v>259</v>
      </c>
      <c r="AM955" t="s">
        <v>260</v>
      </c>
      <c r="AN955">
        <v>1400</v>
      </c>
      <c r="AO955">
        <v>0</v>
      </c>
      <c r="AP955">
        <v>35</v>
      </c>
      <c r="AQ955">
        <v>85</v>
      </c>
      <c r="AR955">
        <v>35</v>
      </c>
      <c r="AS955">
        <v>2</v>
      </c>
      <c r="AT955">
        <v>23</v>
      </c>
      <c r="AU955">
        <v>1</v>
      </c>
      <c r="AV955">
        <v>0</v>
      </c>
      <c r="AW955">
        <v>10</v>
      </c>
      <c r="AX955">
        <v>1</v>
      </c>
      <c r="AY955">
        <v>5</v>
      </c>
      <c r="AZ955">
        <v>2</v>
      </c>
      <c r="BA955">
        <v>1</v>
      </c>
      <c r="BB955">
        <v>1440</v>
      </c>
      <c r="BC955">
        <v>0</v>
      </c>
      <c r="BD955">
        <v>0</v>
      </c>
      <c r="BE955">
        <v>14</v>
      </c>
      <c r="BF955">
        <v>25</v>
      </c>
      <c r="BG955">
        <v>3</v>
      </c>
      <c r="BH955">
        <v>8</v>
      </c>
      <c r="BI955">
        <v>3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0</v>
      </c>
      <c r="BQ955">
        <v>60</v>
      </c>
      <c r="BR955">
        <v>0</v>
      </c>
      <c r="BS955">
        <v>3</v>
      </c>
      <c r="BT955" t="s">
        <v>250</v>
      </c>
      <c r="BU955" t="s">
        <v>273</v>
      </c>
      <c r="BV955" t="b">
        <v>0</v>
      </c>
      <c r="BW955" t="s">
        <v>268</v>
      </c>
    </row>
    <row r="956" spans="1:75">
      <c r="A956" t="s">
        <v>250</v>
      </c>
      <c r="B956" t="s">
        <v>252</v>
      </c>
      <c r="C956">
        <v>652</v>
      </c>
      <c r="D956" t="s">
        <v>253</v>
      </c>
      <c r="E956" t="s">
        <v>254</v>
      </c>
      <c r="F956">
        <v>30</v>
      </c>
      <c r="G956" s="13">
        <v>46266.320937500001</v>
      </c>
      <c r="H956" s="13">
        <v>46266.323796296296</v>
      </c>
      <c r="I956">
        <v>247</v>
      </c>
      <c r="J956" t="s">
        <v>264</v>
      </c>
      <c r="K956">
        <v>1</v>
      </c>
      <c r="L956">
        <v>0.01</v>
      </c>
      <c r="M956">
        <v>0.01</v>
      </c>
      <c r="N956">
        <v>1</v>
      </c>
      <c r="O956">
        <v>0.01</v>
      </c>
      <c r="P956">
        <v>2.2400000000000002</v>
      </c>
      <c r="Q956">
        <v>1.24</v>
      </c>
      <c r="R956">
        <v>0.67</v>
      </c>
      <c r="S956" t="s">
        <v>256</v>
      </c>
      <c r="T956" t="s">
        <v>257</v>
      </c>
      <c r="U956">
        <v>11</v>
      </c>
      <c r="V956">
        <v>5567.08</v>
      </c>
      <c r="W956">
        <v>4999.83</v>
      </c>
      <c r="X956">
        <v>4997.76</v>
      </c>
      <c r="Y956">
        <v>0</v>
      </c>
      <c r="Z956">
        <v>0</v>
      </c>
      <c r="AA956">
        <v>35</v>
      </c>
      <c r="AB956">
        <v>50</v>
      </c>
      <c r="AC956">
        <v>5000</v>
      </c>
      <c r="AD956">
        <v>0</v>
      </c>
      <c r="AE956">
        <v>0</v>
      </c>
      <c r="AF956">
        <v>5567.95</v>
      </c>
      <c r="AG956">
        <v>5567.95</v>
      </c>
      <c r="AH956" s="14">
        <v>46266</v>
      </c>
      <c r="AI956" t="s">
        <v>272</v>
      </c>
      <c r="AJ956" s="13">
        <v>46262.99790509259</v>
      </c>
      <c r="AK956">
        <v>5509.79</v>
      </c>
      <c r="AL956" t="s">
        <v>259</v>
      </c>
      <c r="AM956" t="s">
        <v>260</v>
      </c>
      <c r="AN956">
        <v>1400</v>
      </c>
      <c r="AO956">
        <v>0</v>
      </c>
      <c r="AP956">
        <v>35</v>
      </c>
      <c r="AQ956">
        <v>85</v>
      </c>
      <c r="AR956">
        <v>35</v>
      </c>
      <c r="AS956">
        <v>2</v>
      </c>
      <c r="AT956">
        <v>23</v>
      </c>
      <c r="AU956">
        <v>1</v>
      </c>
      <c r="AV956">
        <v>0</v>
      </c>
      <c r="AW956">
        <v>10</v>
      </c>
      <c r="AX956">
        <v>1</v>
      </c>
      <c r="AY956">
        <v>5</v>
      </c>
      <c r="AZ956">
        <v>2</v>
      </c>
      <c r="BA956">
        <v>1</v>
      </c>
      <c r="BB956">
        <v>1440</v>
      </c>
      <c r="BC956">
        <v>0</v>
      </c>
      <c r="BD956">
        <v>0</v>
      </c>
      <c r="BE956">
        <v>14</v>
      </c>
      <c r="BF956">
        <v>25</v>
      </c>
      <c r="BG956">
        <v>3</v>
      </c>
      <c r="BH956">
        <v>8</v>
      </c>
      <c r="BI956">
        <v>3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0</v>
      </c>
      <c r="BQ956">
        <v>60</v>
      </c>
      <c r="BR956">
        <v>0</v>
      </c>
      <c r="BS956">
        <v>3</v>
      </c>
      <c r="BT956" t="s">
        <v>250</v>
      </c>
      <c r="BU956" t="s">
        <v>273</v>
      </c>
      <c r="BV956" t="b">
        <v>0</v>
      </c>
      <c r="BW956" t="s">
        <v>268</v>
      </c>
    </row>
    <row r="957" spans="1:75">
      <c r="A957" t="s">
        <v>250</v>
      </c>
      <c r="B957" t="s">
        <v>252</v>
      </c>
      <c r="C957">
        <v>653</v>
      </c>
      <c r="D957" t="s">
        <v>253</v>
      </c>
      <c r="E957" t="s">
        <v>254</v>
      </c>
      <c r="F957">
        <v>30</v>
      </c>
      <c r="G957" s="13">
        <v>46266.335439814815</v>
      </c>
      <c r="H957" s="13">
        <v>46266.336736111109</v>
      </c>
      <c r="I957">
        <v>112</v>
      </c>
      <c r="J957" t="s">
        <v>255</v>
      </c>
      <c r="K957">
        <v>1</v>
      </c>
      <c r="L957">
        <v>0.01</v>
      </c>
      <c r="M957">
        <v>0.01</v>
      </c>
      <c r="N957">
        <v>1</v>
      </c>
      <c r="O957">
        <v>0.01</v>
      </c>
      <c r="P957">
        <v>0.78</v>
      </c>
      <c r="Q957">
        <v>1.59</v>
      </c>
      <c r="R957">
        <v>1.25</v>
      </c>
      <c r="S957" t="s">
        <v>256</v>
      </c>
      <c r="T957" t="s">
        <v>257</v>
      </c>
      <c r="U957">
        <v>11</v>
      </c>
      <c r="V957">
        <v>5567.78</v>
      </c>
      <c r="W957">
        <v>4999.83</v>
      </c>
      <c r="X957">
        <v>4999.22</v>
      </c>
      <c r="Y957">
        <v>0</v>
      </c>
      <c r="Z957">
        <v>0</v>
      </c>
      <c r="AA957">
        <v>35</v>
      </c>
      <c r="AB957">
        <v>50</v>
      </c>
      <c r="AC957">
        <v>5000</v>
      </c>
      <c r="AD957">
        <v>0</v>
      </c>
      <c r="AE957">
        <v>0</v>
      </c>
      <c r="AF957">
        <v>5569.15</v>
      </c>
      <c r="AG957">
        <v>5569.15</v>
      </c>
      <c r="AH957" s="14">
        <v>46266</v>
      </c>
      <c r="AI957" t="s">
        <v>272</v>
      </c>
      <c r="AJ957" s="13">
        <v>46262.99790509259</v>
      </c>
      <c r="AK957">
        <v>5509.79</v>
      </c>
      <c r="AL957" t="s">
        <v>259</v>
      </c>
      <c r="AM957" t="s">
        <v>260</v>
      </c>
      <c r="AN957">
        <v>1400</v>
      </c>
      <c r="AO957">
        <v>0</v>
      </c>
      <c r="AP957">
        <v>35</v>
      </c>
      <c r="AQ957">
        <v>85</v>
      </c>
      <c r="AR957">
        <v>35</v>
      </c>
      <c r="AS957">
        <v>2</v>
      </c>
      <c r="AT957">
        <v>23</v>
      </c>
      <c r="AU957">
        <v>1</v>
      </c>
      <c r="AV957">
        <v>0</v>
      </c>
      <c r="AW957">
        <v>10</v>
      </c>
      <c r="AX957">
        <v>1</v>
      </c>
      <c r="AY957">
        <v>5</v>
      </c>
      <c r="AZ957">
        <v>2</v>
      </c>
      <c r="BA957">
        <v>1</v>
      </c>
      <c r="BB957">
        <v>1440</v>
      </c>
      <c r="BC957">
        <v>0</v>
      </c>
      <c r="BD957">
        <v>0</v>
      </c>
      <c r="BE957">
        <v>14</v>
      </c>
      <c r="BF957">
        <v>25</v>
      </c>
      <c r="BG957">
        <v>3</v>
      </c>
      <c r="BH957">
        <v>8</v>
      </c>
      <c r="BI957">
        <v>3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0</v>
      </c>
      <c r="BQ957">
        <v>60</v>
      </c>
      <c r="BR957">
        <v>0</v>
      </c>
      <c r="BS957">
        <v>3</v>
      </c>
      <c r="BT957" t="s">
        <v>250</v>
      </c>
      <c r="BU957" t="s">
        <v>273</v>
      </c>
      <c r="BV957" t="b">
        <v>0</v>
      </c>
      <c r="BW957" t="s">
        <v>268</v>
      </c>
    </row>
    <row r="958" spans="1:75">
      <c r="A958" t="s">
        <v>250</v>
      </c>
      <c r="B958" t="s">
        <v>252</v>
      </c>
      <c r="C958">
        <v>654</v>
      </c>
      <c r="D958" t="s">
        <v>253</v>
      </c>
      <c r="E958" t="s">
        <v>254</v>
      </c>
      <c r="F958">
        <v>30</v>
      </c>
      <c r="G958" s="13">
        <v>46266.354351851849</v>
      </c>
      <c r="H958" s="13">
        <v>46266.354583333334</v>
      </c>
      <c r="I958">
        <v>20</v>
      </c>
      <c r="J958" t="s">
        <v>255</v>
      </c>
      <c r="K958">
        <v>1</v>
      </c>
      <c r="L958">
        <v>0.01</v>
      </c>
      <c r="M958">
        <v>0.01</v>
      </c>
      <c r="N958">
        <v>1</v>
      </c>
      <c r="O958">
        <v>0.01</v>
      </c>
      <c r="P958">
        <v>0.6</v>
      </c>
      <c r="Q958">
        <v>1.4</v>
      </c>
      <c r="R958">
        <v>1.17</v>
      </c>
      <c r="S958" t="s">
        <v>256</v>
      </c>
      <c r="T958" t="s">
        <v>257</v>
      </c>
      <c r="U958">
        <v>11</v>
      </c>
      <c r="V958">
        <v>5568.98</v>
      </c>
      <c r="W958">
        <v>4999.83</v>
      </c>
      <c r="X958">
        <v>4999.3999999999996</v>
      </c>
      <c r="Y958">
        <v>0</v>
      </c>
      <c r="Z958">
        <v>0</v>
      </c>
      <c r="AA958">
        <v>35</v>
      </c>
      <c r="AB958">
        <v>50</v>
      </c>
      <c r="AC958">
        <v>5000</v>
      </c>
      <c r="AD958">
        <v>0</v>
      </c>
      <c r="AE958">
        <v>0</v>
      </c>
      <c r="AF958">
        <v>5570.2</v>
      </c>
      <c r="AG958">
        <v>5570.2</v>
      </c>
      <c r="AH958" s="14">
        <v>46266</v>
      </c>
      <c r="AI958" t="s">
        <v>272</v>
      </c>
      <c r="AJ958" s="13">
        <v>46262.99790509259</v>
      </c>
      <c r="AK958">
        <v>5509.79</v>
      </c>
      <c r="AL958" t="s">
        <v>259</v>
      </c>
      <c r="AM958" t="s">
        <v>260</v>
      </c>
      <c r="AN958">
        <v>1400</v>
      </c>
      <c r="AO958">
        <v>0</v>
      </c>
      <c r="AP958">
        <v>35</v>
      </c>
      <c r="AQ958">
        <v>85</v>
      </c>
      <c r="AR958">
        <v>35</v>
      </c>
      <c r="AS958">
        <v>2</v>
      </c>
      <c r="AT958">
        <v>23</v>
      </c>
      <c r="AU958">
        <v>1</v>
      </c>
      <c r="AV958">
        <v>0</v>
      </c>
      <c r="AW958">
        <v>10</v>
      </c>
      <c r="AX958">
        <v>1</v>
      </c>
      <c r="AY958">
        <v>5</v>
      </c>
      <c r="AZ958">
        <v>2</v>
      </c>
      <c r="BA958">
        <v>1</v>
      </c>
      <c r="BB958">
        <v>1440</v>
      </c>
      <c r="BC958">
        <v>0</v>
      </c>
      <c r="BD958">
        <v>0</v>
      </c>
      <c r="BE958">
        <v>14</v>
      </c>
      <c r="BF958">
        <v>25</v>
      </c>
      <c r="BG958">
        <v>3</v>
      </c>
      <c r="BH958">
        <v>8</v>
      </c>
      <c r="BI958">
        <v>3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0</v>
      </c>
      <c r="BQ958">
        <v>60</v>
      </c>
      <c r="BR958">
        <v>0</v>
      </c>
      <c r="BS958">
        <v>3</v>
      </c>
      <c r="BT958" t="s">
        <v>250</v>
      </c>
      <c r="BU958" t="s">
        <v>273</v>
      </c>
      <c r="BV958" t="b">
        <v>0</v>
      </c>
      <c r="BW958" t="s">
        <v>268</v>
      </c>
    </row>
    <row r="959" spans="1:75">
      <c r="A959" t="s">
        <v>250</v>
      </c>
      <c r="B959" t="s">
        <v>252</v>
      </c>
      <c r="C959">
        <v>655</v>
      </c>
      <c r="D959" t="s">
        <v>253</v>
      </c>
      <c r="E959" t="s">
        <v>254</v>
      </c>
      <c r="F959">
        <v>30</v>
      </c>
      <c r="G959" s="13">
        <v>46266.377430555556</v>
      </c>
      <c r="H959" s="13">
        <v>46266.37809027778</v>
      </c>
      <c r="I959">
        <v>57</v>
      </c>
      <c r="J959" t="s">
        <v>264</v>
      </c>
      <c r="K959">
        <v>1</v>
      </c>
      <c r="L959">
        <v>0.01</v>
      </c>
      <c r="M959">
        <v>0.01</v>
      </c>
      <c r="N959">
        <v>1</v>
      </c>
      <c r="O959">
        <v>0.01</v>
      </c>
      <c r="P959">
        <v>0.53</v>
      </c>
      <c r="Q959">
        <v>1.17</v>
      </c>
      <c r="R959">
        <v>1.02</v>
      </c>
      <c r="S959" t="s">
        <v>256</v>
      </c>
      <c r="T959" t="s">
        <v>257</v>
      </c>
      <c r="U959">
        <v>10</v>
      </c>
      <c r="V959">
        <v>5570.04</v>
      </c>
      <c r="W959">
        <v>4999.84</v>
      </c>
      <c r="X959">
        <v>4999.47</v>
      </c>
      <c r="Y959">
        <v>0</v>
      </c>
      <c r="Z959">
        <v>0</v>
      </c>
      <c r="AA959">
        <v>35</v>
      </c>
      <c r="AB959">
        <v>50</v>
      </c>
      <c r="AC959">
        <v>5000</v>
      </c>
      <c r="AD959">
        <v>0</v>
      </c>
      <c r="AE959">
        <v>0</v>
      </c>
      <c r="AF959">
        <v>5571.02</v>
      </c>
      <c r="AG959">
        <v>5571.02</v>
      </c>
      <c r="AH959" s="14">
        <v>46266</v>
      </c>
      <c r="AI959" t="s">
        <v>272</v>
      </c>
      <c r="AJ959" s="13">
        <v>46262.99790509259</v>
      </c>
      <c r="AK959">
        <v>5509.79</v>
      </c>
      <c r="AL959" t="s">
        <v>259</v>
      </c>
      <c r="AM959" t="s">
        <v>260</v>
      </c>
      <c r="AN959">
        <v>1400</v>
      </c>
      <c r="AO959">
        <v>0</v>
      </c>
      <c r="AP959">
        <v>35</v>
      </c>
      <c r="AQ959">
        <v>85</v>
      </c>
      <c r="AR959">
        <v>35</v>
      </c>
      <c r="AS959">
        <v>2</v>
      </c>
      <c r="AT959">
        <v>23</v>
      </c>
      <c r="AU959">
        <v>1</v>
      </c>
      <c r="AV959">
        <v>0</v>
      </c>
      <c r="AW959">
        <v>10</v>
      </c>
      <c r="AX959">
        <v>1</v>
      </c>
      <c r="AY959">
        <v>5</v>
      </c>
      <c r="AZ959">
        <v>2</v>
      </c>
      <c r="BA959">
        <v>1</v>
      </c>
      <c r="BB959">
        <v>1440</v>
      </c>
      <c r="BC959">
        <v>0</v>
      </c>
      <c r="BD959">
        <v>0</v>
      </c>
      <c r="BE959">
        <v>14</v>
      </c>
      <c r="BF959">
        <v>25</v>
      </c>
      <c r="BG959">
        <v>3</v>
      </c>
      <c r="BH959">
        <v>8</v>
      </c>
      <c r="BI959">
        <v>3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0</v>
      </c>
      <c r="BQ959">
        <v>60</v>
      </c>
      <c r="BR959">
        <v>0</v>
      </c>
      <c r="BS959">
        <v>3</v>
      </c>
      <c r="BT959" t="s">
        <v>250</v>
      </c>
      <c r="BU959" t="s">
        <v>273</v>
      </c>
      <c r="BV959" t="b">
        <v>0</v>
      </c>
      <c r="BW959" t="s">
        <v>268</v>
      </c>
    </row>
    <row r="960" spans="1:75">
      <c r="A960" t="s">
        <v>250</v>
      </c>
      <c r="B960" t="s">
        <v>252</v>
      </c>
      <c r="C960">
        <v>656</v>
      </c>
      <c r="D960" t="s">
        <v>253</v>
      </c>
      <c r="E960" t="s">
        <v>254</v>
      </c>
      <c r="F960">
        <v>30</v>
      </c>
      <c r="G960" s="13">
        <v>46266.401666666665</v>
      </c>
      <c r="H960" s="13">
        <v>46266.402303240742</v>
      </c>
      <c r="I960">
        <v>55</v>
      </c>
      <c r="J960" t="s">
        <v>255</v>
      </c>
      <c r="K960">
        <v>1</v>
      </c>
      <c r="L960">
        <v>0.01</v>
      </c>
      <c r="M960">
        <v>0.01</v>
      </c>
      <c r="N960">
        <v>1</v>
      </c>
      <c r="O960">
        <v>0.01</v>
      </c>
      <c r="P960">
        <v>0.28999999999999998</v>
      </c>
      <c r="Q960">
        <v>1.04</v>
      </c>
      <c r="R960">
        <v>0.75</v>
      </c>
      <c r="S960" t="s">
        <v>256</v>
      </c>
      <c r="T960" t="s">
        <v>257</v>
      </c>
      <c r="U960">
        <v>10</v>
      </c>
      <c r="V960">
        <v>5570.85</v>
      </c>
      <c r="W960">
        <v>4999.83</v>
      </c>
      <c r="X960">
        <v>4999.71</v>
      </c>
      <c r="Y960">
        <v>0</v>
      </c>
      <c r="Z960">
        <v>0</v>
      </c>
      <c r="AA960">
        <v>35</v>
      </c>
      <c r="AB960">
        <v>50</v>
      </c>
      <c r="AC960">
        <v>5000</v>
      </c>
      <c r="AD960">
        <v>0</v>
      </c>
      <c r="AE960">
        <v>0</v>
      </c>
      <c r="AF960">
        <v>5571.71</v>
      </c>
      <c r="AG960">
        <v>5571.71</v>
      </c>
      <c r="AH960" s="14">
        <v>46266</v>
      </c>
      <c r="AI960" t="s">
        <v>272</v>
      </c>
      <c r="AJ960" s="13">
        <v>46262.99790509259</v>
      </c>
      <c r="AK960">
        <v>5509.79</v>
      </c>
      <c r="AL960" t="s">
        <v>259</v>
      </c>
      <c r="AM960" t="s">
        <v>260</v>
      </c>
      <c r="AN960">
        <v>1400</v>
      </c>
      <c r="AO960">
        <v>0</v>
      </c>
      <c r="AP960">
        <v>35</v>
      </c>
      <c r="AQ960">
        <v>85</v>
      </c>
      <c r="AR960">
        <v>35</v>
      </c>
      <c r="AS960">
        <v>2</v>
      </c>
      <c r="AT960">
        <v>23</v>
      </c>
      <c r="AU960">
        <v>1</v>
      </c>
      <c r="AV960">
        <v>0</v>
      </c>
      <c r="AW960">
        <v>10</v>
      </c>
      <c r="AX960">
        <v>1</v>
      </c>
      <c r="AY960">
        <v>5</v>
      </c>
      <c r="AZ960">
        <v>2</v>
      </c>
      <c r="BA960">
        <v>1</v>
      </c>
      <c r="BB960">
        <v>1440</v>
      </c>
      <c r="BC960">
        <v>0</v>
      </c>
      <c r="BD960">
        <v>0</v>
      </c>
      <c r="BE960">
        <v>14</v>
      </c>
      <c r="BF960">
        <v>25</v>
      </c>
      <c r="BG960">
        <v>3</v>
      </c>
      <c r="BH960">
        <v>8</v>
      </c>
      <c r="BI960">
        <v>3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0</v>
      </c>
      <c r="BQ960">
        <v>60</v>
      </c>
      <c r="BR960">
        <v>0</v>
      </c>
      <c r="BS960">
        <v>3</v>
      </c>
      <c r="BT960" t="s">
        <v>250</v>
      </c>
      <c r="BU960" t="s">
        <v>273</v>
      </c>
      <c r="BV960" t="b">
        <v>0</v>
      </c>
      <c r="BW960" t="s">
        <v>268</v>
      </c>
    </row>
    <row r="961" spans="1:75">
      <c r="A961" t="s">
        <v>250</v>
      </c>
      <c r="B961" t="s">
        <v>252</v>
      </c>
      <c r="C961">
        <v>657</v>
      </c>
      <c r="D961" t="s">
        <v>253</v>
      </c>
      <c r="E961" t="s">
        <v>254</v>
      </c>
      <c r="F961">
        <v>30</v>
      </c>
      <c r="G961" s="13">
        <v>46266.418194444443</v>
      </c>
      <c r="H961" s="13">
        <v>46266.418634259258</v>
      </c>
      <c r="I961">
        <v>38</v>
      </c>
      <c r="J961" t="s">
        <v>255</v>
      </c>
      <c r="K961">
        <v>1</v>
      </c>
      <c r="L961">
        <v>0.01</v>
      </c>
      <c r="M961">
        <v>0.01</v>
      </c>
      <c r="N961">
        <v>1</v>
      </c>
      <c r="O961">
        <v>0.01</v>
      </c>
      <c r="P961">
        <v>0.46</v>
      </c>
      <c r="Q961">
        <v>1.9</v>
      </c>
      <c r="R961">
        <v>1.69</v>
      </c>
      <c r="S961" t="s">
        <v>256</v>
      </c>
      <c r="T961" t="s">
        <v>257</v>
      </c>
      <c r="U961">
        <v>10</v>
      </c>
      <c r="V961">
        <v>5571.55</v>
      </c>
      <c r="W961">
        <v>4999.84</v>
      </c>
      <c r="X961">
        <v>4999.54</v>
      </c>
      <c r="Y961">
        <v>0</v>
      </c>
      <c r="Z961">
        <v>0</v>
      </c>
      <c r="AA961">
        <v>35</v>
      </c>
      <c r="AB961">
        <v>50</v>
      </c>
      <c r="AC961">
        <v>5000</v>
      </c>
      <c r="AD961">
        <v>0</v>
      </c>
      <c r="AE961">
        <v>0</v>
      </c>
      <c r="AF961">
        <v>5573.26</v>
      </c>
      <c r="AG961">
        <v>5573.26</v>
      </c>
      <c r="AH961" s="14">
        <v>46266</v>
      </c>
      <c r="AI961" t="s">
        <v>272</v>
      </c>
      <c r="AJ961" s="13">
        <v>46262.99790509259</v>
      </c>
      <c r="AK961">
        <v>5509.79</v>
      </c>
      <c r="AL961" t="s">
        <v>259</v>
      </c>
      <c r="AM961" t="s">
        <v>260</v>
      </c>
      <c r="AN961">
        <v>1400</v>
      </c>
      <c r="AO961">
        <v>0</v>
      </c>
      <c r="AP961">
        <v>35</v>
      </c>
      <c r="AQ961">
        <v>85</v>
      </c>
      <c r="AR961">
        <v>35</v>
      </c>
      <c r="AS961">
        <v>2</v>
      </c>
      <c r="AT961">
        <v>23</v>
      </c>
      <c r="AU961">
        <v>1</v>
      </c>
      <c r="AV961">
        <v>0</v>
      </c>
      <c r="AW961">
        <v>10</v>
      </c>
      <c r="AX961">
        <v>1</v>
      </c>
      <c r="AY961">
        <v>5</v>
      </c>
      <c r="AZ961">
        <v>2</v>
      </c>
      <c r="BA961">
        <v>1</v>
      </c>
      <c r="BB961">
        <v>1440</v>
      </c>
      <c r="BC961">
        <v>0</v>
      </c>
      <c r="BD961">
        <v>0</v>
      </c>
      <c r="BE961">
        <v>14</v>
      </c>
      <c r="BF961">
        <v>25</v>
      </c>
      <c r="BG961">
        <v>3</v>
      </c>
      <c r="BH961">
        <v>8</v>
      </c>
      <c r="BI961">
        <v>3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0</v>
      </c>
      <c r="BQ961">
        <v>60</v>
      </c>
      <c r="BR961">
        <v>0</v>
      </c>
      <c r="BS961">
        <v>3</v>
      </c>
      <c r="BT961" t="s">
        <v>250</v>
      </c>
      <c r="BU961" t="s">
        <v>273</v>
      </c>
      <c r="BV961" t="b">
        <v>0</v>
      </c>
      <c r="BW961" t="s">
        <v>268</v>
      </c>
    </row>
    <row r="962" spans="1:75">
      <c r="A962" t="s">
        <v>250</v>
      </c>
      <c r="B962" t="s">
        <v>252</v>
      </c>
      <c r="C962">
        <v>658</v>
      </c>
      <c r="D962" t="s">
        <v>253</v>
      </c>
      <c r="E962" t="s">
        <v>254</v>
      </c>
      <c r="F962">
        <v>30</v>
      </c>
      <c r="G962" s="13">
        <v>46266.437800925924</v>
      </c>
      <c r="H962" s="13">
        <v>46266.438078703701</v>
      </c>
      <c r="I962">
        <v>24</v>
      </c>
      <c r="J962" t="s">
        <v>264</v>
      </c>
      <c r="K962">
        <v>1</v>
      </c>
      <c r="L962">
        <v>0.01</v>
      </c>
      <c r="M962">
        <v>0.01</v>
      </c>
      <c r="N962">
        <v>1</v>
      </c>
      <c r="O962">
        <v>0.01</v>
      </c>
      <c r="P962">
        <v>0.56999999999999995</v>
      </c>
      <c r="Q962">
        <v>1.87</v>
      </c>
      <c r="R962">
        <v>1.82</v>
      </c>
      <c r="S962" t="s">
        <v>256</v>
      </c>
      <c r="T962" t="s">
        <v>257</v>
      </c>
      <c r="U962">
        <v>10</v>
      </c>
      <c r="V962">
        <v>5573.1</v>
      </c>
      <c r="W962">
        <v>4999.84</v>
      </c>
      <c r="X962">
        <v>4999.43</v>
      </c>
      <c r="Y962">
        <v>0</v>
      </c>
      <c r="Z962">
        <v>0</v>
      </c>
      <c r="AA962">
        <v>35</v>
      </c>
      <c r="AB962">
        <v>50</v>
      </c>
      <c r="AC962">
        <v>5000</v>
      </c>
      <c r="AD962">
        <v>0</v>
      </c>
      <c r="AE962">
        <v>0</v>
      </c>
      <c r="AF962">
        <v>5574.78</v>
      </c>
      <c r="AG962">
        <v>5574.78</v>
      </c>
      <c r="AH962" s="14">
        <v>46266</v>
      </c>
      <c r="AI962" t="s">
        <v>272</v>
      </c>
      <c r="AJ962" s="13">
        <v>46262.99790509259</v>
      </c>
      <c r="AK962">
        <v>5509.79</v>
      </c>
      <c r="AL962" t="s">
        <v>259</v>
      </c>
      <c r="AM962" t="s">
        <v>260</v>
      </c>
      <c r="AN962">
        <v>1400</v>
      </c>
      <c r="AO962">
        <v>0</v>
      </c>
      <c r="AP962">
        <v>35</v>
      </c>
      <c r="AQ962">
        <v>85</v>
      </c>
      <c r="AR962">
        <v>35</v>
      </c>
      <c r="AS962">
        <v>2</v>
      </c>
      <c r="AT962">
        <v>23</v>
      </c>
      <c r="AU962">
        <v>1</v>
      </c>
      <c r="AV962">
        <v>0</v>
      </c>
      <c r="AW962">
        <v>10</v>
      </c>
      <c r="AX962">
        <v>1</v>
      </c>
      <c r="AY962">
        <v>5</v>
      </c>
      <c r="AZ962">
        <v>2</v>
      </c>
      <c r="BA962">
        <v>1</v>
      </c>
      <c r="BB962">
        <v>1440</v>
      </c>
      <c r="BC962">
        <v>0</v>
      </c>
      <c r="BD962">
        <v>0</v>
      </c>
      <c r="BE962">
        <v>14</v>
      </c>
      <c r="BF962">
        <v>25</v>
      </c>
      <c r="BG962">
        <v>3</v>
      </c>
      <c r="BH962">
        <v>8</v>
      </c>
      <c r="BI962">
        <v>3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0</v>
      </c>
      <c r="BQ962">
        <v>60</v>
      </c>
      <c r="BR962">
        <v>0</v>
      </c>
      <c r="BS962">
        <v>3</v>
      </c>
      <c r="BT962" t="s">
        <v>250</v>
      </c>
      <c r="BU962" t="s">
        <v>273</v>
      </c>
      <c r="BV962" t="b">
        <v>0</v>
      </c>
      <c r="BW962" t="s">
        <v>268</v>
      </c>
    </row>
    <row r="963" spans="1:75">
      <c r="A963" t="s">
        <v>250</v>
      </c>
      <c r="B963" t="s">
        <v>252</v>
      </c>
      <c r="C963">
        <v>659</v>
      </c>
      <c r="D963" t="s">
        <v>253</v>
      </c>
      <c r="E963" t="s">
        <v>254</v>
      </c>
      <c r="F963">
        <v>30</v>
      </c>
      <c r="G963" s="13">
        <v>46266.458645833336</v>
      </c>
      <c r="H963" s="13">
        <v>46266.460219907407</v>
      </c>
      <c r="I963">
        <v>136</v>
      </c>
      <c r="J963" t="s">
        <v>264</v>
      </c>
      <c r="K963">
        <v>1</v>
      </c>
      <c r="L963">
        <v>0.01</v>
      </c>
      <c r="M963">
        <v>0.01</v>
      </c>
      <c r="N963">
        <v>1</v>
      </c>
      <c r="O963">
        <v>0.01</v>
      </c>
      <c r="P963">
        <v>0.86</v>
      </c>
      <c r="Q963">
        <v>2</v>
      </c>
      <c r="R963">
        <v>1.82</v>
      </c>
      <c r="S963" t="s">
        <v>256</v>
      </c>
      <c r="T963" t="s">
        <v>257</v>
      </c>
      <c r="U963">
        <v>10</v>
      </c>
      <c r="V963">
        <v>5574.61</v>
      </c>
      <c r="W963">
        <v>4999.83</v>
      </c>
      <c r="X963">
        <v>4999.1400000000003</v>
      </c>
      <c r="Y963">
        <v>0</v>
      </c>
      <c r="Z963">
        <v>0</v>
      </c>
      <c r="AA963">
        <v>35</v>
      </c>
      <c r="AB963">
        <v>50</v>
      </c>
      <c r="AC963">
        <v>5000</v>
      </c>
      <c r="AD963">
        <v>0</v>
      </c>
      <c r="AE963">
        <v>0</v>
      </c>
      <c r="AF963">
        <v>5576.43</v>
      </c>
      <c r="AG963">
        <v>5576.43</v>
      </c>
      <c r="AH963" s="14">
        <v>46266</v>
      </c>
      <c r="AI963" t="s">
        <v>272</v>
      </c>
      <c r="AJ963" s="13">
        <v>46262.99790509259</v>
      </c>
      <c r="AK963">
        <v>5509.79</v>
      </c>
      <c r="AL963" t="s">
        <v>259</v>
      </c>
      <c r="AM963" t="s">
        <v>260</v>
      </c>
      <c r="AN963">
        <v>1400</v>
      </c>
      <c r="AO963">
        <v>0</v>
      </c>
      <c r="AP963">
        <v>35</v>
      </c>
      <c r="AQ963">
        <v>85</v>
      </c>
      <c r="AR963">
        <v>35</v>
      </c>
      <c r="AS963">
        <v>2</v>
      </c>
      <c r="AT963">
        <v>23</v>
      </c>
      <c r="AU963">
        <v>1</v>
      </c>
      <c r="AV963">
        <v>0</v>
      </c>
      <c r="AW963">
        <v>10</v>
      </c>
      <c r="AX963">
        <v>1</v>
      </c>
      <c r="AY963">
        <v>5</v>
      </c>
      <c r="AZ963">
        <v>2</v>
      </c>
      <c r="BA963">
        <v>1</v>
      </c>
      <c r="BB963">
        <v>1440</v>
      </c>
      <c r="BC963">
        <v>0</v>
      </c>
      <c r="BD963">
        <v>0</v>
      </c>
      <c r="BE963">
        <v>14</v>
      </c>
      <c r="BF963">
        <v>25</v>
      </c>
      <c r="BG963">
        <v>3</v>
      </c>
      <c r="BH963">
        <v>8</v>
      </c>
      <c r="BI963">
        <v>3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0</v>
      </c>
      <c r="BQ963">
        <v>60</v>
      </c>
      <c r="BR963">
        <v>0</v>
      </c>
      <c r="BS963">
        <v>3</v>
      </c>
      <c r="BT963" t="s">
        <v>250</v>
      </c>
      <c r="BU963" t="s">
        <v>273</v>
      </c>
      <c r="BV963" t="b">
        <v>0</v>
      </c>
      <c r="BW963" t="s">
        <v>268</v>
      </c>
    </row>
    <row r="964" spans="1:75">
      <c r="A964" t="s">
        <v>250</v>
      </c>
      <c r="B964" t="s">
        <v>252</v>
      </c>
      <c r="C964">
        <v>660</v>
      </c>
      <c r="D964" t="s">
        <v>253</v>
      </c>
      <c r="E964" t="s">
        <v>254</v>
      </c>
      <c r="F964">
        <v>30</v>
      </c>
      <c r="G964" s="13">
        <v>46266.479409722226</v>
      </c>
      <c r="H964" s="13">
        <v>46266.479629629626</v>
      </c>
      <c r="I964">
        <v>19</v>
      </c>
      <c r="J964" t="s">
        <v>264</v>
      </c>
      <c r="K964">
        <v>1</v>
      </c>
      <c r="L964">
        <v>0.01</v>
      </c>
      <c r="M964">
        <v>0.01</v>
      </c>
      <c r="N964">
        <v>1</v>
      </c>
      <c r="O964">
        <v>0.01</v>
      </c>
      <c r="P964">
        <v>1.31</v>
      </c>
      <c r="Q964">
        <v>2.97</v>
      </c>
      <c r="R964">
        <v>2.5099999999999998</v>
      </c>
      <c r="S964" t="s">
        <v>256</v>
      </c>
      <c r="T964" t="s">
        <v>257</v>
      </c>
      <c r="U964">
        <v>10</v>
      </c>
      <c r="V964">
        <v>5576.27</v>
      </c>
      <c r="W964">
        <v>4999.84</v>
      </c>
      <c r="X964">
        <v>4998.6899999999996</v>
      </c>
      <c r="Y964">
        <v>0</v>
      </c>
      <c r="Z964">
        <v>0</v>
      </c>
      <c r="AA964">
        <v>35</v>
      </c>
      <c r="AB964">
        <v>50</v>
      </c>
      <c r="AC964">
        <v>5000</v>
      </c>
      <c r="AD964">
        <v>0</v>
      </c>
      <c r="AE964">
        <v>0</v>
      </c>
      <c r="AF964">
        <v>5578.94</v>
      </c>
      <c r="AG964">
        <v>5578.94</v>
      </c>
      <c r="AH964" s="14">
        <v>46266</v>
      </c>
      <c r="AI964" t="s">
        <v>272</v>
      </c>
      <c r="AJ964" s="13">
        <v>46262.99790509259</v>
      </c>
      <c r="AK964">
        <v>5509.79</v>
      </c>
      <c r="AL964" t="s">
        <v>259</v>
      </c>
      <c r="AM964" t="s">
        <v>260</v>
      </c>
      <c r="AN964">
        <v>1400</v>
      </c>
      <c r="AO964">
        <v>0</v>
      </c>
      <c r="AP964">
        <v>35</v>
      </c>
      <c r="AQ964">
        <v>85</v>
      </c>
      <c r="AR964">
        <v>35</v>
      </c>
      <c r="AS964">
        <v>2</v>
      </c>
      <c r="AT964">
        <v>23</v>
      </c>
      <c r="AU964">
        <v>1</v>
      </c>
      <c r="AV964">
        <v>0</v>
      </c>
      <c r="AW964">
        <v>10</v>
      </c>
      <c r="AX964">
        <v>1</v>
      </c>
      <c r="AY964">
        <v>5</v>
      </c>
      <c r="AZ964">
        <v>2</v>
      </c>
      <c r="BA964">
        <v>1</v>
      </c>
      <c r="BB964">
        <v>1440</v>
      </c>
      <c r="BC964">
        <v>0</v>
      </c>
      <c r="BD964">
        <v>0</v>
      </c>
      <c r="BE964">
        <v>14</v>
      </c>
      <c r="BF964">
        <v>25</v>
      </c>
      <c r="BG964">
        <v>3</v>
      </c>
      <c r="BH964">
        <v>8</v>
      </c>
      <c r="BI964">
        <v>3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0</v>
      </c>
      <c r="BQ964">
        <v>60</v>
      </c>
      <c r="BR964">
        <v>0</v>
      </c>
      <c r="BS964">
        <v>3</v>
      </c>
      <c r="BT964" t="s">
        <v>250</v>
      </c>
      <c r="BU964" t="s">
        <v>273</v>
      </c>
      <c r="BV964" t="b">
        <v>0</v>
      </c>
      <c r="BW964" t="s">
        <v>268</v>
      </c>
    </row>
    <row r="965" spans="1:75">
      <c r="A965" t="s">
        <v>250</v>
      </c>
      <c r="B965" t="s">
        <v>252</v>
      </c>
      <c r="C965">
        <v>661</v>
      </c>
      <c r="D965" t="s">
        <v>253</v>
      </c>
      <c r="E965" t="s">
        <v>254</v>
      </c>
      <c r="F965">
        <v>30</v>
      </c>
      <c r="G965" s="13">
        <v>46266.500879629632</v>
      </c>
      <c r="H965" s="13">
        <v>46266.500937500001</v>
      </c>
      <c r="I965">
        <v>5</v>
      </c>
      <c r="J965" t="s">
        <v>264</v>
      </c>
      <c r="K965">
        <v>1</v>
      </c>
      <c r="L965">
        <v>0.01</v>
      </c>
      <c r="M965">
        <v>0.01</v>
      </c>
      <c r="N965">
        <v>1</v>
      </c>
      <c r="O965">
        <v>0.01</v>
      </c>
      <c r="P965">
        <v>0.26</v>
      </c>
      <c r="Q965">
        <v>1.7</v>
      </c>
      <c r="R965">
        <v>1.41</v>
      </c>
      <c r="S965" t="s">
        <v>256</v>
      </c>
      <c r="T965" t="s">
        <v>257</v>
      </c>
      <c r="U965">
        <v>15</v>
      </c>
      <c r="V965">
        <v>5578.73</v>
      </c>
      <c r="W965">
        <v>4999.79</v>
      </c>
      <c r="X965">
        <v>4999.74</v>
      </c>
      <c r="Y965">
        <v>0</v>
      </c>
      <c r="Z965">
        <v>0</v>
      </c>
      <c r="AA965">
        <v>35</v>
      </c>
      <c r="AB965">
        <v>50</v>
      </c>
      <c r="AC965">
        <v>5000</v>
      </c>
      <c r="AD965">
        <v>0</v>
      </c>
      <c r="AE965">
        <v>0</v>
      </c>
      <c r="AF965">
        <v>5580.29</v>
      </c>
      <c r="AG965">
        <v>5580.29</v>
      </c>
      <c r="AH965" s="14">
        <v>46266</v>
      </c>
      <c r="AI965" t="s">
        <v>272</v>
      </c>
      <c r="AJ965" s="13">
        <v>46262.99790509259</v>
      </c>
      <c r="AK965">
        <v>5509.79</v>
      </c>
      <c r="AL965" t="s">
        <v>259</v>
      </c>
      <c r="AM965" t="s">
        <v>260</v>
      </c>
      <c r="AN965">
        <v>1400</v>
      </c>
      <c r="AO965">
        <v>0</v>
      </c>
      <c r="AP965">
        <v>35</v>
      </c>
      <c r="AQ965">
        <v>85</v>
      </c>
      <c r="AR965">
        <v>35</v>
      </c>
      <c r="AS965">
        <v>2</v>
      </c>
      <c r="AT965">
        <v>23</v>
      </c>
      <c r="AU965">
        <v>1</v>
      </c>
      <c r="AV965">
        <v>0</v>
      </c>
      <c r="AW965">
        <v>10</v>
      </c>
      <c r="AX965">
        <v>1</v>
      </c>
      <c r="AY965">
        <v>5</v>
      </c>
      <c r="AZ965">
        <v>2</v>
      </c>
      <c r="BA965">
        <v>1</v>
      </c>
      <c r="BB965">
        <v>1440</v>
      </c>
      <c r="BC965">
        <v>0</v>
      </c>
      <c r="BD965">
        <v>0</v>
      </c>
      <c r="BE965">
        <v>14</v>
      </c>
      <c r="BF965">
        <v>25</v>
      </c>
      <c r="BG965">
        <v>3</v>
      </c>
      <c r="BH965">
        <v>8</v>
      </c>
      <c r="BI965">
        <v>3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0</v>
      </c>
      <c r="BQ965">
        <v>60</v>
      </c>
      <c r="BR965">
        <v>0</v>
      </c>
      <c r="BS965">
        <v>3</v>
      </c>
      <c r="BT965" t="s">
        <v>250</v>
      </c>
      <c r="BU965" t="s">
        <v>273</v>
      </c>
      <c r="BV965" t="b">
        <v>0</v>
      </c>
      <c r="BW965" t="s">
        <v>268</v>
      </c>
    </row>
    <row r="966" spans="1:75">
      <c r="A966" t="s">
        <v>250</v>
      </c>
      <c r="B966" t="s">
        <v>252</v>
      </c>
      <c r="C966">
        <v>662</v>
      </c>
      <c r="D966" t="s">
        <v>253</v>
      </c>
      <c r="E966" t="s">
        <v>254</v>
      </c>
      <c r="F966">
        <v>30</v>
      </c>
      <c r="G966" s="13">
        <v>46266.521192129629</v>
      </c>
      <c r="H966" s="13">
        <v>46266.521435185183</v>
      </c>
      <c r="I966">
        <v>21</v>
      </c>
      <c r="J966" t="s">
        <v>264</v>
      </c>
      <c r="K966">
        <v>1</v>
      </c>
      <c r="L966">
        <v>0.01</v>
      </c>
      <c r="M966">
        <v>0.01</v>
      </c>
      <c r="N966">
        <v>1</v>
      </c>
      <c r="O966">
        <v>0.01</v>
      </c>
      <c r="P966">
        <v>1.33</v>
      </c>
      <c r="Q966">
        <v>0.9</v>
      </c>
      <c r="R966">
        <v>0.64</v>
      </c>
      <c r="S966" t="s">
        <v>256</v>
      </c>
      <c r="T966" t="s">
        <v>257</v>
      </c>
      <c r="U966">
        <v>11</v>
      </c>
      <c r="V966">
        <v>5580.13</v>
      </c>
      <c r="W966">
        <v>4999.84</v>
      </c>
      <c r="X966">
        <v>4998.67</v>
      </c>
      <c r="Y966">
        <v>0</v>
      </c>
      <c r="Z966">
        <v>0</v>
      </c>
      <c r="AA966">
        <v>35</v>
      </c>
      <c r="AB966">
        <v>50</v>
      </c>
      <c r="AC966">
        <v>5000</v>
      </c>
      <c r="AD966">
        <v>0</v>
      </c>
      <c r="AE966">
        <v>0</v>
      </c>
      <c r="AF966">
        <v>5580.84</v>
      </c>
      <c r="AG966">
        <v>5580.84</v>
      </c>
      <c r="AH966" s="14">
        <v>46266</v>
      </c>
      <c r="AI966" t="s">
        <v>272</v>
      </c>
      <c r="AJ966" s="13">
        <v>46262.99790509259</v>
      </c>
      <c r="AK966">
        <v>5509.79</v>
      </c>
      <c r="AL966" t="s">
        <v>259</v>
      </c>
      <c r="AM966" t="s">
        <v>260</v>
      </c>
      <c r="AN966">
        <v>1400</v>
      </c>
      <c r="AO966">
        <v>0</v>
      </c>
      <c r="AP966">
        <v>35</v>
      </c>
      <c r="AQ966">
        <v>85</v>
      </c>
      <c r="AR966">
        <v>35</v>
      </c>
      <c r="AS966">
        <v>2</v>
      </c>
      <c r="AT966">
        <v>23</v>
      </c>
      <c r="AU966">
        <v>1</v>
      </c>
      <c r="AV966">
        <v>0</v>
      </c>
      <c r="AW966">
        <v>10</v>
      </c>
      <c r="AX966">
        <v>1</v>
      </c>
      <c r="AY966">
        <v>5</v>
      </c>
      <c r="AZ966">
        <v>2</v>
      </c>
      <c r="BA966">
        <v>1</v>
      </c>
      <c r="BB966">
        <v>1440</v>
      </c>
      <c r="BC966">
        <v>0</v>
      </c>
      <c r="BD966">
        <v>0</v>
      </c>
      <c r="BE966">
        <v>14</v>
      </c>
      <c r="BF966">
        <v>25</v>
      </c>
      <c r="BG966">
        <v>3</v>
      </c>
      <c r="BH966">
        <v>8</v>
      </c>
      <c r="BI966">
        <v>3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0</v>
      </c>
      <c r="BQ966">
        <v>60</v>
      </c>
      <c r="BR966">
        <v>0</v>
      </c>
      <c r="BS966">
        <v>3</v>
      </c>
      <c r="BT966" t="s">
        <v>250</v>
      </c>
      <c r="BU966" t="s">
        <v>273</v>
      </c>
      <c r="BV966" t="b">
        <v>0</v>
      </c>
      <c r="BW966" t="s">
        <v>268</v>
      </c>
    </row>
    <row r="967" spans="1:75">
      <c r="A967" t="s">
        <v>250</v>
      </c>
      <c r="B967" t="s">
        <v>252</v>
      </c>
      <c r="C967">
        <v>663</v>
      </c>
      <c r="D967" t="s">
        <v>253</v>
      </c>
      <c r="E967" t="s">
        <v>254</v>
      </c>
      <c r="F967">
        <v>30</v>
      </c>
      <c r="G967" s="13">
        <v>46266.542488425926</v>
      </c>
      <c r="H967" s="13">
        <v>46266.542812500003</v>
      </c>
      <c r="I967">
        <v>28</v>
      </c>
      <c r="J967" t="s">
        <v>255</v>
      </c>
      <c r="K967">
        <v>1</v>
      </c>
      <c r="L967">
        <v>0.01</v>
      </c>
      <c r="M967">
        <v>0.01</v>
      </c>
      <c r="N967">
        <v>1</v>
      </c>
      <c r="O967">
        <v>0.01</v>
      </c>
      <c r="P967">
        <v>0.33</v>
      </c>
      <c r="Q967">
        <v>1.98</v>
      </c>
      <c r="R967">
        <v>1.71</v>
      </c>
      <c r="S967" t="s">
        <v>256</v>
      </c>
      <c r="T967" t="s">
        <v>257</v>
      </c>
      <c r="U967">
        <v>10</v>
      </c>
      <c r="V967">
        <v>5580.68</v>
      </c>
      <c r="W967">
        <v>4999.84</v>
      </c>
      <c r="X967">
        <v>4999.67</v>
      </c>
      <c r="Y967">
        <v>0</v>
      </c>
      <c r="Z967">
        <v>0</v>
      </c>
      <c r="AA967">
        <v>35</v>
      </c>
      <c r="AB967">
        <v>50</v>
      </c>
      <c r="AC967">
        <v>5000</v>
      </c>
      <c r="AD967">
        <v>0</v>
      </c>
      <c r="AE967">
        <v>0</v>
      </c>
      <c r="AF967">
        <v>5582.47</v>
      </c>
      <c r="AG967">
        <v>5582.47</v>
      </c>
      <c r="AH967" s="14">
        <v>46266</v>
      </c>
      <c r="AI967" t="s">
        <v>272</v>
      </c>
      <c r="AJ967" s="13">
        <v>46262.99790509259</v>
      </c>
      <c r="AK967">
        <v>5509.79</v>
      </c>
      <c r="AL967" t="s">
        <v>259</v>
      </c>
      <c r="AM967" t="s">
        <v>260</v>
      </c>
      <c r="AN967">
        <v>1400</v>
      </c>
      <c r="AO967">
        <v>0</v>
      </c>
      <c r="AP967">
        <v>35</v>
      </c>
      <c r="AQ967">
        <v>85</v>
      </c>
      <c r="AR967">
        <v>35</v>
      </c>
      <c r="AS967">
        <v>2</v>
      </c>
      <c r="AT967">
        <v>23</v>
      </c>
      <c r="AU967">
        <v>1</v>
      </c>
      <c r="AV967">
        <v>0</v>
      </c>
      <c r="AW967">
        <v>10</v>
      </c>
      <c r="AX967">
        <v>1</v>
      </c>
      <c r="AY967">
        <v>5</v>
      </c>
      <c r="AZ967">
        <v>2</v>
      </c>
      <c r="BA967">
        <v>1</v>
      </c>
      <c r="BB967">
        <v>1440</v>
      </c>
      <c r="BC967">
        <v>0</v>
      </c>
      <c r="BD967">
        <v>0</v>
      </c>
      <c r="BE967">
        <v>14</v>
      </c>
      <c r="BF967">
        <v>25</v>
      </c>
      <c r="BG967">
        <v>3</v>
      </c>
      <c r="BH967">
        <v>8</v>
      </c>
      <c r="BI967">
        <v>3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0</v>
      </c>
      <c r="BQ967">
        <v>60</v>
      </c>
      <c r="BR967">
        <v>0</v>
      </c>
      <c r="BS967">
        <v>3</v>
      </c>
      <c r="BT967" t="s">
        <v>250</v>
      </c>
      <c r="BU967" t="s">
        <v>273</v>
      </c>
      <c r="BV967" t="b">
        <v>0</v>
      </c>
      <c r="BW967" t="s">
        <v>268</v>
      </c>
    </row>
    <row r="968" spans="1:75">
      <c r="A968" t="s">
        <v>250</v>
      </c>
      <c r="B968" t="s">
        <v>252</v>
      </c>
      <c r="C968">
        <v>664</v>
      </c>
      <c r="D968" t="s">
        <v>253</v>
      </c>
      <c r="E968" t="s">
        <v>254</v>
      </c>
      <c r="F968">
        <v>30</v>
      </c>
      <c r="G968" s="13">
        <v>46266.564074074071</v>
      </c>
      <c r="H968" s="13">
        <v>46266.573078703703</v>
      </c>
      <c r="I968">
        <v>778</v>
      </c>
      <c r="J968" t="s">
        <v>264</v>
      </c>
      <c r="K968">
        <v>1</v>
      </c>
      <c r="L968">
        <v>0.01</v>
      </c>
      <c r="M968">
        <v>0.01</v>
      </c>
      <c r="N968">
        <v>1</v>
      </c>
      <c r="O968">
        <v>0.01</v>
      </c>
      <c r="P968">
        <v>4.13</v>
      </c>
      <c r="Q968">
        <v>1.58</v>
      </c>
      <c r="R968">
        <v>1.23</v>
      </c>
      <c r="S968" t="s">
        <v>256</v>
      </c>
      <c r="T968" t="s">
        <v>257</v>
      </c>
      <c r="U968">
        <v>10</v>
      </c>
      <c r="V968">
        <v>5582.35</v>
      </c>
      <c r="W968">
        <v>4999.88</v>
      </c>
      <c r="X968">
        <v>4995.87</v>
      </c>
      <c r="Y968">
        <v>0</v>
      </c>
      <c r="Z968">
        <v>0</v>
      </c>
      <c r="AA968">
        <v>35</v>
      </c>
      <c r="AB968">
        <v>50</v>
      </c>
      <c r="AC968">
        <v>5000</v>
      </c>
      <c r="AD968">
        <v>0</v>
      </c>
      <c r="AE968">
        <v>0</v>
      </c>
      <c r="AF968">
        <v>5583.66</v>
      </c>
      <c r="AG968">
        <v>5583.66</v>
      </c>
      <c r="AH968" s="14">
        <v>46266</v>
      </c>
      <c r="AI968" t="s">
        <v>272</v>
      </c>
      <c r="AJ968" s="13">
        <v>46262.99790509259</v>
      </c>
      <c r="AK968">
        <v>5509.79</v>
      </c>
      <c r="AL968" t="s">
        <v>259</v>
      </c>
      <c r="AM968" t="s">
        <v>260</v>
      </c>
      <c r="AN968">
        <v>1400</v>
      </c>
      <c r="AO968">
        <v>0</v>
      </c>
      <c r="AP968">
        <v>35</v>
      </c>
      <c r="AQ968">
        <v>85</v>
      </c>
      <c r="AR968">
        <v>35</v>
      </c>
      <c r="AS968">
        <v>2</v>
      </c>
      <c r="AT968">
        <v>23</v>
      </c>
      <c r="AU968">
        <v>1</v>
      </c>
      <c r="AV968">
        <v>0</v>
      </c>
      <c r="AW968">
        <v>10</v>
      </c>
      <c r="AX968">
        <v>1</v>
      </c>
      <c r="AY968">
        <v>5</v>
      </c>
      <c r="AZ968">
        <v>2</v>
      </c>
      <c r="BA968">
        <v>1</v>
      </c>
      <c r="BB968">
        <v>1440</v>
      </c>
      <c r="BC968">
        <v>0</v>
      </c>
      <c r="BD968">
        <v>0</v>
      </c>
      <c r="BE968">
        <v>14</v>
      </c>
      <c r="BF968">
        <v>25</v>
      </c>
      <c r="BG968">
        <v>3</v>
      </c>
      <c r="BH968">
        <v>8</v>
      </c>
      <c r="BI968">
        <v>3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0</v>
      </c>
      <c r="BQ968">
        <v>60</v>
      </c>
      <c r="BR968">
        <v>0</v>
      </c>
      <c r="BS968">
        <v>3</v>
      </c>
      <c r="BT968" t="s">
        <v>250</v>
      </c>
      <c r="BU968" t="s">
        <v>273</v>
      </c>
      <c r="BV968" t="b">
        <v>0</v>
      </c>
      <c r="BW968" t="s">
        <v>268</v>
      </c>
    </row>
    <row r="969" spans="1:75">
      <c r="A969" t="s">
        <v>250</v>
      </c>
      <c r="B969" t="s">
        <v>252</v>
      </c>
      <c r="C969">
        <v>665</v>
      </c>
      <c r="D969" t="s">
        <v>253</v>
      </c>
      <c r="E969" t="s">
        <v>254</v>
      </c>
      <c r="F969">
        <v>30</v>
      </c>
      <c r="G969" s="13">
        <v>46266.585844907408</v>
      </c>
      <c r="H969" s="13">
        <v>46266.586111111108</v>
      </c>
      <c r="I969">
        <v>23</v>
      </c>
      <c r="J969" t="s">
        <v>255</v>
      </c>
      <c r="K969">
        <v>1</v>
      </c>
      <c r="L969">
        <v>0.01</v>
      </c>
      <c r="M969">
        <v>0.01</v>
      </c>
      <c r="N969">
        <v>1</v>
      </c>
      <c r="O969">
        <v>0.01</v>
      </c>
      <c r="P969">
        <v>0.48</v>
      </c>
      <c r="Q969">
        <v>0.85</v>
      </c>
      <c r="R969">
        <v>0.62</v>
      </c>
      <c r="S969" t="s">
        <v>256</v>
      </c>
      <c r="T969" t="s">
        <v>257</v>
      </c>
      <c r="U969">
        <v>11</v>
      </c>
      <c r="V969">
        <v>5583.49</v>
      </c>
      <c r="W969">
        <v>4999.83</v>
      </c>
      <c r="X969">
        <v>4999.5200000000004</v>
      </c>
      <c r="Y969">
        <v>0</v>
      </c>
      <c r="Z969">
        <v>0</v>
      </c>
      <c r="AA969">
        <v>35</v>
      </c>
      <c r="AB969">
        <v>50</v>
      </c>
      <c r="AC969">
        <v>5000</v>
      </c>
      <c r="AD969">
        <v>0</v>
      </c>
      <c r="AE969">
        <v>0</v>
      </c>
      <c r="AF969">
        <v>5584.16</v>
      </c>
      <c r="AG969">
        <v>5584.16</v>
      </c>
      <c r="AH969" s="14">
        <v>46266</v>
      </c>
      <c r="AI969" t="s">
        <v>272</v>
      </c>
      <c r="AJ969" s="13">
        <v>46262.99790509259</v>
      </c>
      <c r="AK969">
        <v>5509.79</v>
      </c>
      <c r="AL969" t="s">
        <v>259</v>
      </c>
      <c r="AM969" t="s">
        <v>260</v>
      </c>
      <c r="AN969">
        <v>1400</v>
      </c>
      <c r="AO969">
        <v>0</v>
      </c>
      <c r="AP969">
        <v>35</v>
      </c>
      <c r="AQ969">
        <v>85</v>
      </c>
      <c r="AR969">
        <v>35</v>
      </c>
      <c r="AS969">
        <v>2</v>
      </c>
      <c r="AT969">
        <v>23</v>
      </c>
      <c r="AU969">
        <v>1</v>
      </c>
      <c r="AV969">
        <v>0</v>
      </c>
      <c r="AW969">
        <v>10</v>
      </c>
      <c r="AX969">
        <v>1</v>
      </c>
      <c r="AY969">
        <v>5</v>
      </c>
      <c r="AZ969">
        <v>2</v>
      </c>
      <c r="BA969">
        <v>1</v>
      </c>
      <c r="BB969">
        <v>1440</v>
      </c>
      <c r="BC969">
        <v>0</v>
      </c>
      <c r="BD969">
        <v>0</v>
      </c>
      <c r="BE969">
        <v>14</v>
      </c>
      <c r="BF969">
        <v>25</v>
      </c>
      <c r="BG969">
        <v>3</v>
      </c>
      <c r="BH969">
        <v>8</v>
      </c>
      <c r="BI969">
        <v>3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0</v>
      </c>
      <c r="BQ969">
        <v>60</v>
      </c>
      <c r="BR969">
        <v>0</v>
      </c>
      <c r="BS969">
        <v>3</v>
      </c>
      <c r="BT969" t="s">
        <v>250</v>
      </c>
      <c r="BU969" t="s">
        <v>273</v>
      </c>
      <c r="BV969" t="b">
        <v>0</v>
      </c>
      <c r="BW969" t="s">
        <v>268</v>
      </c>
    </row>
    <row r="970" spans="1:75">
      <c r="A970" t="s">
        <v>250</v>
      </c>
      <c r="B970" t="s">
        <v>252</v>
      </c>
      <c r="C970">
        <v>666</v>
      </c>
      <c r="D970" t="s">
        <v>253</v>
      </c>
      <c r="E970" t="s">
        <v>254</v>
      </c>
      <c r="F970">
        <v>30</v>
      </c>
      <c r="G970" s="13">
        <v>46266.605879629627</v>
      </c>
      <c r="H970" s="13">
        <v>46266.609849537039</v>
      </c>
      <c r="I970">
        <v>343</v>
      </c>
      <c r="J970" t="s">
        <v>255</v>
      </c>
      <c r="K970">
        <v>1</v>
      </c>
      <c r="L970">
        <v>0.01</v>
      </c>
      <c r="M970">
        <v>0.01</v>
      </c>
      <c r="N970">
        <v>1</v>
      </c>
      <c r="O970">
        <v>0.01</v>
      </c>
      <c r="P970">
        <v>3.03</v>
      </c>
      <c r="Q970">
        <v>1.34</v>
      </c>
      <c r="R970">
        <v>1.02</v>
      </c>
      <c r="S970" t="s">
        <v>256</v>
      </c>
      <c r="T970" t="s">
        <v>257</v>
      </c>
      <c r="U970">
        <v>11</v>
      </c>
      <c r="V970">
        <v>5583.99</v>
      </c>
      <c r="W970">
        <v>4999.83</v>
      </c>
      <c r="X970">
        <v>4996.97</v>
      </c>
      <c r="Y970">
        <v>0</v>
      </c>
      <c r="Z970">
        <v>0</v>
      </c>
      <c r="AA970">
        <v>35</v>
      </c>
      <c r="AB970">
        <v>50</v>
      </c>
      <c r="AC970">
        <v>5000</v>
      </c>
      <c r="AD970">
        <v>0</v>
      </c>
      <c r="AE970">
        <v>0</v>
      </c>
      <c r="AF970">
        <v>5585.14</v>
      </c>
      <c r="AG970">
        <v>5585.14</v>
      </c>
      <c r="AH970" s="14">
        <v>46266</v>
      </c>
      <c r="AI970" t="s">
        <v>272</v>
      </c>
      <c r="AJ970" s="13">
        <v>46262.99790509259</v>
      </c>
      <c r="AK970">
        <v>5509.79</v>
      </c>
      <c r="AL970" t="s">
        <v>259</v>
      </c>
      <c r="AM970" t="s">
        <v>260</v>
      </c>
      <c r="AN970">
        <v>1400</v>
      </c>
      <c r="AO970">
        <v>0</v>
      </c>
      <c r="AP970">
        <v>35</v>
      </c>
      <c r="AQ970">
        <v>85</v>
      </c>
      <c r="AR970">
        <v>35</v>
      </c>
      <c r="AS970">
        <v>2</v>
      </c>
      <c r="AT970">
        <v>23</v>
      </c>
      <c r="AU970">
        <v>1</v>
      </c>
      <c r="AV970">
        <v>0</v>
      </c>
      <c r="AW970">
        <v>10</v>
      </c>
      <c r="AX970">
        <v>1</v>
      </c>
      <c r="AY970">
        <v>5</v>
      </c>
      <c r="AZ970">
        <v>2</v>
      </c>
      <c r="BA970">
        <v>1</v>
      </c>
      <c r="BB970">
        <v>1440</v>
      </c>
      <c r="BC970">
        <v>0</v>
      </c>
      <c r="BD970">
        <v>0</v>
      </c>
      <c r="BE970">
        <v>14</v>
      </c>
      <c r="BF970">
        <v>25</v>
      </c>
      <c r="BG970">
        <v>3</v>
      </c>
      <c r="BH970">
        <v>8</v>
      </c>
      <c r="BI970">
        <v>3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0</v>
      </c>
      <c r="BQ970">
        <v>60</v>
      </c>
      <c r="BR970">
        <v>0</v>
      </c>
      <c r="BS970">
        <v>3</v>
      </c>
      <c r="BT970" t="s">
        <v>250</v>
      </c>
      <c r="BU970" t="s">
        <v>273</v>
      </c>
      <c r="BV970" t="b">
        <v>0</v>
      </c>
      <c r="BW970" t="s">
        <v>268</v>
      </c>
    </row>
    <row r="971" spans="1:75">
      <c r="A971" t="s">
        <v>250</v>
      </c>
      <c r="B971" t="s">
        <v>252</v>
      </c>
      <c r="C971">
        <v>667</v>
      </c>
      <c r="D971" t="s">
        <v>253</v>
      </c>
      <c r="E971" t="s">
        <v>254</v>
      </c>
      <c r="F971">
        <v>30</v>
      </c>
      <c r="G971" s="13">
        <v>46266.626111111109</v>
      </c>
      <c r="H971" s="13">
        <v>46266.626469907409</v>
      </c>
      <c r="I971">
        <v>31</v>
      </c>
      <c r="J971" t="s">
        <v>264</v>
      </c>
      <c r="K971">
        <v>1</v>
      </c>
      <c r="L971">
        <v>0.01</v>
      </c>
      <c r="M971">
        <v>0.01</v>
      </c>
      <c r="N971">
        <v>1</v>
      </c>
      <c r="O971">
        <v>0.01</v>
      </c>
      <c r="P971">
        <v>0.32</v>
      </c>
      <c r="Q971">
        <v>1.04</v>
      </c>
      <c r="R971">
        <v>0.96</v>
      </c>
      <c r="S971" t="s">
        <v>256</v>
      </c>
      <c r="T971" t="s">
        <v>257</v>
      </c>
      <c r="U971">
        <v>11</v>
      </c>
      <c r="V971">
        <v>5584.98</v>
      </c>
      <c r="W971">
        <v>4999.84</v>
      </c>
      <c r="X971">
        <v>4999.68</v>
      </c>
      <c r="Y971">
        <v>0</v>
      </c>
      <c r="Z971">
        <v>0</v>
      </c>
      <c r="AA971">
        <v>35</v>
      </c>
      <c r="AB971">
        <v>50</v>
      </c>
      <c r="AC971">
        <v>5000</v>
      </c>
      <c r="AD971">
        <v>0</v>
      </c>
      <c r="AE971">
        <v>0</v>
      </c>
      <c r="AF971">
        <v>5585.83</v>
      </c>
      <c r="AG971">
        <v>5585.83</v>
      </c>
      <c r="AH971" s="14">
        <v>46266</v>
      </c>
      <c r="AI971" t="s">
        <v>272</v>
      </c>
      <c r="AJ971" s="13">
        <v>46262.99790509259</v>
      </c>
      <c r="AK971">
        <v>5509.79</v>
      </c>
      <c r="AL971" t="s">
        <v>259</v>
      </c>
      <c r="AM971" t="s">
        <v>260</v>
      </c>
      <c r="AN971">
        <v>1400</v>
      </c>
      <c r="AO971">
        <v>0</v>
      </c>
      <c r="AP971">
        <v>35</v>
      </c>
      <c r="AQ971">
        <v>85</v>
      </c>
      <c r="AR971">
        <v>35</v>
      </c>
      <c r="AS971">
        <v>2</v>
      </c>
      <c r="AT971">
        <v>23</v>
      </c>
      <c r="AU971">
        <v>1</v>
      </c>
      <c r="AV971">
        <v>0</v>
      </c>
      <c r="AW971">
        <v>10</v>
      </c>
      <c r="AX971">
        <v>1</v>
      </c>
      <c r="AY971">
        <v>5</v>
      </c>
      <c r="AZ971">
        <v>2</v>
      </c>
      <c r="BA971">
        <v>1</v>
      </c>
      <c r="BB971">
        <v>1440</v>
      </c>
      <c r="BC971">
        <v>0</v>
      </c>
      <c r="BD971">
        <v>0</v>
      </c>
      <c r="BE971">
        <v>14</v>
      </c>
      <c r="BF971">
        <v>25</v>
      </c>
      <c r="BG971">
        <v>3</v>
      </c>
      <c r="BH971">
        <v>8</v>
      </c>
      <c r="BI971">
        <v>3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0</v>
      </c>
      <c r="BQ971">
        <v>60</v>
      </c>
      <c r="BR971">
        <v>0</v>
      </c>
      <c r="BS971">
        <v>3</v>
      </c>
      <c r="BT971" t="s">
        <v>250</v>
      </c>
      <c r="BU971" t="s">
        <v>273</v>
      </c>
      <c r="BV971" t="b">
        <v>0</v>
      </c>
      <c r="BW971" t="s">
        <v>268</v>
      </c>
    </row>
    <row r="972" spans="1:75">
      <c r="A972" t="s">
        <v>250</v>
      </c>
      <c r="B972" t="s">
        <v>252</v>
      </c>
      <c r="C972">
        <v>668</v>
      </c>
      <c r="D972" t="s">
        <v>253</v>
      </c>
      <c r="E972" t="s">
        <v>254</v>
      </c>
      <c r="F972">
        <v>30</v>
      </c>
      <c r="G972" s="13">
        <v>46266.647615740738</v>
      </c>
      <c r="H972" s="13">
        <v>46266.647662037038</v>
      </c>
      <c r="I972">
        <v>4</v>
      </c>
      <c r="J972" t="s">
        <v>264</v>
      </c>
      <c r="K972">
        <v>1</v>
      </c>
      <c r="L972">
        <v>0.01</v>
      </c>
      <c r="M972">
        <v>0.01</v>
      </c>
      <c r="N972">
        <v>1</v>
      </c>
      <c r="O972">
        <v>0.01</v>
      </c>
      <c r="P972">
        <v>0.16</v>
      </c>
      <c r="Q972">
        <v>3.6</v>
      </c>
      <c r="R972">
        <v>3.33</v>
      </c>
      <c r="S972" t="s">
        <v>256</v>
      </c>
      <c r="T972" t="s">
        <v>257</v>
      </c>
      <c r="U972">
        <v>11</v>
      </c>
      <c r="V972">
        <v>5585.67</v>
      </c>
      <c r="W972">
        <v>4999.84</v>
      </c>
      <c r="X972">
        <v>4999.84</v>
      </c>
      <c r="Y972">
        <v>0</v>
      </c>
      <c r="Z972">
        <v>0</v>
      </c>
      <c r="AA972">
        <v>35</v>
      </c>
      <c r="AB972">
        <v>50</v>
      </c>
      <c r="AC972">
        <v>5000</v>
      </c>
      <c r="AD972">
        <v>0</v>
      </c>
      <c r="AE972">
        <v>0</v>
      </c>
      <c r="AF972">
        <v>5589.08</v>
      </c>
      <c r="AG972">
        <v>5589.08</v>
      </c>
      <c r="AH972" s="14">
        <v>46266</v>
      </c>
      <c r="AI972" t="s">
        <v>272</v>
      </c>
      <c r="AJ972" s="13">
        <v>46262.99790509259</v>
      </c>
      <c r="AK972">
        <v>5509.79</v>
      </c>
      <c r="AL972" t="s">
        <v>259</v>
      </c>
      <c r="AM972" t="s">
        <v>260</v>
      </c>
      <c r="AN972">
        <v>1400</v>
      </c>
      <c r="AO972">
        <v>0</v>
      </c>
      <c r="AP972">
        <v>35</v>
      </c>
      <c r="AQ972">
        <v>85</v>
      </c>
      <c r="AR972">
        <v>35</v>
      </c>
      <c r="AS972">
        <v>2</v>
      </c>
      <c r="AT972">
        <v>23</v>
      </c>
      <c r="AU972">
        <v>1</v>
      </c>
      <c r="AV972">
        <v>0</v>
      </c>
      <c r="AW972">
        <v>10</v>
      </c>
      <c r="AX972">
        <v>1</v>
      </c>
      <c r="AY972">
        <v>5</v>
      </c>
      <c r="AZ972">
        <v>2</v>
      </c>
      <c r="BA972">
        <v>1</v>
      </c>
      <c r="BB972">
        <v>1440</v>
      </c>
      <c r="BC972">
        <v>0</v>
      </c>
      <c r="BD972">
        <v>0</v>
      </c>
      <c r="BE972">
        <v>14</v>
      </c>
      <c r="BF972">
        <v>25</v>
      </c>
      <c r="BG972">
        <v>3</v>
      </c>
      <c r="BH972">
        <v>8</v>
      </c>
      <c r="BI972">
        <v>3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0</v>
      </c>
      <c r="BQ972">
        <v>60</v>
      </c>
      <c r="BR972">
        <v>0</v>
      </c>
      <c r="BS972">
        <v>3</v>
      </c>
      <c r="BT972" t="s">
        <v>250</v>
      </c>
      <c r="BU972" t="s">
        <v>273</v>
      </c>
      <c r="BV972" t="b">
        <v>0</v>
      </c>
      <c r="BW972" t="s">
        <v>268</v>
      </c>
    </row>
    <row r="973" spans="1:75">
      <c r="A973" t="s">
        <v>250</v>
      </c>
      <c r="B973" t="s">
        <v>252</v>
      </c>
      <c r="C973">
        <v>669</v>
      </c>
      <c r="D973" t="s">
        <v>253</v>
      </c>
      <c r="E973" t="s">
        <v>254</v>
      </c>
      <c r="F973">
        <v>30</v>
      </c>
      <c r="G973" s="13">
        <v>46266.666909722226</v>
      </c>
      <c r="H973" s="13">
        <v>46266.666956018518</v>
      </c>
      <c r="I973">
        <v>4</v>
      </c>
      <c r="J973" t="s">
        <v>264</v>
      </c>
      <c r="K973">
        <v>1</v>
      </c>
      <c r="L973">
        <v>0.01</v>
      </c>
      <c r="M973">
        <v>0.01</v>
      </c>
      <c r="N973">
        <v>1</v>
      </c>
      <c r="O973">
        <v>0.01</v>
      </c>
      <c r="P973">
        <v>0.17</v>
      </c>
      <c r="Q973">
        <v>2.2000000000000002</v>
      </c>
      <c r="R973">
        <v>1.57</v>
      </c>
      <c r="S973" t="s">
        <v>256</v>
      </c>
      <c r="T973" t="s">
        <v>257</v>
      </c>
      <c r="U973">
        <v>11</v>
      </c>
      <c r="V973">
        <v>5588.91</v>
      </c>
      <c r="W973">
        <v>4999.83</v>
      </c>
      <c r="X973">
        <v>4999.83</v>
      </c>
      <c r="Y973">
        <v>0</v>
      </c>
      <c r="Z973">
        <v>0</v>
      </c>
      <c r="AA973">
        <v>35</v>
      </c>
      <c r="AB973">
        <v>50</v>
      </c>
      <c r="AC973">
        <v>5000</v>
      </c>
      <c r="AD973">
        <v>0</v>
      </c>
      <c r="AE973">
        <v>0</v>
      </c>
      <c r="AF973">
        <v>5590.48</v>
      </c>
      <c r="AG973">
        <v>5590.48</v>
      </c>
      <c r="AH973" s="14">
        <v>46266</v>
      </c>
      <c r="AI973" t="s">
        <v>272</v>
      </c>
      <c r="AJ973" s="13">
        <v>46262.99790509259</v>
      </c>
      <c r="AK973">
        <v>5509.79</v>
      </c>
      <c r="AL973" t="s">
        <v>259</v>
      </c>
      <c r="AM973" t="s">
        <v>260</v>
      </c>
      <c r="AN973">
        <v>1400</v>
      </c>
      <c r="AO973">
        <v>0</v>
      </c>
      <c r="AP973">
        <v>35</v>
      </c>
      <c r="AQ973">
        <v>85</v>
      </c>
      <c r="AR973">
        <v>35</v>
      </c>
      <c r="AS973">
        <v>2</v>
      </c>
      <c r="AT973">
        <v>23</v>
      </c>
      <c r="AU973">
        <v>1</v>
      </c>
      <c r="AV973">
        <v>0</v>
      </c>
      <c r="AW973">
        <v>10</v>
      </c>
      <c r="AX973">
        <v>1</v>
      </c>
      <c r="AY973">
        <v>5</v>
      </c>
      <c r="AZ973">
        <v>2</v>
      </c>
      <c r="BA973">
        <v>1</v>
      </c>
      <c r="BB973">
        <v>1440</v>
      </c>
      <c r="BC973">
        <v>0</v>
      </c>
      <c r="BD973">
        <v>0</v>
      </c>
      <c r="BE973">
        <v>14</v>
      </c>
      <c r="BF973">
        <v>25</v>
      </c>
      <c r="BG973">
        <v>3</v>
      </c>
      <c r="BH973">
        <v>8</v>
      </c>
      <c r="BI973">
        <v>3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0</v>
      </c>
      <c r="BQ973">
        <v>60</v>
      </c>
      <c r="BR973">
        <v>0</v>
      </c>
      <c r="BS973">
        <v>3</v>
      </c>
      <c r="BT973" t="s">
        <v>250</v>
      </c>
      <c r="BU973" t="s">
        <v>273</v>
      </c>
      <c r="BV973" t="b">
        <v>0</v>
      </c>
      <c r="BW973" t="s">
        <v>268</v>
      </c>
    </row>
    <row r="974" spans="1:75">
      <c r="A974" t="s">
        <v>250</v>
      </c>
      <c r="B974" t="s">
        <v>252</v>
      </c>
      <c r="C974">
        <v>670</v>
      </c>
      <c r="D974" t="s">
        <v>253</v>
      </c>
      <c r="E974" t="s">
        <v>254</v>
      </c>
      <c r="F974">
        <v>30</v>
      </c>
      <c r="G974" s="13">
        <v>46266.687754629631</v>
      </c>
      <c r="H974" s="13">
        <v>46266.687858796293</v>
      </c>
      <c r="I974">
        <v>9</v>
      </c>
      <c r="J974" t="s">
        <v>255</v>
      </c>
      <c r="K974">
        <v>1</v>
      </c>
      <c r="L974">
        <v>0.01</v>
      </c>
      <c r="M974">
        <v>0.01</v>
      </c>
      <c r="N974">
        <v>1</v>
      </c>
      <c r="O974">
        <v>0.01</v>
      </c>
      <c r="P974">
        <v>0.44</v>
      </c>
      <c r="Q974">
        <v>1.25</v>
      </c>
      <c r="R974">
        <v>1.1399999999999999</v>
      </c>
      <c r="S974" t="s">
        <v>256</v>
      </c>
      <c r="T974" t="s">
        <v>257</v>
      </c>
      <c r="U974">
        <v>11</v>
      </c>
      <c r="V974">
        <v>5590.32</v>
      </c>
      <c r="W974">
        <v>4999.84</v>
      </c>
      <c r="X974">
        <v>4999.5600000000004</v>
      </c>
      <c r="Y974">
        <v>0</v>
      </c>
      <c r="Z974">
        <v>0</v>
      </c>
      <c r="AA974">
        <v>35</v>
      </c>
      <c r="AB974">
        <v>50</v>
      </c>
      <c r="AC974">
        <v>5000</v>
      </c>
      <c r="AD974">
        <v>0</v>
      </c>
      <c r="AE974">
        <v>0</v>
      </c>
      <c r="AF974">
        <v>5591.38</v>
      </c>
      <c r="AG974">
        <v>5591.38</v>
      </c>
      <c r="AH974" s="14">
        <v>46266</v>
      </c>
      <c r="AI974" t="s">
        <v>272</v>
      </c>
      <c r="AJ974" s="13">
        <v>46262.99790509259</v>
      </c>
      <c r="AK974">
        <v>5509.79</v>
      </c>
      <c r="AL974" t="s">
        <v>259</v>
      </c>
      <c r="AM974" t="s">
        <v>260</v>
      </c>
      <c r="AN974">
        <v>1400</v>
      </c>
      <c r="AO974">
        <v>0</v>
      </c>
      <c r="AP974">
        <v>35</v>
      </c>
      <c r="AQ974">
        <v>85</v>
      </c>
      <c r="AR974">
        <v>35</v>
      </c>
      <c r="AS974">
        <v>2</v>
      </c>
      <c r="AT974">
        <v>23</v>
      </c>
      <c r="AU974">
        <v>1</v>
      </c>
      <c r="AV974">
        <v>0</v>
      </c>
      <c r="AW974">
        <v>10</v>
      </c>
      <c r="AX974">
        <v>1</v>
      </c>
      <c r="AY974">
        <v>5</v>
      </c>
      <c r="AZ974">
        <v>2</v>
      </c>
      <c r="BA974">
        <v>1</v>
      </c>
      <c r="BB974">
        <v>1440</v>
      </c>
      <c r="BC974">
        <v>0</v>
      </c>
      <c r="BD974">
        <v>0</v>
      </c>
      <c r="BE974">
        <v>14</v>
      </c>
      <c r="BF974">
        <v>25</v>
      </c>
      <c r="BG974">
        <v>3</v>
      </c>
      <c r="BH974">
        <v>8</v>
      </c>
      <c r="BI974">
        <v>3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0</v>
      </c>
      <c r="BQ974">
        <v>60</v>
      </c>
      <c r="BR974">
        <v>0</v>
      </c>
      <c r="BS974">
        <v>3</v>
      </c>
      <c r="BT974" t="s">
        <v>250</v>
      </c>
      <c r="BU974" t="s">
        <v>273</v>
      </c>
      <c r="BV974" t="b">
        <v>0</v>
      </c>
      <c r="BW974" t="s">
        <v>268</v>
      </c>
    </row>
    <row r="975" spans="1:75">
      <c r="A975" t="s">
        <v>250</v>
      </c>
      <c r="B975" t="s">
        <v>252</v>
      </c>
      <c r="C975">
        <v>671</v>
      </c>
      <c r="D975" t="s">
        <v>253</v>
      </c>
      <c r="E975" t="s">
        <v>254</v>
      </c>
      <c r="F975">
        <v>30</v>
      </c>
      <c r="G975" s="13">
        <v>46266.708368055559</v>
      </c>
      <c r="H975" s="13">
        <v>46266.714884259258</v>
      </c>
      <c r="I975">
        <v>563</v>
      </c>
      <c r="J975" t="s">
        <v>255</v>
      </c>
      <c r="K975">
        <v>1</v>
      </c>
      <c r="L975">
        <v>0.01</v>
      </c>
      <c r="M975">
        <v>0.01</v>
      </c>
      <c r="N975">
        <v>1</v>
      </c>
      <c r="O975">
        <v>0.01</v>
      </c>
      <c r="P975">
        <v>14.88</v>
      </c>
      <c r="Q975">
        <v>1.1100000000000001</v>
      </c>
      <c r="R975">
        <v>0.83</v>
      </c>
      <c r="S975" t="s">
        <v>256</v>
      </c>
      <c r="T975" t="s">
        <v>257</v>
      </c>
      <c r="U975">
        <v>14</v>
      </c>
      <c r="V975">
        <v>5591.17</v>
      </c>
      <c r="W975">
        <v>4999.79</v>
      </c>
      <c r="X975">
        <v>4985.12</v>
      </c>
      <c r="Y975">
        <v>0</v>
      </c>
      <c r="Z975">
        <v>0</v>
      </c>
      <c r="AA975">
        <v>35</v>
      </c>
      <c r="AB975">
        <v>50</v>
      </c>
      <c r="AC975">
        <v>5000</v>
      </c>
      <c r="AD975">
        <v>0</v>
      </c>
      <c r="AE975">
        <v>0</v>
      </c>
      <c r="AF975">
        <v>5592.14</v>
      </c>
      <c r="AG975">
        <v>5592.14</v>
      </c>
      <c r="AH975" s="14">
        <v>46266</v>
      </c>
      <c r="AI975" t="s">
        <v>272</v>
      </c>
      <c r="AJ975" s="13">
        <v>46262.99790509259</v>
      </c>
      <c r="AK975">
        <v>5509.79</v>
      </c>
      <c r="AL975" t="s">
        <v>259</v>
      </c>
      <c r="AM975" t="s">
        <v>260</v>
      </c>
      <c r="AN975">
        <v>1400</v>
      </c>
      <c r="AO975">
        <v>0</v>
      </c>
      <c r="AP975">
        <v>35</v>
      </c>
      <c r="AQ975">
        <v>85</v>
      </c>
      <c r="AR975">
        <v>35</v>
      </c>
      <c r="AS975">
        <v>2</v>
      </c>
      <c r="AT975">
        <v>23</v>
      </c>
      <c r="AU975">
        <v>1</v>
      </c>
      <c r="AV975">
        <v>0</v>
      </c>
      <c r="AW975">
        <v>10</v>
      </c>
      <c r="AX975">
        <v>1</v>
      </c>
      <c r="AY975">
        <v>5</v>
      </c>
      <c r="AZ975">
        <v>2</v>
      </c>
      <c r="BA975">
        <v>1</v>
      </c>
      <c r="BB975">
        <v>1440</v>
      </c>
      <c r="BC975">
        <v>0</v>
      </c>
      <c r="BD975">
        <v>0</v>
      </c>
      <c r="BE975">
        <v>14</v>
      </c>
      <c r="BF975">
        <v>25</v>
      </c>
      <c r="BG975">
        <v>3</v>
      </c>
      <c r="BH975">
        <v>8</v>
      </c>
      <c r="BI975">
        <v>3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0</v>
      </c>
      <c r="BQ975">
        <v>60</v>
      </c>
      <c r="BR975">
        <v>0</v>
      </c>
      <c r="BS975">
        <v>3</v>
      </c>
      <c r="BT975" t="s">
        <v>250</v>
      </c>
      <c r="BU975" t="s">
        <v>273</v>
      </c>
      <c r="BV975" t="b">
        <v>0</v>
      </c>
      <c r="BW975" t="s">
        <v>268</v>
      </c>
    </row>
    <row r="976" spans="1:75">
      <c r="A976" t="s">
        <v>250</v>
      </c>
      <c r="B976" t="s">
        <v>252</v>
      </c>
      <c r="C976">
        <v>672</v>
      </c>
      <c r="D976" t="s">
        <v>253</v>
      </c>
      <c r="E976" t="s">
        <v>254</v>
      </c>
      <c r="F976">
        <v>30</v>
      </c>
      <c r="G976" s="13">
        <v>46266.730358796296</v>
      </c>
      <c r="H976" s="13">
        <v>46266.731828703705</v>
      </c>
      <c r="I976">
        <v>127</v>
      </c>
      <c r="J976" t="s">
        <v>255</v>
      </c>
      <c r="K976">
        <v>1</v>
      </c>
      <c r="L976">
        <v>0.01</v>
      </c>
      <c r="M976">
        <v>0.01</v>
      </c>
      <c r="N976">
        <v>1</v>
      </c>
      <c r="O976">
        <v>0.01</v>
      </c>
      <c r="P976">
        <v>3.07</v>
      </c>
      <c r="Q976">
        <v>2.0299999999999998</v>
      </c>
      <c r="R976">
        <v>1.77</v>
      </c>
      <c r="S976" t="s">
        <v>256</v>
      </c>
      <c r="T976" t="s">
        <v>257</v>
      </c>
      <c r="U976">
        <v>11</v>
      </c>
      <c r="V976">
        <v>5591.98</v>
      </c>
      <c r="W976">
        <v>4999.84</v>
      </c>
      <c r="X976">
        <v>4996.93</v>
      </c>
      <c r="Y976">
        <v>0</v>
      </c>
      <c r="Z976">
        <v>0</v>
      </c>
      <c r="AA976">
        <v>35</v>
      </c>
      <c r="AB976">
        <v>50</v>
      </c>
      <c r="AC976">
        <v>5000</v>
      </c>
      <c r="AD976">
        <v>0</v>
      </c>
      <c r="AE976">
        <v>0</v>
      </c>
      <c r="AF976">
        <v>5593.82</v>
      </c>
      <c r="AG976">
        <v>5593.82</v>
      </c>
      <c r="AH976" s="14">
        <v>46266</v>
      </c>
      <c r="AI976" t="s">
        <v>272</v>
      </c>
      <c r="AJ976" s="13">
        <v>46262.99790509259</v>
      </c>
      <c r="AK976">
        <v>5509.79</v>
      </c>
      <c r="AL976" t="s">
        <v>259</v>
      </c>
      <c r="AM976" t="s">
        <v>260</v>
      </c>
      <c r="AN976">
        <v>1400</v>
      </c>
      <c r="AO976">
        <v>0</v>
      </c>
      <c r="AP976">
        <v>35</v>
      </c>
      <c r="AQ976">
        <v>85</v>
      </c>
      <c r="AR976">
        <v>35</v>
      </c>
      <c r="AS976">
        <v>2</v>
      </c>
      <c r="AT976">
        <v>23</v>
      </c>
      <c r="AU976">
        <v>1</v>
      </c>
      <c r="AV976">
        <v>0</v>
      </c>
      <c r="AW976">
        <v>10</v>
      </c>
      <c r="AX976">
        <v>1</v>
      </c>
      <c r="AY976">
        <v>5</v>
      </c>
      <c r="AZ976">
        <v>2</v>
      </c>
      <c r="BA976">
        <v>1</v>
      </c>
      <c r="BB976">
        <v>1440</v>
      </c>
      <c r="BC976">
        <v>0</v>
      </c>
      <c r="BD976">
        <v>0</v>
      </c>
      <c r="BE976">
        <v>14</v>
      </c>
      <c r="BF976">
        <v>25</v>
      </c>
      <c r="BG976">
        <v>3</v>
      </c>
      <c r="BH976">
        <v>8</v>
      </c>
      <c r="BI976">
        <v>3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0</v>
      </c>
      <c r="BQ976">
        <v>60</v>
      </c>
      <c r="BR976">
        <v>0</v>
      </c>
      <c r="BS976">
        <v>3</v>
      </c>
      <c r="BT976" t="s">
        <v>250</v>
      </c>
      <c r="BU976" t="s">
        <v>273</v>
      </c>
      <c r="BV976" t="b">
        <v>0</v>
      </c>
      <c r="BW976" t="s">
        <v>268</v>
      </c>
    </row>
    <row r="977" spans="1:75">
      <c r="A977" t="s">
        <v>250</v>
      </c>
      <c r="B977" t="s">
        <v>252</v>
      </c>
      <c r="C977">
        <v>673</v>
      </c>
      <c r="D977" t="s">
        <v>253</v>
      </c>
      <c r="E977" t="s">
        <v>254</v>
      </c>
      <c r="F977">
        <v>30</v>
      </c>
      <c r="G977" s="13">
        <v>46266.750347222223</v>
      </c>
      <c r="H977" s="13">
        <v>46266.750775462962</v>
      </c>
      <c r="I977">
        <v>37</v>
      </c>
      <c r="J977" t="s">
        <v>255</v>
      </c>
      <c r="K977">
        <v>1</v>
      </c>
      <c r="L977">
        <v>0.01</v>
      </c>
      <c r="M977">
        <v>0.01</v>
      </c>
      <c r="N977">
        <v>1</v>
      </c>
      <c r="O977">
        <v>0.01</v>
      </c>
      <c r="P977">
        <v>1.1499999999999999</v>
      </c>
      <c r="Q977">
        <v>1.05</v>
      </c>
      <c r="R977">
        <v>0.78</v>
      </c>
      <c r="S977" t="s">
        <v>256</v>
      </c>
      <c r="T977" t="s">
        <v>257</v>
      </c>
      <c r="U977">
        <v>11</v>
      </c>
      <c r="V977">
        <v>5593.65</v>
      </c>
      <c r="W977">
        <v>4999.83</v>
      </c>
      <c r="X977">
        <v>4998.8500000000004</v>
      </c>
      <c r="Y977">
        <v>0</v>
      </c>
      <c r="Z977">
        <v>0</v>
      </c>
      <c r="AA977">
        <v>35</v>
      </c>
      <c r="AB977">
        <v>50</v>
      </c>
      <c r="AC977">
        <v>5000</v>
      </c>
      <c r="AD977">
        <v>0</v>
      </c>
      <c r="AE977">
        <v>0</v>
      </c>
      <c r="AF977">
        <v>5594.52</v>
      </c>
      <c r="AG977">
        <v>5594.52</v>
      </c>
      <c r="AH977" s="14">
        <v>46266</v>
      </c>
      <c r="AI977" t="s">
        <v>272</v>
      </c>
      <c r="AJ977" s="13">
        <v>46262.99790509259</v>
      </c>
      <c r="AK977">
        <v>5509.79</v>
      </c>
      <c r="AL977" t="s">
        <v>259</v>
      </c>
      <c r="AM977" t="s">
        <v>260</v>
      </c>
      <c r="AN977">
        <v>1400</v>
      </c>
      <c r="AO977">
        <v>0</v>
      </c>
      <c r="AP977">
        <v>35</v>
      </c>
      <c r="AQ977">
        <v>85</v>
      </c>
      <c r="AR977">
        <v>35</v>
      </c>
      <c r="AS977">
        <v>2</v>
      </c>
      <c r="AT977">
        <v>23</v>
      </c>
      <c r="AU977">
        <v>1</v>
      </c>
      <c r="AV977">
        <v>0</v>
      </c>
      <c r="AW977">
        <v>10</v>
      </c>
      <c r="AX977">
        <v>1</v>
      </c>
      <c r="AY977">
        <v>5</v>
      </c>
      <c r="AZ977">
        <v>2</v>
      </c>
      <c r="BA977">
        <v>1</v>
      </c>
      <c r="BB977">
        <v>1440</v>
      </c>
      <c r="BC977">
        <v>0</v>
      </c>
      <c r="BD977">
        <v>0</v>
      </c>
      <c r="BE977">
        <v>14</v>
      </c>
      <c r="BF977">
        <v>25</v>
      </c>
      <c r="BG977">
        <v>3</v>
      </c>
      <c r="BH977">
        <v>8</v>
      </c>
      <c r="BI977">
        <v>3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0</v>
      </c>
      <c r="BQ977">
        <v>60</v>
      </c>
      <c r="BR977">
        <v>0</v>
      </c>
      <c r="BS977">
        <v>3</v>
      </c>
      <c r="BT977" t="s">
        <v>250</v>
      </c>
      <c r="BU977" t="s">
        <v>273</v>
      </c>
      <c r="BV977" t="b">
        <v>0</v>
      </c>
      <c r="BW977" t="s">
        <v>268</v>
      </c>
    </row>
    <row r="978" spans="1:75">
      <c r="A978" t="s">
        <v>250</v>
      </c>
      <c r="B978" t="s">
        <v>252</v>
      </c>
      <c r="C978">
        <v>674</v>
      </c>
      <c r="D978" t="s">
        <v>253</v>
      </c>
      <c r="E978" t="s">
        <v>254</v>
      </c>
      <c r="F978">
        <v>30</v>
      </c>
      <c r="G978" s="13">
        <v>46266.77202546296</v>
      </c>
      <c r="H978" s="13">
        <v>46266.774502314816</v>
      </c>
      <c r="I978">
        <v>214</v>
      </c>
      <c r="J978" t="s">
        <v>264</v>
      </c>
      <c r="K978">
        <v>1</v>
      </c>
      <c r="L978">
        <v>0.01</v>
      </c>
      <c r="M978">
        <v>0.01</v>
      </c>
      <c r="N978">
        <v>1</v>
      </c>
      <c r="O978">
        <v>0.01</v>
      </c>
      <c r="P978">
        <v>4.1100000000000003</v>
      </c>
      <c r="Q978">
        <v>1.07</v>
      </c>
      <c r="R978">
        <v>1.02</v>
      </c>
      <c r="S978" t="s">
        <v>256</v>
      </c>
      <c r="T978" t="s">
        <v>257</v>
      </c>
      <c r="U978">
        <v>10</v>
      </c>
      <c r="V978">
        <v>5594.35</v>
      </c>
      <c r="W978">
        <v>4999.83</v>
      </c>
      <c r="X978">
        <v>4995.8900000000003</v>
      </c>
      <c r="Y978">
        <v>0</v>
      </c>
      <c r="Z978">
        <v>0</v>
      </c>
      <c r="AA978">
        <v>35</v>
      </c>
      <c r="AB978">
        <v>50</v>
      </c>
      <c r="AC978">
        <v>5000</v>
      </c>
      <c r="AD978">
        <v>0</v>
      </c>
      <c r="AE978">
        <v>0</v>
      </c>
      <c r="AF978">
        <v>5595.19</v>
      </c>
      <c r="AG978">
        <v>5595.19</v>
      </c>
      <c r="AH978" s="14">
        <v>46266</v>
      </c>
      <c r="AI978" t="s">
        <v>272</v>
      </c>
      <c r="AJ978" s="13">
        <v>46262.99790509259</v>
      </c>
      <c r="AK978">
        <v>5509.79</v>
      </c>
      <c r="AL978" t="s">
        <v>259</v>
      </c>
      <c r="AM978" t="s">
        <v>260</v>
      </c>
      <c r="AN978">
        <v>1400</v>
      </c>
      <c r="AO978">
        <v>0</v>
      </c>
      <c r="AP978">
        <v>35</v>
      </c>
      <c r="AQ978">
        <v>85</v>
      </c>
      <c r="AR978">
        <v>35</v>
      </c>
      <c r="AS978">
        <v>2</v>
      </c>
      <c r="AT978">
        <v>23</v>
      </c>
      <c r="AU978">
        <v>1</v>
      </c>
      <c r="AV978">
        <v>0</v>
      </c>
      <c r="AW978">
        <v>10</v>
      </c>
      <c r="AX978">
        <v>1</v>
      </c>
      <c r="AY978">
        <v>5</v>
      </c>
      <c r="AZ978">
        <v>2</v>
      </c>
      <c r="BA978">
        <v>1</v>
      </c>
      <c r="BB978">
        <v>1440</v>
      </c>
      <c r="BC978">
        <v>0</v>
      </c>
      <c r="BD978">
        <v>0</v>
      </c>
      <c r="BE978">
        <v>14</v>
      </c>
      <c r="BF978">
        <v>25</v>
      </c>
      <c r="BG978">
        <v>3</v>
      </c>
      <c r="BH978">
        <v>8</v>
      </c>
      <c r="BI978">
        <v>3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0</v>
      </c>
      <c r="BQ978">
        <v>60</v>
      </c>
      <c r="BR978">
        <v>0</v>
      </c>
      <c r="BS978">
        <v>3</v>
      </c>
      <c r="BT978" t="s">
        <v>250</v>
      </c>
      <c r="BU978" t="s">
        <v>273</v>
      </c>
      <c r="BV978" t="b">
        <v>0</v>
      </c>
      <c r="BW978" t="s">
        <v>268</v>
      </c>
    </row>
    <row r="979" spans="1:75">
      <c r="A979" t="s">
        <v>250</v>
      </c>
      <c r="B979" t="s">
        <v>252</v>
      </c>
      <c r="C979">
        <v>675</v>
      </c>
      <c r="D979" t="s">
        <v>253</v>
      </c>
      <c r="E979" t="s">
        <v>254</v>
      </c>
      <c r="F979">
        <v>30</v>
      </c>
      <c r="G979" s="13">
        <v>46266.796261574076</v>
      </c>
      <c r="H979" s="13">
        <v>46266.796539351853</v>
      </c>
      <c r="I979">
        <v>24</v>
      </c>
      <c r="J979" t="s">
        <v>264</v>
      </c>
      <c r="K979">
        <v>1</v>
      </c>
      <c r="L979">
        <v>0.01</v>
      </c>
      <c r="M979">
        <v>0.01</v>
      </c>
      <c r="N979">
        <v>1</v>
      </c>
      <c r="O979">
        <v>0.01</v>
      </c>
      <c r="P979">
        <v>0.17</v>
      </c>
      <c r="Q979">
        <v>1.8</v>
      </c>
      <c r="R979">
        <v>1.62</v>
      </c>
      <c r="S979" t="s">
        <v>256</v>
      </c>
      <c r="T979" t="s">
        <v>257</v>
      </c>
      <c r="U979">
        <v>11</v>
      </c>
      <c r="V979">
        <v>5595.02</v>
      </c>
      <c r="W979">
        <v>4999.83</v>
      </c>
      <c r="X979">
        <v>4999.83</v>
      </c>
      <c r="Y979">
        <v>0</v>
      </c>
      <c r="Z979">
        <v>0</v>
      </c>
      <c r="AA979">
        <v>35</v>
      </c>
      <c r="AB979">
        <v>50</v>
      </c>
      <c r="AC979">
        <v>5000</v>
      </c>
      <c r="AD979">
        <v>0</v>
      </c>
      <c r="AE979">
        <v>0</v>
      </c>
      <c r="AF979">
        <v>5596.64</v>
      </c>
      <c r="AG979">
        <v>5596.64</v>
      </c>
      <c r="AH979" s="14">
        <v>46266</v>
      </c>
      <c r="AI979" t="s">
        <v>272</v>
      </c>
      <c r="AJ979" s="13">
        <v>46262.99790509259</v>
      </c>
      <c r="AK979">
        <v>5509.79</v>
      </c>
      <c r="AL979" t="s">
        <v>259</v>
      </c>
      <c r="AM979" t="s">
        <v>260</v>
      </c>
      <c r="AN979">
        <v>1400</v>
      </c>
      <c r="AO979">
        <v>0</v>
      </c>
      <c r="AP979">
        <v>35</v>
      </c>
      <c r="AQ979">
        <v>85</v>
      </c>
      <c r="AR979">
        <v>35</v>
      </c>
      <c r="AS979">
        <v>2</v>
      </c>
      <c r="AT979">
        <v>23</v>
      </c>
      <c r="AU979">
        <v>1</v>
      </c>
      <c r="AV979">
        <v>0</v>
      </c>
      <c r="AW979">
        <v>10</v>
      </c>
      <c r="AX979">
        <v>1</v>
      </c>
      <c r="AY979">
        <v>5</v>
      </c>
      <c r="AZ979">
        <v>2</v>
      </c>
      <c r="BA979">
        <v>1</v>
      </c>
      <c r="BB979">
        <v>1440</v>
      </c>
      <c r="BC979">
        <v>0</v>
      </c>
      <c r="BD979">
        <v>0</v>
      </c>
      <c r="BE979">
        <v>14</v>
      </c>
      <c r="BF979">
        <v>25</v>
      </c>
      <c r="BG979">
        <v>3</v>
      </c>
      <c r="BH979">
        <v>8</v>
      </c>
      <c r="BI979">
        <v>3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0</v>
      </c>
      <c r="BQ979">
        <v>60</v>
      </c>
      <c r="BR979">
        <v>0</v>
      </c>
      <c r="BS979">
        <v>3</v>
      </c>
      <c r="BT979" t="s">
        <v>250</v>
      </c>
      <c r="BU979" t="s">
        <v>273</v>
      </c>
      <c r="BV979" t="b">
        <v>0</v>
      </c>
      <c r="BW979" t="s">
        <v>268</v>
      </c>
    </row>
    <row r="980" spans="1:75">
      <c r="A980" t="s">
        <v>250</v>
      </c>
      <c r="B980" t="s">
        <v>252</v>
      </c>
      <c r="C980">
        <v>676</v>
      </c>
      <c r="D980" t="s">
        <v>253</v>
      </c>
      <c r="E980" t="s">
        <v>254</v>
      </c>
      <c r="F980">
        <v>30</v>
      </c>
      <c r="G980" s="13">
        <v>46266.81322916667</v>
      </c>
      <c r="H980" s="13">
        <v>46266.813784722224</v>
      </c>
      <c r="I980">
        <v>48</v>
      </c>
      <c r="J980" t="s">
        <v>264</v>
      </c>
      <c r="K980">
        <v>1</v>
      </c>
      <c r="L980">
        <v>0.01</v>
      </c>
      <c r="M980">
        <v>0.01</v>
      </c>
      <c r="N980">
        <v>1</v>
      </c>
      <c r="O980">
        <v>0.01</v>
      </c>
      <c r="P980">
        <v>0.8</v>
      </c>
      <c r="Q980">
        <v>0.85</v>
      </c>
      <c r="R980">
        <v>0.56999999999999995</v>
      </c>
      <c r="S980" t="s">
        <v>256</v>
      </c>
      <c r="T980" t="s">
        <v>257</v>
      </c>
      <c r="U980">
        <v>10</v>
      </c>
      <c r="V980">
        <v>5596.48</v>
      </c>
      <c r="W980">
        <v>4999.84</v>
      </c>
      <c r="X980">
        <v>4999.2</v>
      </c>
      <c r="Y980">
        <v>0</v>
      </c>
      <c r="Z980">
        <v>0</v>
      </c>
      <c r="AA980">
        <v>35</v>
      </c>
      <c r="AB980">
        <v>50</v>
      </c>
      <c r="AC980">
        <v>5000</v>
      </c>
      <c r="AD980">
        <v>0</v>
      </c>
      <c r="AE980">
        <v>0</v>
      </c>
      <c r="AF980">
        <v>5597.11</v>
      </c>
      <c r="AG980">
        <v>5597.11</v>
      </c>
      <c r="AH980" s="14">
        <v>46266</v>
      </c>
      <c r="AI980" t="s">
        <v>272</v>
      </c>
      <c r="AJ980" s="13">
        <v>46262.99790509259</v>
      </c>
      <c r="AK980">
        <v>5509.79</v>
      </c>
      <c r="AL980" t="s">
        <v>259</v>
      </c>
      <c r="AM980" t="s">
        <v>260</v>
      </c>
      <c r="AN980">
        <v>1400</v>
      </c>
      <c r="AO980">
        <v>0</v>
      </c>
      <c r="AP980">
        <v>35</v>
      </c>
      <c r="AQ980">
        <v>85</v>
      </c>
      <c r="AR980">
        <v>35</v>
      </c>
      <c r="AS980">
        <v>2</v>
      </c>
      <c r="AT980">
        <v>23</v>
      </c>
      <c r="AU980">
        <v>1</v>
      </c>
      <c r="AV980">
        <v>0</v>
      </c>
      <c r="AW980">
        <v>10</v>
      </c>
      <c r="AX980">
        <v>1</v>
      </c>
      <c r="AY980">
        <v>5</v>
      </c>
      <c r="AZ980">
        <v>2</v>
      </c>
      <c r="BA980">
        <v>1</v>
      </c>
      <c r="BB980">
        <v>1440</v>
      </c>
      <c r="BC980">
        <v>0</v>
      </c>
      <c r="BD980">
        <v>0</v>
      </c>
      <c r="BE980">
        <v>14</v>
      </c>
      <c r="BF980">
        <v>25</v>
      </c>
      <c r="BG980">
        <v>3</v>
      </c>
      <c r="BH980">
        <v>8</v>
      </c>
      <c r="BI980">
        <v>3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0</v>
      </c>
      <c r="BQ980">
        <v>60</v>
      </c>
      <c r="BR980">
        <v>0</v>
      </c>
      <c r="BS980">
        <v>3</v>
      </c>
      <c r="BT980" t="s">
        <v>250</v>
      </c>
      <c r="BU980" t="s">
        <v>273</v>
      </c>
      <c r="BV980" t="b">
        <v>0</v>
      </c>
      <c r="BW980" t="s">
        <v>268</v>
      </c>
    </row>
    <row r="981" spans="1:75">
      <c r="A981" t="s">
        <v>250</v>
      </c>
      <c r="B981" t="s">
        <v>252</v>
      </c>
      <c r="C981">
        <v>677</v>
      </c>
      <c r="D981" t="s">
        <v>253</v>
      </c>
      <c r="E981" t="s">
        <v>254</v>
      </c>
      <c r="F981">
        <v>30</v>
      </c>
      <c r="G981" s="13">
        <v>46266.834826388891</v>
      </c>
      <c r="H981" s="13">
        <v>46266.836018518516</v>
      </c>
      <c r="I981">
        <v>103</v>
      </c>
      <c r="J981" t="s">
        <v>264</v>
      </c>
      <c r="K981">
        <v>1</v>
      </c>
      <c r="L981">
        <v>0.01</v>
      </c>
      <c r="M981">
        <v>0.01</v>
      </c>
      <c r="N981">
        <v>1</v>
      </c>
      <c r="O981">
        <v>0.01</v>
      </c>
      <c r="P981">
        <v>1.41</v>
      </c>
      <c r="Q981">
        <v>0.81</v>
      </c>
      <c r="R981">
        <v>0.48</v>
      </c>
      <c r="S981" t="s">
        <v>256</v>
      </c>
      <c r="T981" t="s">
        <v>257</v>
      </c>
      <c r="U981">
        <v>11</v>
      </c>
      <c r="V981">
        <v>5596.94</v>
      </c>
      <c r="W981">
        <v>4999.83</v>
      </c>
      <c r="X981">
        <v>4998.59</v>
      </c>
      <c r="Y981">
        <v>0</v>
      </c>
      <c r="Z981">
        <v>0</v>
      </c>
      <c r="AA981">
        <v>35</v>
      </c>
      <c r="AB981">
        <v>50</v>
      </c>
      <c r="AC981">
        <v>5000</v>
      </c>
      <c r="AD981">
        <v>0</v>
      </c>
      <c r="AE981">
        <v>0</v>
      </c>
      <c r="AF981">
        <v>5597.57</v>
      </c>
      <c r="AG981">
        <v>5597.57</v>
      </c>
      <c r="AH981" s="14">
        <v>46266</v>
      </c>
      <c r="AI981" t="s">
        <v>272</v>
      </c>
      <c r="AJ981" s="13">
        <v>46262.99790509259</v>
      </c>
      <c r="AK981">
        <v>5509.79</v>
      </c>
      <c r="AL981" t="s">
        <v>259</v>
      </c>
      <c r="AM981" t="s">
        <v>260</v>
      </c>
      <c r="AN981">
        <v>1400</v>
      </c>
      <c r="AO981">
        <v>0</v>
      </c>
      <c r="AP981">
        <v>35</v>
      </c>
      <c r="AQ981">
        <v>85</v>
      </c>
      <c r="AR981">
        <v>35</v>
      </c>
      <c r="AS981">
        <v>2</v>
      </c>
      <c r="AT981">
        <v>23</v>
      </c>
      <c r="AU981">
        <v>1</v>
      </c>
      <c r="AV981">
        <v>0</v>
      </c>
      <c r="AW981">
        <v>10</v>
      </c>
      <c r="AX981">
        <v>1</v>
      </c>
      <c r="AY981">
        <v>5</v>
      </c>
      <c r="AZ981">
        <v>2</v>
      </c>
      <c r="BA981">
        <v>1</v>
      </c>
      <c r="BB981">
        <v>1440</v>
      </c>
      <c r="BC981">
        <v>0</v>
      </c>
      <c r="BD981">
        <v>0</v>
      </c>
      <c r="BE981">
        <v>14</v>
      </c>
      <c r="BF981">
        <v>25</v>
      </c>
      <c r="BG981">
        <v>3</v>
      </c>
      <c r="BH981">
        <v>8</v>
      </c>
      <c r="BI981">
        <v>3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0</v>
      </c>
      <c r="BQ981">
        <v>60</v>
      </c>
      <c r="BR981">
        <v>0</v>
      </c>
      <c r="BS981">
        <v>3</v>
      </c>
      <c r="BT981" t="s">
        <v>250</v>
      </c>
      <c r="BU981" t="s">
        <v>273</v>
      </c>
      <c r="BV981" t="b">
        <v>0</v>
      </c>
      <c r="BW981" t="s">
        <v>268</v>
      </c>
    </row>
    <row r="982" spans="1:75">
      <c r="A982" t="s">
        <v>250</v>
      </c>
      <c r="B982" t="s">
        <v>252</v>
      </c>
      <c r="C982">
        <v>678</v>
      </c>
      <c r="D982" t="s">
        <v>253</v>
      </c>
      <c r="E982" t="s">
        <v>254</v>
      </c>
      <c r="F982">
        <v>30</v>
      </c>
      <c r="G982" s="13">
        <v>46266.856851851851</v>
      </c>
      <c r="H982" s="13">
        <v>46266.860555555555</v>
      </c>
      <c r="I982">
        <v>320</v>
      </c>
      <c r="J982" t="s">
        <v>264</v>
      </c>
      <c r="K982">
        <v>1</v>
      </c>
      <c r="L982">
        <v>0.01</v>
      </c>
      <c r="M982">
        <v>0.01</v>
      </c>
      <c r="N982">
        <v>1</v>
      </c>
      <c r="O982">
        <v>0.01</v>
      </c>
      <c r="P982">
        <v>2.54</v>
      </c>
      <c r="Q982">
        <v>1.1100000000000001</v>
      </c>
      <c r="R982">
        <v>1.01</v>
      </c>
      <c r="S982" t="s">
        <v>256</v>
      </c>
      <c r="T982" t="s">
        <v>257</v>
      </c>
      <c r="U982">
        <v>11</v>
      </c>
      <c r="V982">
        <v>5597.41</v>
      </c>
      <c r="W982">
        <v>4999.84</v>
      </c>
      <c r="X982">
        <v>4997.46</v>
      </c>
      <c r="Y982">
        <v>0</v>
      </c>
      <c r="Z982">
        <v>0</v>
      </c>
      <c r="AA982">
        <v>35</v>
      </c>
      <c r="AB982">
        <v>50</v>
      </c>
      <c r="AC982">
        <v>5000</v>
      </c>
      <c r="AD982">
        <v>0</v>
      </c>
      <c r="AE982">
        <v>0</v>
      </c>
      <c r="AF982">
        <v>5598.33</v>
      </c>
      <c r="AG982">
        <v>5598.33</v>
      </c>
      <c r="AH982" s="14">
        <v>46266</v>
      </c>
      <c r="AI982" t="s">
        <v>272</v>
      </c>
      <c r="AJ982" s="13">
        <v>46262.99790509259</v>
      </c>
      <c r="AK982">
        <v>5509.79</v>
      </c>
      <c r="AL982" t="s">
        <v>259</v>
      </c>
      <c r="AM982" t="s">
        <v>260</v>
      </c>
      <c r="AN982">
        <v>1400</v>
      </c>
      <c r="AO982">
        <v>0</v>
      </c>
      <c r="AP982">
        <v>35</v>
      </c>
      <c r="AQ982">
        <v>85</v>
      </c>
      <c r="AR982">
        <v>35</v>
      </c>
      <c r="AS982">
        <v>2</v>
      </c>
      <c r="AT982">
        <v>23</v>
      </c>
      <c r="AU982">
        <v>1</v>
      </c>
      <c r="AV982">
        <v>0</v>
      </c>
      <c r="AW982">
        <v>10</v>
      </c>
      <c r="AX982">
        <v>1</v>
      </c>
      <c r="AY982">
        <v>5</v>
      </c>
      <c r="AZ982">
        <v>2</v>
      </c>
      <c r="BA982">
        <v>1</v>
      </c>
      <c r="BB982">
        <v>1440</v>
      </c>
      <c r="BC982">
        <v>0</v>
      </c>
      <c r="BD982">
        <v>0</v>
      </c>
      <c r="BE982">
        <v>14</v>
      </c>
      <c r="BF982">
        <v>25</v>
      </c>
      <c r="BG982">
        <v>3</v>
      </c>
      <c r="BH982">
        <v>8</v>
      </c>
      <c r="BI982">
        <v>3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0</v>
      </c>
      <c r="BQ982">
        <v>60</v>
      </c>
      <c r="BR982">
        <v>0</v>
      </c>
      <c r="BS982">
        <v>3</v>
      </c>
      <c r="BT982" t="s">
        <v>250</v>
      </c>
      <c r="BU982" t="s">
        <v>273</v>
      </c>
      <c r="BV982" t="b">
        <v>0</v>
      </c>
      <c r="BW982" t="s">
        <v>268</v>
      </c>
    </row>
    <row r="983" spans="1:75">
      <c r="A983" t="s">
        <v>250</v>
      </c>
      <c r="B983" t="s">
        <v>252</v>
      </c>
      <c r="C983">
        <v>679</v>
      </c>
      <c r="D983" t="s">
        <v>253</v>
      </c>
      <c r="E983" t="s">
        <v>254</v>
      </c>
      <c r="F983">
        <v>30</v>
      </c>
      <c r="G983" s="13">
        <v>46266.877789351849</v>
      </c>
      <c r="H983" s="13">
        <v>46266.87841435185</v>
      </c>
      <c r="I983">
        <v>54</v>
      </c>
      <c r="J983" t="s">
        <v>264</v>
      </c>
      <c r="K983">
        <v>1</v>
      </c>
      <c r="L983">
        <v>0.01</v>
      </c>
      <c r="M983">
        <v>0.01</v>
      </c>
      <c r="N983">
        <v>1</v>
      </c>
      <c r="O983">
        <v>0.01</v>
      </c>
      <c r="P983">
        <v>0.51</v>
      </c>
      <c r="Q983">
        <v>2.0099999999999998</v>
      </c>
      <c r="R983">
        <v>1.79</v>
      </c>
      <c r="S983" t="s">
        <v>256</v>
      </c>
      <c r="T983" t="s">
        <v>257</v>
      </c>
      <c r="U983">
        <v>11</v>
      </c>
      <c r="V983">
        <v>5598.16</v>
      </c>
      <c r="W983">
        <v>4999.83</v>
      </c>
      <c r="X983">
        <v>4999.49</v>
      </c>
      <c r="Y983">
        <v>0</v>
      </c>
      <c r="Z983">
        <v>0</v>
      </c>
      <c r="AA983">
        <v>35</v>
      </c>
      <c r="AB983">
        <v>50</v>
      </c>
      <c r="AC983">
        <v>5000</v>
      </c>
      <c r="AD983">
        <v>0</v>
      </c>
      <c r="AE983">
        <v>0</v>
      </c>
      <c r="AF983">
        <v>5599.99</v>
      </c>
      <c r="AG983">
        <v>5599.99</v>
      </c>
      <c r="AH983" s="14">
        <v>46266</v>
      </c>
      <c r="AI983" t="s">
        <v>272</v>
      </c>
      <c r="AJ983" s="13">
        <v>46262.99790509259</v>
      </c>
      <c r="AK983">
        <v>5509.79</v>
      </c>
      <c r="AL983" t="s">
        <v>259</v>
      </c>
      <c r="AM983" t="s">
        <v>260</v>
      </c>
      <c r="AN983">
        <v>1400</v>
      </c>
      <c r="AO983">
        <v>0</v>
      </c>
      <c r="AP983">
        <v>35</v>
      </c>
      <c r="AQ983">
        <v>85</v>
      </c>
      <c r="AR983">
        <v>35</v>
      </c>
      <c r="AS983">
        <v>2</v>
      </c>
      <c r="AT983">
        <v>23</v>
      </c>
      <c r="AU983">
        <v>1</v>
      </c>
      <c r="AV983">
        <v>0</v>
      </c>
      <c r="AW983">
        <v>10</v>
      </c>
      <c r="AX983">
        <v>1</v>
      </c>
      <c r="AY983">
        <v>5</v>
      </c>
      <c r="AZ983">
        <v>2</v>
      </c>
      <c r="BA983">
        <v>1</v>
      </c>
      <c r="BB983">
        <v>1440</v>
      </c>
      <c r="BC983">
        <v>0</v>
      </c>
      <c r="BD983">
        <v>0</v>
      </c>
      <c r="BE983">
        <v>14</v>
      </c>
      <c r="BF983">
        <v>25</v>
      </c>
      <c r="BG983">
        <v>3</v>
      </c>
      <c r="BH983">
        <v>8</v>
      </c>
      <c r="BI983">
        <v>3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0</v>
      </c>
      <c r="BQ983">
        <v>60</v>
      </c>
      <c r="BR983">
        <v>0</v>
      </c>
      <c r="BS983">
        <v>3</v>
      </c>
      <c r="BT983" t="s">
        <v>250</v>
      </c>
      <c r="BU983" t="s">
        <v>273</v>
      </c>
      <c r="BV983" t="b">
        <v>0</v>
      </c>
      <c r="BW983" t="s">
        <v>268</v>
      </c>
    </row>
    <row r="984" spans="1:75">
      <c r="A984" t="s">
        <v>250</v>
      </c>
      <c r="B984" t="s">
        <v>252</v>
      </c>
      <c r="C984">
        <v>680</v>
      </c>
      <c r="D984" t="s">
        <v>253</v>
      </c>
      <c r="E984" t="s">
        <v>254</v>
      </c>
      <c r="F984">
        <v>30</v>
      </c>
      <c r="G984" s="13">
        <v>46266.896585648145</v>
      </c>
      <c r="H984" s="13">
        <v>46266.899108796293</v>
      </c>
      <c r="I984">
        <v>218</v>
      </c>
      <c r="J984" t="s">
        <v>264</v>
      </c>
      <c r="K984">
        <v>1</v>
      </c>
      <c r="L984">
        <v>0.01</v>
      </c>
      <c r="M984">
        <v>0.01</v>
      </c>
      <c r="N984">
        <v>1</v>
      </c>
      <c r="O984">
        <v>0.01</v>
      </c>
      <c r="P984">
        <v>1.19</v>
      </c>
      <c r="Q984">
        <v>0.83</v>
      </c>
      <c r="R984">
        <v>0.66</v>
      </c>
      <c r="S984" t="s">
        <v>256</v>
      </c>
      <c r="T984" t="s">
        <v>257</v>
      </c>
      <c r="U984">
        <v>10</v>
      </c>
      <c r="V984">
        <v>5599.83</v>
      </c>
      <c r="W984">
        <v>4999.84</v>
      </c>
      <c r="X984">
        <v>4998.8100000000004</v>
      </c>
      <c r="Y984">
        <v>0</v>
      </c>
      <c r="Z984">
        <v>0</v>
      </c>
      <c r="AA984">
        <v>35</v>
      </c>
      <c r="AB984">
        <v>50</v>
      </c>
      <c r="AC984">
        <v>5000</v>
      </c>
      <c r="AD984">
        <v>0</v>
      </c>
      <c r="AE984">
        <v>0</v>
      </c>
      <c r="AF984">
        <v>5600.47</v>
      </c>
      <c r="AG984">
        <v>5600.47</v>
      </c>
      <c r="AH984" s="14">
        <v>46266</v>
      </c>
      <c r="AI984" t="s">
        <v>272</v>
      </c>
      <c r="AJ984" s="13">
        <v>46262.99790509259</v>
      </c>
      <c r="AK984">
        <v>5509.79</v>
      </c>
      <c r="AL984" t="s">
        <v>259</v>
      </c>
      <c r="AM984" t="s">
        <v>260</v>
      </c>
      <c r="AN984">
        <v>1400</v>
      </c>
      <c r="AO984">
        <v>0</v>
      </c>
      <c r="AP984">
        <v>35</v>
      </c>
      <c r="AQ984">
        <v>85</v>
      </c>
      <c r="AR984">
        <v>35</v>
      </c>
      <c r="AS984">
        <v>2</v>
      </c>
      <c r="AT984">
        <v>23</v>
      </c>
      <c r="AU984">
        <v>1</v>
      </c>
      <c r="AV984">
        <v>0</v>
      </c>
      <c r="AW984">
        <v>10</v>
      </c>
      <c r="AX984">
        <v>1</v>
      </c>
      <c r="AY984">
        <v>5</v>
      </c>
      <c r="AZ984">
        <v>2</v>
      </c>
      <c r="BA984">
        <v>1</v>
      </c>
      <c r="BB984">
        <v>1440</v>
      </c>
      <c r="BC984">
        <v>0</v>
      </c>
      <c r="BD984">
        <v>0</v>
      </c>
      <c r="BE984">
        <v>14</v>
      </c>
      <c r="BF984">
        <v>25</v>
      </c>
      <c r="BG984">
        <v>3</v>
      </c>
      <c r="BH984">
        <v>8</v>
      </c>
      <c r="BI984">
        <v>3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0</v>
      </c>
      <c r="BQ984">
        <v>60</v>
      </c>
      <c r="BR984">
        <v>0</v>
      </c>
      <c r="BS984">
        <v>3</v>
      </c>
      <c r="BT984" t="s">
        <v>250</v>
      </c>
      <c r="BU984" t="s">
        <v>273</v>
      </c>
      <c r="BV984" t="b">
        <v>0</v>
      </c>
      <c r="BW984" t="s">
        <v>268</v>
      </c>
    </row>
    <row r="985" spans="1:75">
      <c r="A985" t="s">
        <v>250</v>
      </c>
      <c r="B985" t="s">
        <v>252</v>
      </c>
      <c r="C985">
        <v>681</v>
      </c>
      <c r="D985" t="s">
        <v>253</v>
      </c>
      <c r="E985" t="s">
        <v>254</v>
      </c>
      <c r="F985">
        <v>30</v>
      </c>
      <c r="G985" s="13">
        <v>46266.919803240744</v>
      </c>
      <c r="H985" s="13">
        <v>46266.920393518521</v>
      </c>
      <c r="I985">
        <v>51</v>
      </c>
      <c r="J985" t="s">
        <v>255</v>
      </c>
      <c r="K985">
        <v>1</v>
      </c>
      <c r="L985">
        <v>0.01</v>
      </c>
      <c r="M985">
        <v>0.01</v>
      </c>
      <c r="N985">
        <v>1</v>
      </c>
      <c r="O985">
        <v>0.01</v>
      </c>
      <c r="P985">
        <v>1.22</v>
      </c>
      <c r="Q985">
        <v>1.07</v>
      </c>
      <c r="R985">
        <v>1.07</v>
      </c>
      <c r="S985" t="s">
        <v>256</v>
      </c>
      <c r="T985" t="s">
        <v>257</v>
      </c>
      <c r="U985">
        <v>11</v>
      </c>
      <c r="V985">
        <v>5600.31</v>
      </c>
      <c r="W985">
        <v>4999.84</v>
      </c>
      <c r="X985">
        <v>4998.78</v>
      </c>
      <c r="Y985">
        <v>0</v>
      </c>
      <c r="Z985">
        <v>0</v>
      </c>
      <c r="AA985">
        <v>35</v>
      </c>
      <c r="AB985">
        <v>50</v>
      </c>
      <c r="AC985">
        <v>5000</v>
      </c>
      <c r="AD985">
        <v>0</v>
      </c>
      <c r="AE985">
        <v>0</v>
      </c>
      <c r="AF985">
        <v>5601.19</v>
      </c>
      <c r="AG985">
        <v>5601.19</v>
      </c>
      <c r="AH985" s="14">
        <v>46266</v>
      </c>
      <c r="AI985" t="s">
        <v>272</v>
      </c>
      <c r="AJ985" s="13">
        <v>46262.99790509259</v>
      </c>
      <c r="AK985">
        <v>5509.79</v>
      </c>
      <c r="AL985" t="s">
        <v>259</v>
      </c>
      <c r="AM985" t="s">
        <v>260</v>
      </c>
      <c r="AN985">
        <v>1400</v>
      </c>
      <c r="AO985">
        <v>0</v>
      </c>
      <c r="AP985">
        <v>35</v>
      </c>
      <c r="AQ985">
        <v>85</v>
      </c>
      <c r="AR985">
        <v>35</v>
      </c>
      <c r="AS985">
        <v>2</v>
      </c>
      <c r="AT985">
        <v>23</v>
      </c>
      <c r="AU985">
        <v>1</v>
      </c>
      <c r="AV985">
        <v>0</v>
      </c>
      <c r="AW985">
        <v>10</v>
      </c>
      <c r="AX985">
        <v>1</v>
      </c>
      <c r="AY985">
        <v>5</v>
      </c>
      <c r="AZ985">
        <v>2</v>
      </c>
      <c r="BA985">
        <v>1</v>
      </c>
      <c r="BB985">
        <v>1440</v>
      </c>
      <c r="BC985">
        <v>0</v>
      </c>
      <c r="BD985">
        <v>0</v>
      </c>
      <c r="BE985">
        <v>14</v>
      </c>
      <c r="BF985">
        <v>25</v>
      </c>
      <c r="BG985">
        <v>3</v>
      </c>
      <c r="BH985">
        <v>8</v>
      </c>
      <c r="BI985">
        <v>3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0</v>
      </c>
      <c r="BQ985">
        <v>60</v>
      </c>
      <c r="BR985">
        <v>0</v>
      </c>
      <c r="BS985">
        <v>3</v>
      </c>
      <c r="BT985" t="s">
        <v>250</v>
      </c>
      <c r="BU985" t="s">
        <v>273</v>
      </c>
      <c r="BV985" t="b">
        <v>0</v>
      </c>
      <c r="BW985" t="s">
        <v>268</v>
      </c>
    </row>
    <row r="986" spans="1:75">
      <c r="A986" t="s">
        <v>250</v>
      </c>
      <c r="B986" t="s">
        <v>252</v>
      </c>
      <c r="C986">
        <v>682</v>
      </c>
      <c r="D986" t="s">
        <v>253</v>
      </c>
      <c r="E986" t="s">
        <v>254</v>
      </c>
      <c r="F986">
        <v>30</v>
      </c>
      <c r="G986" s="13">
        <v>46266.938726851855</v>
      </c>
      <c r="H986" s="13">
        <v>46266.939097222225</v>
      </c>
      <c r="I986">
        <v>32</v>
      </c>
      <c r="J986" t="s">
        <v>264</v>
      </c>
      <c r="K986">
        <v>1</v>
      </c>
      <c r="L986">
        <v>0.01</v>
      </c>
      <c r="M986">
        <v>0.01</v>
      </c>
      <c r="N986">
        <v>1</v>
      </c>
      <c r="O986">
        <v>0.01</v>
      </c>
      <c r="P986">
        <v>0.16</v>
      </c>
      <c r="Q986">
        <v>1.93</v>
      </c>
      <c r="R986">
        <v>1.63</v>
      </c>
      <c r="S986" t="s">
        <v>256</v>
      </c>
      <c r="T986" t="s">
        <v>257</v>
      </c>
      <c r="U986">
        <v>11</v>
      </c>
      <c r="V986">
        <v>5601.03</v>
      </c>
      <c r="W986">
        <v>4999.84</v>
      </c>
      <c r="X986">
        <v>4999.84</v>
      </c>
      <c r="Y986">
        <v>0</v>
      </c>
      <c r="Z986">
        <v>0</v>
      </c>
      <c r="AA986">
        <v>35</v>
      </c>
      <c r="AB986">
        <v>50</v>
      </c>
      <c r="AC986">
        <v>5000</v>
      </c>
      <c r="AD986">
        <v>0</v>
      </c>
      <c r="AE986">
        <v>0</v>
      </c>
      <c r="AF986">
        <v>5602.77</v>
      </c>
      <c r="AG986">
        <v>5602.77</v>
      </c>
      <c r="AH986" s="14">
        <v>46266</v>
      </c>
      <c r="AI986" t="s">
        <v>272</v>
      </c>
      <c r="AJ986" s="13">
        <v>46262.99790509259</v>
      </c>
      <c r="AK986">
        <v>5509.79</v>
      </c>
      <c r="AL986" t="s">
        <v>259</v>
      </c>
      <c r="AM986" t="s">
        <v>260</v>
      </c>
      <c r="AN986">
        <v>1400</v>
      </c>
      <c r="AO986">
        <v>0</v>
      </c>
      <c r="AP986">
        <v>35</v>
      </c>
      <c r="AQ986">
        <v>85</v>
      </c>
      <c r="AR986">
        <v>35</v>
      </c>
      <c r="AS986">
        <v>2</v>
      </c>
      <c r="AT986">
        <v>23</v>
      </c>
      <c r="AU986">
        <v>1</v>
      </c>
      <c r="AV986">
        <v>0</v>
      </c>
      <c r="AW986">
        <v>10</v>
      </c>
      <c r="AX986">
        <v>1</v>
      </c>
      <c r="AY986">
        <v>5</v>
      </c>
      <c r="AZ986">
        <v>2</v>
      </c>
      <c r="BA986">
        <v>1</v>
      </c>
      <c r="BB986">
        <v>1440</v>
      </c>
      <c r="BC986">
        <v>0</v>
      </c>
      <c r="BD986">
        <v>0</v>
      </c>
      <c r="BE986">
        <v>14</v>
      </c>
      <c r="BF986">
        <v>25</v>
      </c>
      <c r="BG986">
        <v>3</v>
      </c>
      <c r="BH986">
        <v>8</v>
      </c>
      <c r="BI986">
        <v>3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0</v>
      </c>
      <c r="BQ986">
        <v>60</v>
      </c>
      <c r="BR986">
        <v>0</v>
      </c>
      <c r="BS986">
        <v>3</v>
      </c>
      <c r="BT986" t="s">
        <v>250</v>
      </c>
      <c r="BU986" t="s">
        <v>273</v>
      </c>
      <c r="BV986" t="b">
        <v>0</v>
      </c>
      <c r="BW986" t="s">
        <v>268</v>
      </c>
    </row>
    <row r="987" spans="1:75">
      <c r="A987" t="s">
        <v>250</v>
      </c>
      <c r="B987" t="s">
        <v>252</v>
      </c>
      <c r="C987">
        <v>683</v>
      </c>
      <c r="D987" t="s">
        <v>253</v>
      </c>
      <c r="E987" t="s">
        <v>254</v>
      </c>
      <c r="F987">
        <v>30</v>
      </c>
      <c r="G987" s="13">
        <v>46266.959687499999</v>
      </c>
      <c r="H987" s="13">
        <v>46267.122037037036</v>
      </c>
      <c r="I987">
        <v>14027</v>
      </c>
      <c r="J987" t="s">
        <v>264</v>
      </c>
      <c r="K987">
        <v>4</v>
      </c>
      <c r="L987">
        <v>0.04</v>
      </c>
      <c r="M987">
        <v>0.01</v>
      </c>
      <c r="N987">
        <v>4</v>
      </c>
      <c r="O987">
        <v>0.04</v>
      </c>
      <c r="P987">
        <v>27.36</v>
      </c>
      <c r="Q987">
        <v>5.68</v>
      </c>
      <c r="R987">
        <v>3.6</v>
      </c>
      <c r="S987" t="s">
        <v>263</v>
      </c>
      <c r="T987" t="s">
        <v>257</v>
      </c>
      <c r="U987">
        <v>11</v>
      </c>
      <c r="V987">
        <v>5602.6</v>
      </c>
      <c r="W987">
        <v>4999.83</v>
      </c>
      <c r="X987">
        <v>4972.6400000000003</v>
      </c>
      <c r="Y987">
        <v>0</v>
      </c>
      <c r="Z987">
        <v>0</v>
      </c>
      <c r="AA987">
        <v>35</v>
      </c>
      <c r="AB987">
        <v>50</v>
      </c>
      <c r="AC987">
        <v>5000</v>
      </c>
      <c r="AD987">
        <v>0</v>
      </c>
      <c r="AE987">
        <v>0</v>
      </c>
      <c r="AF987">
        <v>5606.25</v>
      </c>
      <c r="AG987">
        <v>5606.25</v>
      </c>
      <c r="AH987" s="14">
        <v>46266</v>
      </c>
      <c r="AI987" t="s">
        <v>272</v>
      </c>
      <c r="AJ987" s="13">
        <v>46262.99790509259</v>
      </c>
      <c r="AK987">
        <v>5509.79</v>
      </c>
      <c r="AL987" t="s">
        <v>259</v>
      </c>
      <c r="AM987" t="s">
        <v>260</v>
      </c>
      <c r="AN987">
        <v>1400</v>
      </c>
      <c r="AO987">
        <v>0</v>
      </c>
      <c r="AP987">
        <v>35</v>
      </c>
      <c r="AQ987">
        <v>85</v>
      </c>
      <c r="AR987">
        <v>35</v>
      </c>
      <c r="AS987">
        <v>2</v>
      </c>
      <c r="AT987">
        <v>23</v>
      </c>
      <c r="AU987">
        <v>1</v>
      </c>
      <c r="AV987">
        <v>0</v>
      </c>
      <c r="AW987">
        <v>10</v>
      </c>
      <c r="AX987">
        <v>1</v>
      </c>
      <c r="AY987">
        <v>5</v>
      </c>
      <c r="AZ987">
        <v>2</v>
      </c>
      <c r="BA987">
        <v>1</v>
      </c>
      <c r="BB987">
        <v>1440</v>
      </c>
      <c r="BC987">
        <v>0</v>
      </c>
      <c r="BD987">
        <v>0</v>
      </c>
      <c r="BE987">
        <v>14</v>
      </c>
      <c r="BF987">
        <v>25</v>
      </c>
      <c r="BG987">
        <v>3</v>
      </c>
      <c r="BH987">
        <v>8</v>
      </c>
      <c r="BI987">
        <v>3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0</v>
      </c>
      <c r="BQ987">
        <v>60</v>
      </c>
      <c r="BR987">
        <v>0</v>
      </c>
      <c r="BS987">
        <v>3</v>
      </c>
      <c r="BT987" t="s">
        <v>250</v>
      </c>
      <c r="BU987" t="s">
        <v>273</v>
      </c>
      <c r="BV987" t="b">
        <v>0</v>
      </c>
      <c r="BW987" t="s">
        <v>268</v>
      </c>
    </row>
    <row r="988" spans="1:75">
      <c r="A988" t="s">
        <v>250</v>
      </c>
      <c r="B988" t="s">
        <v>252</v>
      </c>
      <c r="C988">
        <v>684</v>
      </c>
      <c r="D988" t="s">
        <v>253</v>
      </c>
      <c r="E988" t="s">
        <v>254</v>
      </c>
      <c r="F988">
        <v>30</v>
      </c>
      <c r="G988" s="13">
        <v>46267.125324074077</v>
      </c>
      <c r="H988" s="13">
        <v>46267.127708333333</v>
      </c>
      <c r="I988">
        <v>206</v>
      </c>
      <c r="J988" t="s">
        <v>255</v>
      </c>
      <c r="K988">
        <v>1</v>
      </c>
      <c r="L988">
        <v>0.01</v>
      </c>
      <c r="M988">
        <v>0.01</v>
      </c>
      <c r="N988">
        <v>1</v>
      </c>
      <c r="O988">
        <v>0.01</v>
      </c>
      <c r="P988">
        <v>9.77</v>
      </c>
      <c r="Q988">
        <v>0.95</v>
      </c>
      <c r="R988">
        <v>0.87</v>
      </c>
      <c r="S988" t="s">
        <v>256</v>
      </c>
      <c r="T988" t="s">
        <v>257</v>
      </c>
      <c r="U988">
        <v>10</v>
      </c>
      <c r="V988">
        <v>5606.09</v>
      </c>
      <c r="W988">
        <v>4999.84</v>
      </c>
      <c r="X988">
        <v>4990.2299999999996</v>
      </c>
      <c r="Y988">
        <v>0</v>
      </c>
      <c r="Z988">
        <v>0</v>
      </c>
      <c r="AA988">
        <v>35</v>
      </c>
      <c r="AB988">
        <v>50</v>
      </c>
      <c r="AC988">
        <v>5000</v>
      </c>
      <c r="AD988">
        <v>0</v>
      </c>
      <c r="AE988">
        <v>0</v>
      </c>
      <c r="AF988">
        <v>5606.85</v>
      </c>
      <c r="AG988">
        <v>5606.85</v>
      </c>
      <c r="AH988" s="14">
        <v>46267</v>
      </c>
      <c r="AI988" t="s">
        <v>272</v>
      </c>
      <c r="AJ988" s="13">
        <v>46262.99790509259</v>
      </c>
      <c r="AK988">
        <v>5509.79</v>
      </c>
      <c r="AL988" t="s">
        <v>259</v>
      </c>
      <c r="AM988" t="s">
        <v>260</v>
      </c>
      <c r="AN988">
        <v>1400</v>
      </c>
      <c r="AO988">
        <v>0</v>
      </c>
      <c r="AP988">
        <v>35</v>
      </c>
      <c r="AQ988">
        <v>85</v>
      </c>
      <c r="AR988">
        <v>35</v>
      </c>
      <c r="AS988">
        <v>2</v>
      </c>
      <c r="AT988">
        <v>23</v>
      </c>
      <c r="AU988">
        <v>1</v>
      </c>
      <c r="AV988">
        <v>0</v>
      </c>
      <c r="AW988">
        <v>10</v>
      </c>
      <c r="AX988">
        <v>1</v>
      </c>
      <c r="AY988">
        <v>5</v>
      </c>
      <c r="AZ988">
        <v>2</v>
      </c>
      <c r="BA988">
        <v>1</v>
      </c>
      <c r="BB988">
        <v>1440</v>
      </c>
      <c r="BC988">
        <v>0</v>
      </c>
      <c r="BD988">
        <v>0</v>
      </c>
      <c r="BE988">
        <v>14</v>
      </c>
      <c r="BF988">
        <v>25</v>
      </c>
      <c r="BG988">
        <v>3</v>
      </c>
      <c r="BH988">
        <v>8</v>
      </c>
      <c r="BI988">
        <v>3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0</v>
      </c>
      <c r="BQ988">
        <v>60</v>
      </c>
      <c r="BR988">
        <v>0</v>
      </c>
      <c r="BS988">
        <v>3</v>
      </c>
      <c r="BT988" t="s">
        <v>250</v>
      </c>
      <c r="BU988" t="s">
        <v>273</v>
      </c>
      <c r="BV988" t="b">
        <v>0</v>
      </c>
      <c r="BW988" t="s">
        <v>268</v>
      </c>
    </row>
    <row r="989" spans="1:75">
      <c r="A989" t="s">
        <v>250</v>
      </c>
      <c r="B989" t="s">
        <v>252</v>
      </c>
      <c r="C989">
        <v>685</v>
      </c>
      <c r="D989" t="s">
        <v>253</v>
      </c>
      <c r="E989" t="s">
        <v>254</v>
      </c>
      <c r="F989">
        <v>30</v>
      </c>
      <c r="G989" s="13">
        <v>46267.146562499998</v>
      </c>
      <c r="H989" s="13">
        <v>46267.162199074075</v>
      </c>
      <c r="I989">
        <v>1351</v>
      </c>
      <c r="J989" t="s">
        <v>264</v>
      </c>
      <c r="K989">
        <v>1</v>
      </c>
      <c r="L989">
        <v>0.01</v>
      </c>
      <c r="M989">
        <v>0.01</v>
      </c>
      <c r="N989">
        <v>1</v>
      </c>
      <c r="O989">
        <v>0.01</v>
      </c>
      <c r="P989">
        <v>10.62</v>
      </c>
      <c r="Q989">
        <v>1.77</v>
      </c>
      <c r="R989">
        <v>1.56</v>
      </c>
      <c r="S989" t="s">
        <v>256</v>
      </c>
      <c r="T989" t="s">
        <v>257</v>
      </c>
      <c r="U989">
        <v>11</v>
      </c>
      <c r="V989">
        <v>5606.69</v>
      </c>
      <c r="W989">
        <v>4999.84</v>
      </c>
      <c r="X989">
        <v>4989.38</v>
      </c>
      <c r="Y989">
        <v>0</v>
      </c>
      <c r="Z989">
        <v>0</v>
      </c>
      <c r="AA989">
        <v>35</v>
      </c>
      <c r="AB989">
        <v>50</v>
      </c>
      <c r="AC989">
        <v>5000</v>
      </c>
      <c r="AD989">
        <v>0</v>
      </c>
      <c r="AE989">
        <v>0</v>
      </c>
      <c r="AF989">
        <v>5608.27</v>
      </c>
      <c r="AG989">
        <v>5608.27</v>
      </c>
      <c r="AH989" s="14">
        <v>46267</v>
      </c>
      <c r="AI989" t="s">
        <v>272</v>
      </c>
      <c r="AJ989" s="13">
        <v>46262.99790509259</v>
      </c>
      <c r="AK989">
        <v>5509.79</v>
      </c>
      <c r="AL989" t="s">
        <v>259</v>
      </c>
      <c r="AM989" t="s">
        <v>260</v>
      </c>
      <c r="AN989">
        <v>1400</v>
      </c>
      <c r="AO989">
        <v>0</v>
      </c>
      <c r="AP989">
        <v>35</v>
      </c>
      <c r="AQ989">
        <v>85</v>
      </c>
      <c r="AR989">
        <v>35</v>
      </c>
      <c r="AS989">
        <v>2</v>
      </c>
      <c r="AT989">
        <v>23</v>
      </c>
      <c r="AU989">
        <v>1</v>
      </c>
      <c r="AV989">
        <v>0</v>
      </c>
      <c r="AW989">
        <v>10</v>
      </c>
      <c r="AX989">
        <v>1</v>
      </c>
      <c r="AY989">
        <v>5</v>
      </c>
      <c r="AZ989">
        <v>2</v>
      </c>
      <c r="BA989">
        <v>1</v>
      </c>
      <c r="BB989">
        <v>1440</v>
      </c>
      <c r="BC989">
        <v>0</v>
      </c>
      <c r="BD989">
        <v>0</v>
      </c>
      <c r="BE989">
        <v>14</v>
      </c>
      <c r="BF989">
        <v>25</v>
      </c>
      <c r="BG989">
        <v>3</v>
      </c>
      <c r="BH989">
        <v>8</v>
      </c>
      <c r="BI989">
        <v>3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0</v>
      </c>
      <c r="BQ989">
        <v>60</v>
      </c>
      <c r="BR989">
        <v>0</v>
      </c>
      <c r="BS989">
        <v>3</v>
      </c>
      <c r="BT989" t="s">
        <v>250</v>
      </c>
      <c r="BU989" t="s">
        <v>273</v>
      </c>
      <c r="BV989" t="b">
        <v>0</v>
      </c>
      <c r="BW989" t="s">
        <v>268</v>
      </c>
    </row>
    <row r="990" spans="1:75">
      <c r="A990" t="s">
        <v>250</v>
      </c>
      <c r="B990" t="s">
        <v>252</v>
      </c>
      <c r="C990">
        <v>686</v>
      </c>
      <c r="D990" t="s">
        <v>253</v>
      </c>
      <c r="E990" t="s">
        <v>254</v>
      </c>
      <c r="F990">
        <v>30</v>
      </c>
      <c r="G990" s="13">
        <v>46267.166701388887</v>
      </c>
      <c r="H990" s="13">
        <v>46267.166886574072</v>
      </c>
      <c r="I990">
        <v>16</v>
      </c>
      <c r="J990" t="s">
        <v>255</v>
      </c>
      <c r="K990">
        <v>1</v>
      </c>
      <c r="L990">
        <v>0.01</v>
      </c>
      <c r="M990">
        <v>0.01</v>
      </c>
      <c r="N990">
        <v>1</v>
      </c>
      <c r="O990">
        <v>0.01</v>
      </c>
      <c r="P990">
        <v>3.29</v>
      </c>
      <c r="Q990">
        <v>1.91</v>
      </c>
      <c r="R990">
        <v>1.86</v>
      </c>
      <c r="S990" t="s">
        <v>256</v>
      </c>
      <c r="T990" t="s">
        <v>257</v>
      </c>
      <c r="U990">
        <v>14</v>
      </c>
      <c r="V990">
        <v>5608.06</v>
      </c>
      <c r="W990">
        <v>4999.79</v>
      </c>
      <c r="X990">
        <v>4996.71</v>
      </c>
      <c r="Y990">
        <v>0</v>
      </c>
      <c r="Z990">
        <v>0</v>
      </c>
      <c r="AA990">
        <v>35</v>
      </c>
      <c r="AB990">
        <v>50</v>
      </c>
      <c r="AC990">
        <v>5000</v>
      </c>
      <c r="AD990">
        <v>0</v>
      </c>
      <c r="AE990">
        <v>0</v>
      </c>
      <c r="AF990">
        <v>5609.83</v>
      </c>
      <c r="AG990">
        <v>5609.83</v>
      </c>
      <c r="AH990" s="14">
        <v>46267</v>
      </c>
      <c r="AI990" t="s">
        <v>272</v>
      </c>
      <c r="AJ990" s="13">
        <v>46262.99790509259</v>
      </c>
      <c r="AK990">
        <v>5509.79</v>
      </c>
      <c r="AL990" t="s">
        <v>259</v>
      </c>
      <c r="AM990" t="s">
        <v>260</v>
      </c>
      <c r="AN990">
        <v>1400</v>
      </c>
      <c r="AO990">
        <v>0</v>
      </c>
      <c r="AP990">
        <v>35</v>
      </c>
      <c r="AQ990">
        <v>85</v>
      </c>
      <c r="AR990">
        <v>35</v>
      </c>
      <c r="AS990">
        <v>2</v>
      </c>
      <c r="AT990">
        <v>23</v>
      </c>
      <c r="AU990">
        <v>1</v>
      </c>
      <c r="AV990">
        <v>0</v>
      </c>
      <c r="AW990">
        <v>10</v>
      </c>
      <c r="AX990">
        <v>1</v>
      </c>
      <c r="AY990">
        <v>5</v>
      </c>
      <c r="AZ990">
        <v>2</v>
      </c>
      <c r="BA990">
        <v>1</v>
      </c>
      <c r="BB990">
        <v>1440</v>
      </c>
      <c r="BC990">
        <v>0</v>
      </c>
      <c r="BD990">
        <v>0</v>
      </c>
      <c r="BE990">
        <v>14</v>
      </c>
      <c r="BF990">
        <v>25</v>
      </c>
      <c r="BG990">
        <v>3</v>
      </c>
      <c r="BH990">
        <v>8</v>
      </c>
      <c r="BI990">
        <v>3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0</v>
      </c>
      <c r="BQ990">
        <v>60</v>
      </c>
      <c r="BR990">
        <v>0</v>
      </c>
      <c r="BS990">
        <v>3</v>
      </c>
      <c r="BT990" t="s">
        <v>250</v>
      </c>
      <c r="BU990" t="s">
        <v>273</v>
      </c>
      <c r="BV990" t="b">
        <v>0</v>
      </c>
      <c r="BW990" t="s">
        <v>268</v>
      </c>
    </row>
    <row r="991" spans="1:75">
      <c r="A991" t="s">
        <v>250</v>
      </c>
      <c r="B991" t="s">
        <v>252</v>
      </c>
      <c r="C991">
        <v>687</v>
      </c>
      <c r="D991" t="s">
        <v>253</v>
      </c>
      <c r="E991" t="s">
        <v>254</v>
      </c>
      <c r="F991">
        <v>30</v>
      </c>
      <c r="G991" s="13">
        <v>46267.188611111109</v>
      </c>
      <c r="H991" s="13">
        <v>46267.230694444443</v>
      </c>
      <c r="I991">
        <v>3636</v>
      </c>
      <c r="J991" t="s">
        <v>255</v>
      </c>
      <c r="K991">
        <v>3</v>
      </c>
      <c r="L991">
        <v>0.03</v>
      </c>
      <c r="M991">
        <v>0.01</v>
      </c>
      <c r="N991">
        <v>3</v>
      </c>
      <c r="O991">
        <v>0.03</v>
      </c>
      <c r="P991">
        <v>31.34</v>
      </c>
      <c r="Q991">
        <v>5.3</v>
      </c>
      <c r="R991">
        <v>0.92</v>
      </c>
      <c r="S991" t="s">
        <v>263</v>
      </c>
      <c r="T991" t="s">
        <v>257</v>
      </c>
      <c r="U991">
        <v>11</v>
      </c>
      <c r="V991">
        <v>5609.67</v>
      </c>
      <c r="W991">
        <v>4999.84</v>
      </c>
      <c r="X991">
        <v>4968.66</v>
      </c>
      <c r="Y991">
        <v>0</v>
      </c>
      <c r="Z991">
        <v>0</v>
      </c>
      <c r="AA991">
        <v>35</v>
      </c>
      <c r="AB991">
        <v>50</v>
      </c>
      <c r="AC991">
        <v>5000</v>
      </c>
      <c r="AD991">
        <v>0</v>
      </c>
      <c r="AE991">
        <v>0</v>
      </c>
      <c r="AF991">
        <v>5611.03</v>
      </c>
      <c r="AG991">
        <v>5611.03</v>
      </c>
      <c r="AH991" s="14">
        <v>46267</v>
      </c>
      <c r="AI991" t="s">
        <v>272</v>
      </c>
      <c r="AJ991" s="13">
        <v>46262.99790509259</v>
      </c>
      <c r="AK991">
        <v>5509.79</v>
      </c>
      <c r="AL991" t="s">
        <v>259</v>
      </c>
      <c r="AM991" t="s">
        <v>260</v>
      </c>
      <c r="AN991">
        <v>1400</v>
      </c>
      <c r="AO991">
        <v>0</v>
      </c>
      <c r="AP991">
        <v>35</v>
      </c>
      <c r="AQ991">
        <v>85</v>
      </c>
      <c r="AR991">
        <v>35</v>
      </c>
      <c r="AS991">
        <v>2</v>
      </c>
      <c r="AT991">
        <v>23</v>
      </c>
      <c r="AU991">
        <v>1</v>
      </c>
      <c r="AV991">
        <v>0</v>
      </c>
      <c r="AW991">
        <v>10</v>
      </c>
      <c r="AX991">
        <v>1</v>
      </c>
      <c r="AY991">
        <v>5</v>
      </c>
      <c r="AZ991">
        <v>2</v>
      </c>
      <c r="BA991">
        <v>1</v>
      </c>
      <c r="BB991">
        <v>1440</v>
      </c>
      <c r="BC991">
        <v>0</v>
      </c>
      <c r="BD991">
        <v>0</v>
      </c>
      <c r="BE991">
        <v>14</v>
      </c>
      <c r="BF991">
        <v>25</v>
      </c>
      <c r="BG991">
        <v>3</v>
      </c>
      <c r="BH991">
        <v>8</v>
      </c>
      <c r="BI991">
        <v>3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0</v>
      </c>
      <c r="BQ991">
        <v>60</v>
      </c>
      <c r="BR991">
        <v>0</v>
      </c>
      <c r="BS991">
        <v>3</v>
      </c>
      <c r="BT991" t="s">
        <v>250</v>
      </c>
      <c r="BU991" t="s">
        <v>273</v>
      </c>
      <c r="BV991" t="b">
        <v>0</v>
      </c>
      <c r="BW991" t="s">
        <v>268</v>
      </c>
    </row>
    <row r="992" spans="1:75">
      <c r="A992" t="s">
        <v>250</v>
      </c>
      <c r="B992" t="s">
        <v>252</v>
      </c>
      <c r="C992">
        <v>688</v>
      </c>
      <c r="D992" t="s">
        <v>253</v>
      </c>
      <c r="E992" t="s">
        <v>254</v>
      </c>
      <c r="F992">
        <v>30</v>
      </c>
      <c r="G992" s="13">
        <v>46267.251736111109</v>
      </c>
      <c r="H992" s="13">
        <v>46267.251979166664</v>
      </c>
      <c r="I992">
        <v>21</v>
      </c>
      <c r="J992" t="s">
        <v>264</v>
      </c>
      <c r="K992">
        <v>1</v>
      </c>
      <c r="L992">
        <v>0.01</v>
      </c>
      <c r="M992">
        <v>0.01</v>
      </c>
      <c r="N992">
        <v>1</v>
      </c>
      <c r="O992">
        <v>0.01</v>
      </c>
      <c r="P992">
        <v>0.22</v>
      </c>
      <c r="Q992">
        <v>1.07</v>
      </c>
      <c r="R992">
        <v>0.81</v>
      </c>
      <c r="S992" t="s">
        <v>256</v>
      </c>
      <c r="T992" t="s">
        <v>257</v>
      </c>
      <c r="U992">
        <v>10</v>
      </c>
      <c r="V992">
        <v>5610.86</v>
      </c>
      <c r="W992">
        <v>4999.83</v>
      </c>
      <c r="X992">
        <v>4999.78</v>
      </c>
      <c r="Y992">
        <v>0</v>
      </c>
      <c r="Z992">
        <v>0</v>
      </c>
      <c r="AA992">
        <v>35</v>
      </c>
      <c r="AB992">
        <v>50</v>
      </c>
      <c r="AC992">
        <v>5000</v>
      </c>
      <c r="AD992">
        <v>0</v>
      </c>
      <c r="AE992">
        <v>0</v>
      </c>
      <c r="AF992">
        <v>5611.74</v>
      </c>
      <c r="AG992">
        <v>5611.74</v>
      </c>
      <c r="AH992" s="14">
        <v>46267</v>
      </c>
      <c r="AI992" t="s">
        <v>272</v>
      </c>
      <c r="AJ992" s="13">
        <v>46262.99790509259</v>
      </c>
      <c r="AK992">
        <v>5509.79</v>
      </c>
      <c r="AL992" t="s">
        <v>259</v>
      </c>
      <c r="AM992" t="s">
        <v>260</v>
      </c>
      <c r="AN992">
        <v>1400</v>
      </c>
      <c r="AO992">
        <v>0</v>
      </c>
      <c r="AP992">
        <v>35</v>
      </c>
      <c r="AQ992">
        <v>85</v>
      </c>
      <c r="AR992">
        <v>35</v>
      </c>
      <c r="AS992">
        <v>2</v>
      </c>
      <c r="AT992">
        <v>23</v>
      </c>
      <c r="AU992">
        <v>1</v>
      </c>
      <c r="AV992">
        <v>0</v>
      </c>
      <c r="AW992">
        <v>10</v>
      </c>
      <c r="AX992">
        <v>1</v>
      </c>
      <c r="AY992">
        <v>5</v>
      </c>
      <c r="AZ992">
        <v>2</v>
      </c>
      <c r="BA992">
        <v>1</v>
      </c>
      <c r="BB992">
        <v>1440</v>
      </c>
      <c r="BC992">
        <v>0</v>
      </c>
      <c r="BD992">
        <v>0</v>
      </c>
      <c r="BE992">
        <v>14</v>
      </c>
      <c r="BF992">
        <v>25</v>
      </c>
      <c r="BG992">
        <v>3</v>
      </c>
      <c r="BH992">
        <v>8</v>
      </c>
      <c r="BI992">
        <v>3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0</v>
      </c>
      <c r="BQ992">
        <v>60</v>
      </c>
      <c r="BR992">
        <v>0</v>
      </c>
      <c r="BS992">
        <v>3</v>
      </c>
      <c r="BT992" t="s">
        <v>250</v>
      </c>
      <c r="BU992" t="s">
        <v>273</v>
      </c>
      <c r="BV992" t="b">
        <v>0</v>
      </c>
      <c r="BW992" t="s">
        <v>268</v>
      </c>
    </row>
    <row r="993" spans="1:75">
      <c r="A993" t="s">
        <v>250</v>
      </c>
      <c r="B993" t="s">
        <v>252</v>
      </c>
      <c r="C993">
        <v>689</v>
      </c>
      <c r="D993" t="s">
        <v>253</v>
      </c>
      <c r="E993" t="s">
        <v>254</v>
      </c>
      <c r="F993">
        <v>30</v>
      </c>
      <c r="G993" s="13">
        <v>46267.272777777776</v>
      </c>
      <c r="H993" s="13">
        <v>46267.273217592592</v>
      </c>
      <c r="I993">
        <v>38</v>
      </c>
      <c r="J993" t="s">
        <v>264</v>
      </c>
      <c r="K993">
        <v>1</v>
      </c>
      <c r="L993">
        <v>0.01</v>
      </c>
      <c r="M993">
        <v>0.01</v>
      </c>
      <c r="N993">
        <v>1</v>
      </c>
      <c r="O993">
        <v>0.01</v>
      </c>
      <c r="P993">
        <v>0.82</v>
      </c>
      <c r="Q993">
        <v>1.07</v>
      </c>
      <c r="R993">
        <v>0.99</v>
      </c>
      <c r="S993" t="s">
        <v>256</v>
      </c>
      <c r="T993" t="s">
        <v>257</v>
      </c>
      <c r="U993">
        <v>11</v>
      </c>
      <c r="V993">
        <v>5611.58</v>
      </c>
      <c r="W993">
        <v>4999.84</v>
      </c>
      <c r="X993">
        <v>4999.18</v>
      </c>
      <c r="Y993">
        <v>0</v>
      </c>
      <c r="Z993">
        <v>0</v>
      </c>
      <c r="AA993">
        <v>35</v>
      </c>
      <c r="AB993">
        <v>50</v>
      </c>
      <c r="AC993">
        <v>5000</v>
      </c>
      <c r="AD993">
        <v>0</v>
      </c>
      <c r="AE993">
        <v>0</v>
      </c>
      <c r="AF993">
        <v>5612.46</v>
      </c>
      <c r="AG993">
        <v>5612.46</v>
      </c>
      <c r="AH993" s="14">
        <v>46267</v>
      </c>
      <c r="AI993" t="s">
        <v>272</v>
      </c>
      <c r="AJ993" s="13">
        <v>46262.99790509259</v>
      </c>
      <c r="AK993">
        <v>5509.79</v>
      </c>
      <c r="AL993" t="s">
        <v>259</v>
      </c>
      <c r="AM993" t="s">
        <v>260</v>
      </c>
      <c r="AN993">
        <v>1400</v>
      </c>
      <c r="AO993">
        <v>0</v>
      </c>
      <c r="AP993">
        <v>35</v>
      </c>
      <c r="AQ993">
        <v>85</v>
      </c>
      <c r="AR993">
        <v>35</v>
      </c>
      <c r="AS993">
        <v>2</v>
      </c>
      <c r="AT993">
        <v>23</v>
      </c>
      <c r="AU993">
        <v>1</v>
      </c>
      <c r="AV993">
        <v>0</v>
      </c>
      <c r="AW993">
        <v>10</v>
      </c>
      <c r="AX993">
        <v>1</v>
      </c>
      <c r="AY993">
        <v>5</v>
      </c>
      <c r="AZ993">
        <v>2</v>
      </c>
      <c r="BA993">
        <v>1</v>
      </c>
      <c r="BB993">
        <v>1440</v>
      </c>
      <c r="BC993">
        <v>0</v>
      </c>
      <c r="BD993">
        <v>0</v>
      </c>
      <c r="BE993">
        <v>14</v>
      </c>
      <c r="BF993">
        <v>25</v>
      </c>
      <c r="BG993">
        <v>3</v>
      </c>
      <c r="BH993">
        <v>8</v>
      </c>
      <c r="BI993">
        <v>3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0</v>
      </c>
      <c r="BQ993">
        <v>60</v>
      </c>
      <c r="BR993">
        <v>0</v>
      </c>
      <c r="BS993">
        <v>3</v>
      </c>
      <c r="BT993" t="s">
        <v>250</v>
      </c>
      <c r="BU993" t="s">
        <v>273</v>
      </c>
      <c r="BV993" t="b">
        <v>0</v>
      </c>
      <c r="BW993" t="s">
        <v>268</v>
      </c>
    </row>
    <row r="994" spans="1:75">
      <c r="A994" t="s">
        <v>250</v>
      </c>
      <c r="B994" t="s">
        <v>252</v>
      </c>
      <c r="C994">
        <v>690</v>
      </c>
      <c r="D994" t="s">
        <v>253</v>
      </c>
      <c r="E994" t="s">
        <v>254</v>
      </c>
      <c r="F994">
        <v>30</v>
      </c>
      <c r="G994" s="13">
        <v>46267.297754629632</v>
      </c>
      <c r="H994" s="13">
        <v>46267.300138888888</v>
      </c>
      <c r="I994">
        <v>206</v>
      </c>
      <c r="J994" t="s">
        <v>255</v>
      </c>
      <c r="K994">
        <v>1</v>
      </c>
      <c r="L994">
        <v>0.01</v>
      </c>
      <c r="M994">
        <v>0.01</v>
      </c>
      <c r="N994">
        <v>1</v>
      </c>
      <c r="O994">
        <v>0.01</v>
      </c>
      <c r="P994">
        <v>1.48</v>
      </c>
      <c r="Q994">
        <v>0.85</v>
      </c>
      <c r="R994">
        <v>0.5</v>
      </c>
      <c r="S994" t="s">
        <v>256</v>
      </c>
      <c r="T994" t="s">
        <v>257</v>
      </c>
      <c r="U994">
        <v>14</v>
      </c>
      <c r="V994">
        <v>5612.3</v>
      </c>
      <c r="W994">
        <v>4999.84</v>
      </c>
      <c r="X994">
        <v>4998.5200000000004</v>
      </c>
      <c r="Y994">
        <v>0</v>
      </c>
      <c r="Z994">
        <v>0</v>
      </c>
      <c r="AA994">
        <v>35</v>
      </c>
      <c r="AB994">
        <v>50</v>
      </c>
      <c r="AC994">
        <v>5000</v>
      </c>
      <c r="AD994">
        <v>0</v>
      </c>
      <c r="AE994">
        <v>0</v>
      </c>
      <c r="AF994">
        <v>5612.96</v>
      </c>
      <c r="AG994">
        <v>5612.96</v>
      </c>
      <c r="AH994" s="14">
        <v>46267</v>
      </c>
      <c r="AI994" t="s">
        <v>272</v>
      </c>
      <c r="AJ994" s="13">
        <v>46262.99790509259</v>
      </c>
      <c r="AK994">
        <v>5509.79</v>
      </c>
      <c r="AL994" t="s">
        <v>259</v>
      </c>
      <c r="AM994" t="s">
        <v>260</v>
      </c>
      <c r="AN994">
        <v>1400</v>
      </c>
      <c r="AO994">
        <v>0</v>
      </c>
      <c r="AP994">
        <v>35</v>
      </c>
      <c r="AQ994">
        <v>85</v>
      </c>
      <c r="AR994">
        <v>35</v>
      </c>
      <c r="AS994">
        <v>2</v>
      </c>
      <c r="AT994">
        <v>23</v>
      </c>
      <c r="AU994">
        <v>1</v>
      </c>
      <c r="AV994">
        <v>0</v>
      </c>
      <c r="AW994">
        <v>10</v>
      </c>
      <c r="AX994">
        <v>1</v>
      </c>
      <c r="AY994">
        <v>5</v>
      </c>
      <c r="AZ994">
        <v>2</v>
      </c>
      <c r="BA994">
        <v>1</v>
      </c>
      <c r="BB994">
        <v>1440</v>
      </c>
      <c r="BC994">
        <v>0</v>
      </c>
      <c r="BD994">
        <v>0</v>
      </c>
      <c r="BE994">
        <v>14</v>
      </c>
      <c r="BF994">
        <v>25</v>
      </c>
      <c r="BG994">
        <v>3</v>
      </c>
      <c r="BH994">
        <v>8</v>
      </c>
      <c r="BI994">
        <v>3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0</v>
      </c>
      <c r="BQ994">
        <v>60</v>
      </c>
      <c r="BR994">
        <v>0</v>
      </c>
      <c r="BS994">
        <v>3</v>
      </c>
      <c r="BT994" t="s">
        <v>250</v>
      </c>
      <c r="BU994" t="s">
        <v>273</v>
      </c>
      <c r="BV994" t="b">
        <v>0</v>
      </c>
      <c r="BW994" t="s">
        <v>268</v>
      </c>
    </row>
    <row r="995" spans="1:75">
      <c r="A995" t="s">
        <v>250</v>
      </c>
      <c r="B995" t="s">
        <v>252</v>
      </c>
      <c r="C995">
        <v>691</v>
      </c>
      <c r="D995" t="s">
        <v>253</v>
      </c>
      <c r="E995" t="s">
        <v>254</v>
      </c>
      <c r="F995">
        <v>30</v>
      </c>
      <c r="G995" s="13">
        <v>46267.314270833333</v>
      </c>
      <c r="H995" s="13">
        <v>46267.314699074072</v>
      </c>
      <c r="I995">
        <v>37</v>
      </c>
      <c r="J995" t="s">
        <v>255</v>
      </c>
      <c r="K995">
        <v>1</v>
      </c>
      <c r="L995">
        <v>0.01</v>
      </c>
      <c r="M995">
        <v>0.01</v>
      </c>
      <c r="N995">
        <v>1</v>
      </c>
      <c r="O995">
        <v>0.01</v>
      </c>
      <c r="P995">
        <v>0.22</v>
      </c>
      <c r="Q995">
        <v>1.51</v>
      </c>
      <c r="R995">
        <v>1.21</v>
      </c>
      <c r="S995" t="s">
        <v>256</v>
      </c>
      <c r="T995" t="s">
        <v>257</v>
      </c>
      <c r="U995">
        <v>11</v>
      </c>
      <c r="V995">
        <v>5612.8</v>
      </c>
      <c r="W995">
        <v>4999.84</v>
      </c>
      <c r="X995">
        <v>4999.78</v>
      </c>
      <c r="Y995">
        <v>0</v>
      </c>
      <c r="Z995">
        <v>0</v>
      </c>
      <c r="AA995">
        <v>35</v>
      </c>
      <c r="AB995">
        <v>50</v>
      </c>
      <c r="AC995">
        <v>5000</v>
      </c>
      <c r="AD995">
        <v>0</v>
      </c>
      <c r="AE995">
        <v>0</v>
      </c>
      <c r="AF995">
        <v>5614.12</v>
      </c>
      <c r="AG995">
        <v>5614.12</v>
      </c>
      <c r="AH995" s="14">
        <v>46267</v>
      </c>
      <c r="AI995" t="s">
        <v>272</v>
      </c>
      <c r="AJ995" s="13">
        <v>46262.99790509259</v>
      </c>
      <c r="AK995">
        <v>5509.79</v>
      </c>
      <c r="AL995" t="s">
        <v>259</v>
      </c>
      <c r="AM995" t="s">
        <v>260</v>
      </c>
      <c r="AN995">
        <v>1400</v>
      </c>
      <c r="AO995">
        <v>0</v>
      </c>
      <c r="AP995">
        <v>35</v>
      </c>
      <c r="AQ995">
        <v>85</v>
      </c>
      <c r="AR995">
        <v>35</v>
      </c>
      <c r="AS995">
        <v>2</v>
      </c>
      <c r="AT995">
        <v>23</v>
      </c>
      <c r="AU995">
        <v>1</v>
      </c>
      <c r="AV995">
        <v>0</v>
      </c>
      <c r="AW995">
        <v>10</v>
      </c>
      <c r="AX995">
        <v>1</v>
      </c>
      <c r="AY995">
        <v>5</v>
      </c>
      <c r="AZ995">
        <v>2</v>
      </c>
      <c r="BA995">
        <v>1</v>
      </c>
      <c r="BB995">
        <v>1440</v>
      </c>
      <c r="BC995">
        <v>0</v>
      </c>
      <c r="BD995">
        <v>0</v>
      </c>
      <c r="BE995">
        <v>14</v>
      </c>
      <c r="BF995">
        <v>25</v>
      </c>
      <c r="BG995">
        <v>3</v>
      </c>
      <c r="BH995">
        <v>8</v>
      </c>
      <c r="BI995">
        <v>3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0</v>
      </c>
      <c r="BQ995">
        <v>60</v>
      </c>
      <c r="BR995">
        <v>0</v>
      </c>
      <c r="BS995">
        <v>3</v>
      </c>
      <c r="BT995" t="s">
        <v>250</v>
      </c>
      <c r="BU995" t="s">
        <v>273</v>
      </c>
      <c r="BV995" t="b">
        <v>0</v>
      </c>
      <c r="BW995" t="s">
        <v>268</v>
      </c>
    </row>
    <row r="996" spans="1:75">
      <c r="A996" t="s">
        <v>250</v>
      </c>
      <c r="B996" t="s">
        <v>252</v>
      </c>
      <c r="C996">
        <v>692</v>
      </c>
      <c r="D996" t="s">
        <v>253</v>
      </c>
      <c r="E996" t="s">
        <v>254</v>
      </c>
      <c r="F996">
        <v>30</v>
      </c>
      <c r="G996" s="13">
        <v>46267.337210648147</v>
      </c>
      <c r="H996" s="13">
        <v>46267.494375000002</v>
      </c>
      <c r="I996">
        <v>13579</v>
      </c>
      <c r="J996" t="s">
        <v>264</v>
      </c>
      <c r="K996">
        <v>8</v>
      </c>
      <c r="L996">
        <v>0.08</v>
      </c>
      <c r="M996">
        <v>0.01</v>
      </c>
      <c r="N996">
        <v>8</v>
      </c>
      <c r="O996">
        <v>0.08</v>
      </c>
      <c r="P996">
        <v>87.58</v>
      </c>
      <c r="Q996">
        <v>6.31</v>
      </c>
      <c r="R996">
        <v>3.59</v>
      </c>
      <c r="S996" t="s">
        <v>263</v>
      </c>
      <c r="T996" t="s">
        <v>257</v>
      </c>
      <c r="U996">
        <v>11</v>
      </c>
      <c r="V996">
        <v>5613.96</v>
      </c>
      <c r="W996">
        <v>4999.84</v>
      </c>
      <c r="X996">
        <v>4912.42</v>
      </c>
      <c r="Y996">
        <v>0</v>
      </c>
      <c r="Z996">
        <v>0</v>
      </c>
      <c r="AA996">
        <v>35</v>
      </c>
      <c r="AB996">
        <v>50</v>
      </c>
      <c r="AC996">
        <v>5000</v>
      </c>
      <c r="AD996">
        <v>0</v>
      </c>
      <c r="AE996">
        <v>0</v>
      </c>
      <c r="AF996">
        <v>5619.51</v>
      </c>
      <c r="AG996">
        <v>5619.51</v>
      </c>
      <c r="AH996" s="14">
        <v>46267</v>
      </c>
      <c r="AI996" t="s">
        <v>272</v>
      </c>
      <c r="AJ996" s="13">
        <v>46262.99790509259</v>
      </c>
      <c r="AK996">
        <v>5509.79</v>
      </c>
      <c r="AL996" t="s">
        <v>259</v>
      </c>
      <c r="AM996" t="s">
        <v>260</v>
      </c>
      <c r="AN996">
        <v>1400</v>
      </c>
      <c r="AO996">
        <v>0</v>
      </c>
      <c r="AP996">
        <v>35</v>
      </c>
      <c r="AQ996">
        <v>85</v>
      </c>
      <c r="AR996">
        <v>35</v>
      </c>
      <c r="AS996">
        <v>2</v>
      </c>
      <c r="AT996">
        <v>23</v>
      </c>
      <c r="AU996">
        <v>1</v>
      </c>
      <c r="AV996">
        <v>0</v>
      </c>
      <c r="AW996">
        <v>10</v>
      </c>
      <c r="AX996">
        <v>1</v>
      </c>
      <c r="AY996">
        <v>5</v>
      </c>
      <c r="AZ996">
        <v>2</v>
      </c>
      <c r="BA996">
        <v>1</v>
      </c>
      <c r="BB996">
        <v>1440</v>
      </c>
      <c r="BC996">
        <v>0</v>
      </c>
      <c r="BD996">
        <v>0</v>
      </c>
      <c r="BE996">
        <v>14</v>
      </c>
      <c r="BF996">
        <v>25</v>
      </c>
      <c r="BG996">
        <v>3</v>
      </c>
      <c r="BH996">
        <v>8</v>
      </c>
      <c r="BI996">
        <v>3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0</v>
      </c>
      <c r="BQ996">
        <v>60</v>
      </c>
      <c r="BR996">
        <v>0</v>
      </c>
      <c r="BS996">
        <v>3</v>
      </c>
      <c r="BT996" t="s">
        <v>250</v>
      </c>
      <c r="BU996" t="s">
        <v>273</v>
      </c>
      <c r="BV996" t="b">
        <v>0</v>
      </c>
      <c r="BW996" t="s">
        <v>268</v>
      </c>
    </row>
    <row r="997" spans="1:75">
      <c r="A997" t="s">
        <v>250</v>
      </c>
      <c r="B997" t="s">
        <v>252</v>
      </c>
      <c r="C997">
        <v>693</v>
      </c>
      <c r="D997" t="s">
        <v>253</v>
      </c>
      <c r="E997" t="s">
        <v>254</v>
      </c>
      <c r="F997">
        <v>30</v>
      </c>
      <c r="G997" s="13">
        <v>46267.501851851855</v>
      </c>
      <c r="H997" s="13">
        <v>46267.503622685188</v>
      </c>
      <c r="I997">
        <v>153</v>
      </c>
      <c r="J997" t="s">
        <v>255</v>
      </c>
      <c r="K997">
        <v>1</v>
      </c>
      <c r="L997">
        <v>0.01</v>
      </c>
      <c r="M997">
        <v>0.01</v>
      </c>
      <c r="N997">
        <v>1</v>
      </c>
      <c r="O997">
        <v>0.01</v>
      </c>
      <c r="P997">
        <v>1.2</v>
      </c>
      <c r="Q997">
        <v>1.05</v>
      </c>
      <c r="R997">
        <v>0.81</v>
      </c>
      <c r="S997" t="s">
        <v>256</v>
      </c>
      <c r="T997" t="s">
        <v>257</v>
      </c>
      <c r="U997">
        <v>11</v>
      </c>
      <c r="V997">
        <v>5619.35</v>
      </c>
      <c r="W997">
        <v>4999.84</v>
      </c>
      <c r="X997">
        <v>4998.8</v>
      </c>
      <c r="Y997">
        <v>0</v>
      </c>
      <c r="Z997">
        <v>0</v>
      </c>
      <c r="AA997">
        <v>35</v>
      </c>
      <c r="AB997">
        <v>50</v>
      </c>
      <c r="AC997">
        <v>5000</v>
      </c>
      <c r="AD997">
        <v>0</v>
      </c>
      <c r="AE997">
        <v>0</v>
      </c>
      <c r="AF997">
        <v>5620.21</v>
      </c>
      <c r="AG997">
        <v>5620.21</v>
      </c>
      <c r="AH997" s="14">
        <v>46267</v>
      </c>
      <c r="AI997" t="s">
        <v>272</v>
      </c>
      <c r="AJ997" s="13">
        <v>46262.99790509259</v>
      </c>
      <c r="AK997">
        <v>5509.79</v>
      </c>
      <c r="AL997" t="s">
        <v>259</v>
      </c>
      <c r="AM997" t="s">
        <v>260</v>
      </c>
      <c r="AN997">
        <v>1400</v>
      </c>
      <c r="AO997">
        <v>0</v>
      </c>
      <c r="AP997">
        <v>35</v>
      </c>
      <c r="AQ997">
        <v>85</v>
      </c>
      <c r="AR997">
        <v>35</v>
      </c>
      <c r="AS997">
        <v>2</v>
      </c>
      <c r="AT997">
        <v>23</v>
      </c>
      <c r="AU997">
        <v>1</v>
      </c>
      <c r="AV997">
        <v>0</v>
      </c>
      <c r="AW997">
        <v>10</v>
      </c>
      <c r="AX997">
        <v>1</v>
      </c>
      <c r="AY997">
        <v>5</v>
      </c>
      <c r="AZ997">
        <v>2</v>
      </c>
      <c r="BA997">
        <v>1</v>
      </c>
      <c r="BB997">
        <v>1440</v>
      </c>
      <c r="BC997">
        <v>0</v>
      </c>
      <c r="BD997">
        <v>0</v>
      </c>
      <c r="BE997">
        <v>14</v>
      </c>
      <c r="BF997">
        <v>25</v>
      </c>
      <c r="BG997">
        <v>3</v>
      </c>
      <c r="BH997">
        <v>8</v>
      </c>
      <c r="BI997">
        <v>3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0</v>
      </c>
      <c r="BQ997">
        <v>60</v>
      </c>
      <c r="BR997">
        <v>0</v>
      </c>
      <c r="BS997">
        <v>3</v>
      </c>
      <c r="BT997" t="s">
        <v>250</v>
      </c>
      <c r="BU997" t="s">
        <v>273</v>
      </c>
      <c r="BV997" t="b">
        <v>0</v>
      </c>
      <c r="BW997" t="s">
        <v>268</v>
      </c>
    </row>
    <row r="998" spans="1:75">
      <c r="A998" t="s">
        <v>250</v>
      </c>
      <c r="B998" t="s">
        <v>252</v>
      </c>
      <c r="C998">
        <v>694</v>
      </c>
      <c r="D998" t="s">
        <v>253</v>
      </c>
      <c r="E998" t="s">
        <v>254</v>
      </c>
      <c r="F998">
        <v>30</v>
      </c>
      <c r="G998" s="13">
        <v>46267.524826388886</v>
      </c>
      <c r="H998" s="13">
        <v>46267.52920138889</v>
      </c>
      <c r="I998">
        <v>378</v>
      </c>
      <c r="J998" t="s">
        <v>255</v>
      </c>
      <c r="K998">
        <v>1</v>
      </c>
      <c r="L998">
        <v>0.01</v>
      </c>
      <c r="M998">
        <v>0.01</v>
      </c>
      <c r="N998">
        <v>1</v>
      </c>
      <c r="O998">
        <v>0.01</v>
      </c>
      <c r="P998">
        <v>3.33</v>
      </c>
      <c r="Q998">
        <v>0.79</v>
      </c>
      <c r="R998">
        <v>0.64</v>
      </c>
      <c r="S998" t="s">
        <v>256</v>
      </c>
      <c r="T998" t="s">
        <v>257</v>
      </c>
      <c r="U998">
        <v>10</v>
      </c>
      <c r="V998">
        <v>5620.05</v>
      </c>
      <c r="W998">
        <v>4999.84</v>
      </c>
      <c r="X998">
        <v>4996.67</v>
      </c>
      <c r="Y998">
        <v>0</v>
      </c>
      <c r="Z998">
        <v>0</v>
      </c>
      <c r="AA998">
        <v>35</v>
      </c>
      <c r="AB998">
        <v>50</v>
      </c>
      <c r="AC998">
        <v>5000</v>
      </c>
      <c r="AD998">
        <v>0</v>
      </c>
      <c r="AE998">
        <v>0</v>
      </c>
      <c r="AF998">
        <v>5620.65</v>
      </c>
      <c r="AG998">
        <v>5620.65</v>
      </c>
      <c r="AH998" s="14">
        <v>46267</v>
      </c>
      <c r="AI998" t="s">
        <v>272</v>
      </c>
      <c r="AJ998" s="13">
        <v>46262.99790509259</v>
      </c>
      <c r="AK998">
        <v>5509.79</v>
      </c>
      <c r="AL998" t="s">
        <v>259</v>
      </c>
      <c r="AM998" t="s">
        <v>260</v>
      </c>
      <c r="AN998">
        <v>1400</v>
      </c>
      <c r="AO998">
        <v>0</v>
      </c>
      <c r="AP998">
        <v>35</v>
      </c>
      <c r="AQ998">
        <v>85</v>
      </c>
      <c r="AR998">
        <v>35</v>
      </c>
      <c r="AS998">
        <v>2</v>
      </c>
      <c r="AT998">
        <v>23</v>
      </c>
      <c r="AU998">
        <v>1</v>
      </c>
      <c r="AV998">
        <v>0</v>
      </c>
      <c r="AW998">
        <v>10</v>
      </c>
      <c r="AX998">
        <v>1</v>
      </c>
      <c r="AY998">
        <v>5</v>
      </c>
      <c r="AZ998">
        <v>2</v>
      </c>
      <c r="BA998">
        <v>1</v>
      </c>
      <c r="BB998">
        <v>1440</v>
      </c>
      <c r="BC998">
        <v>0</v>
      </c>
      <c r="BD998">
        <v>0</v>
      </c>
      <c r="BE998">
        <v>14</v>
      </c>
      <c r="BF998">
        <v>25</v>
      </c>
      <c r="BG998">
        <v>3</v>
      </c>
      <c r="BH998">
        <v>8</v>
      </c>
      <c r="BI998">
        <v>3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0</v>
      </c>
      <c r="BQ998">
        <v>60</v>
      </c>
      <c r="BR998">
        <v>0</v>
      </c>
      <c r="BS998">
        <v>3</v>
      </c>
      <c r="BT998" t="s">
        <v>250</v>
      </c>
      <c r="BU998" t="s">
        <v>273</v>
      </c>
      <c r="BV998" t="b">
        <v>0</v>
      </c>
      <c r="BW998" t="s">
        <v>268</v>
      </c>
    </row>
    <row r="999" spans="1:75">
      <c r="A999" t="s">
        <v>250</v>
      </c>
      <c r="B999" t="s">
        <v>252</v>
      </c>
      <c r="C999">
        <v>695</v>
      </c>
      <c r="D999" t="s">
        <v>253</v>
      </c>
      <c r="E999" t="s">
        <v>254</v>
      </c>
      <c r="F999">
        <v>30</v>
      </c>
      <c r="G999" s="13">
        <v>46267.544039351851</v>
      </c>
      <c r="H999" s="13">
        <v>46267.544907407406</v>
      </c>
      <c r="I999">
        <v>75</v>
      </c>
      <c r="J999" t="s">
        <v>264</v>
      </c>
      <c r="K999">
        <v>1</v>
      </c>
      <c r="L999">
        <v>0.01</v>
      </c>
      <c r="M999">
        <v>0.01</v>
      </c>
      <c r="N999">
        <v>1</v>
      </c>
      <c r="O999">
        <v>0.01</v>
      </c>
      <c r="P999">
        <v>0.33</v>
      </c>
      <c r="Q999">
        <v>1.0900000000000001</v>
      </c>
      <c r="R999">
        <v>0.84</v>
      </c>
      <c r="S999" t="s">
        <v>256</v>
      </c>
      <c r="T999" t="s">
        <v>257</v>
      </c>
      <c r="U999">
        <v>11</v>
      </c>
      <c r="V999">
        <v>5620.48</v>
      </c>
      <c r="W999">
        <v>4999.83</v>
      </c>
      <c r="X999">
        <v>4999.67</v>
      </c>
      <c r="Y999">
        <v>0</v>
      </c>
      <c r="Z999">
        <v>0</v>
      </c>
      <c r="AA999">
        <v>35</v>
      </c>
      <c r="AB999">
        <v>50</v>
      </c>
      <c r="AC999">
        <v>5000</v>
      </c>
      <c r="AD999">
        <v>0</v>
      </c>
      <c r="AE999">
        <v>0</v>
      </c>
      <c r="AF999">
        <v>5621.39</v>
      </c>
      <c r="AG999">
        <v>5621.39</v>
      </c>
      <c r="AH999" s="14">
        <v>46267</v>
      </c>
      <c r="AI999" t="s">
        <v>272</v>
      </c>
      <c r="AJ999" s="13">
        <v>46262.99790509259</v>
      </c>
      <c r="AK999">
        <v>5509.79</v>
      </c>
      <c r="AL999" t="s">
        <v>259</v>
      </c>
      <c r="AM999" t="s">
        <v>260</v>
      </c>
      <c r="AN999">
        <v>1400</v>
      </c>
      <c r="AO999">
        <v>0</v>
      </c>
      <c r="AP999">
        <v>35</v>
      </c>
      <c r="AQ999">
        <v>85</v>
      </c>
      <c r="AR999">
        <v>35</v>
      </c>
      <c r="AS999">
        <v>2</v>
      </c>
      <c r="AT999">
        <v>23</v>
      </c>
      <c r="AU999">
        <v>1</v>
      </c>
      <c r="AV999">
        <v>0</v>
      </c>
      <c r="AW999">
        <v>10</v>
      </c>
      <c r="AX999">
        <v>1</v>
      </c>
      <c r="AY999">
        <v>5</v>
      </c>
      <c r="AZ999">
        <v>2</v>
      </c>
      <c r="BA999">
        <v>1</v>
      </c>
      <c r="BB999">
        <v>1440</v>
      </c>
      <c r="BC999">
        <v>0</v>
      </c>
      <c r="BD999">
        <v>0</v>
      </c>
      <c r="BE999">
        <v>14</v>
      </c>
      <c r="BF999">
        <v>25</v>
      </c>
      <c r="BG999">
        <v>3</v>
      </c>
      <c r="BH999">
        <v>8</v>
      </c>
      <c r="BI999">
        <v>3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0</v>
      </c>
      <c r="BQ999">
        <v>60</v>
      </c>
      <c r="BR999">
        <v>0</v>
      </c>
      <c r="BS999">
        <v>3</v>
      </c>
      <c r="BT999" t="s">
        <v>250</v>
      </c>
      <c r="BU999" t="s">
        <v>273</v>
      </c>
      <c r="BV999" t="b">
        <v>0</v>
      </c>
      <c r="BW999" t="s">
        <v>268</v>
      </c>
    </row>
    <row r="1000" spans="1:75">
      <c r="A1000" t="s">
        <v>250</v>
      </c>
      <c r="B1000" t="s">
        <v>252</v>
      </c>
      <c r="C1000">
        <v>696</v>
      </c>
      <c r="D1000" t="s">
        <v>253</v>
      </c>
      <c r="E1000" t="s">
        <v>254</v>
      </c>
      <c r="F1000">
        <v>30</v>
      </c>
      <c r="G1000" s="13">
        <v>46267.568923611114</v>
      </c>
      <c r="H1000" s="13">
        <v>46267.578125</v>
      </c>
      <c r="I1000">
        <v>795</v>
      </c>
      <c r="J1000" t="s">
        <v>264</v>
      </c>
      <c r="K1000">
        <v>1</v>
      </c>
      <c r="L1000">
        <v>0.01</v>
      </c>
      <c r="M1000">
        <v>0.01</v>
      </c>
      <c r="N1000">
        <v>1</v>
      </c>
      <c r="O1000">
        <v>0.01</v>
      </c>
      <c r="P1000">
        <v>3.42</v>
      </c>
      <c r="Q1000">
        <v>1.22</v>
      </c>
      <c r="R1000">
        <v>1.1100000000000001</v>
      </c>
      <c r="S1000" t="s">
        <v>256</v>
      </c>
      <c r="T1000" t="s">
        <v>257</v>
      </c>
      <c r="U1000">
        <v>10</v>
      </c>
      <c r="V1000">
        <v>5621.22</v>
      </c>
      <c r="W1000">
        <v>4999.83</v>
      </c>
      <c r="X1000">
        <v>4996.58</v>
      </c>
      <c r="Y1000">
        <v>0</v>
      </c>
      <c r="Z1000">
        <v>0</v>
      </c>
      <c r="AA1000">
        <v>35</v>
      </c>
      <c r="AB1000">
        <v>50</v>
      </c>
      <c r="AC1000">
        <v>5000</v>
      </c>
      <c r="AD1000">
        <v>0</v>
      </c>
      <c r="AE1000">
        <v>0</v>
      </c>
      <c r="AF1000">
        <v>5622.25</v>
      </c>
      <c r="AG1000">
        <v>5622.25</v>
      </c>
      <c r="AH1000" s="14">
        <v>46267</v>
      </c>
      <c r="AI1000" t="s">
        <v>272</v>
      </c>
      <c r="AJ1000" s="13">
        <v>46262.99790509259</v>
      </c>
      <c r="AK1000">
        <v>5509.79</v>
      </c>
      <c r="AL1000" t="s">
        <v>259</v>
      </c>
      <c r="AM1000" t="s">
        <v>260</v>
      </c>
      <c r="AN1000">
        <v>1400</v>
      </c>
      <c r="AO1000">
        <v>0</v>
      </c>
      <c r="AP1000">
        <v>35</v>
      </c>
      <c r="AQ1000">
        <v>85</v>
      </c>
      <c r="AR1000">
        <v>35</v>
      </c>
      <c r="AS1000">
        <v>2</v>
      </c>
      <c r="AT1000">
        <v>23</v>
      </c>
      <c r="AU1000">
        <v>1</v>
      </c>
      <c r="AV1000">
        <v>0</v>
      </c>
      <c r="AW1000">
        <v>10</v>
      </c>
      <c r="AX1000">
        <v>1</v>
      </c>
      <c r="AY1000">
        <v>5</v>
      </c>
      <c r="AZ1000">
        <v>2</v>
      </c>
      <c r="BA1000">
        <v>1</v>
      </c>
      <c r="BB1000">
        <v>1440</v>
      </c>
      <c r="BC1000">
        <v>0</v>
      </c>
      <c r="BD1000">
        <v>0</v>
      </c>
      <c r="BE1000">
        <v>14</v>
      </c>
      <c r="BF1000">
        <v>25</v>
      </c>
      <c r="BG1000">
        <v>3</v>
      </c>
      <c r="BH1000">
        <v>8</v>
      </c>
      <c r="BI1000">
        <v>3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0</v>
      </c>
      <c r="BQ1000">
        <v>60</v>
      </c>
      <c r="BR1000">
        <v>0</v>
      </c>
      <c r="BS1000">
        <v>3</v>
      </c>
      <c r="BT1000" t="s">
        <v>250</v>
      </c>
      <c r="BU1000" t="s">
        <v>273</v>
      </c>
      <c r="BV1000" t="b">
        <v>0</v>
      </c>
      <c r="BW1000" t="s">
        <v>268</v>
      </c>
    </row>
    <row r="1001" spans="1:75">
      <c r="A1001" t="s">
        <v>250</v>
      </c>
      <c r="B1001" t="s">
        <v>252</v>
      </c>
      <c r="C1001">
        <v>697</v>
      </c>
      <c r="D1001" t="s">
        <v>253</v>
      </c>
      <c r="E1001" t="s">
        <v>254</v>
      </c>
      <c r="F1001">
        <v>30</v>
      </c>
      <c r="G1001" s="13">
        <v>46267.584791666668</v>
      </c>
      <c r="H1001" s="13">
        <v>46267.586377314816</v>
      </c>
      <c r="I1001">
        <v>137</v>
      </c>
      <c r="J1001" t="s">
        <v>255</v>
      </c>
      <c r="K1001">
        <v>1</v>
      </c>
      <c r="L1001">
        <v>0.01</v>
      </c>
      <c r="M1001">
        <v>0.01</v>
      </c>
      <c r="N1001">
        <v>1</v>
      </c>
      <c r="O1001">
        <v>0.01</v>
      </c>
      <c r="P1001">
        <v>1.41</v>
      </c>
      <c r="Q1001">
        <v>1.1499999999999999</v>
      </c>
      <c r="R1001">
        <v>0.82</v>
      </c>
      <c r="S1001" t="s">
        <v>256</v>
      </c>
      <c r="T1001" t="s">
        <v>257</v>
      </c>
      <c r="U1001">
        <v>11</v>
      </c>
      <c r="V1001">
        <v>5622.09</v>
      </c>
      <c r="W1001">
        <v>4999.84</v>
      </c>
      <c r="X1001">
        <v>4998.59</v>
      </c>
      <c r="Y1001">
        <v>0</v>
      </c>
      <c r="Z1001">
        <v>0</v>
      </c>
      <c r="AA1001">
        <v>35</v>
      </c>
      <c r="AB1001">
        <v>50</v>
      </c>
      <c r="AC1001">
        <v>5000</v>
      </c>
      <c r="AD1001">
        <v>0</v>
      </c>
      <c r="AE1001">
        <v>0</v>
      </c>
      <c r="AF1001">
        <v>5623.04</v>
      </c>
      <c r="AG1001">
        <v>5623.04</v>
      </c>
      <c r="AH1001" s="14">
        <v>46267</v>
      </c>
      <c r="AI1001" t="s">
        <v>272</v>
      </c>
      <c r="AJ1001" s="13">
        <v>46262.99790509259</v>
      </c>
      <c r="AK1001">
        <v>5509.79</v>
      </c>
      <c r="AL1001" t="s">
        <v>259</v>
      </c>
      <c r="AM1001" t="s">
        <v>260</v>
      </c>
      <c r="AN1001">
        <v>1400</v>
      </c>
      <c r="AO1001">
        <v>0</v>
      </c>
      <c r="AP1001">
        <v>35</v>
      </c>
      <c r="AQ1001">
        <v>85</v>
      </c>
      <c r="AR1001">
        <v>35</v>
      </c>
      <c r="AS1001">
        <v>2</v>
      </c>
      <c r="AT1001">
        <v>23</v>
      </c>
      <c r="AU1001">
        <v>1</v>
      </c>
      <c r="AV1001">
        <v>0</v>
      </c>
      <c r="AW1001">
        <v>10</v>
      </c>
      <c r="AX1001">
        <v>1</v>
      </c>
      <c r="AY1001">
        <v>5</v>
      </c>
      <c r="AZ1001">
        <v>2</v>
      </c>
      <c r="BA1001">
        <v>1</v>
      </c>
      <c r="BB1001">
        <v>1440</v>
      </c>
      <c r="BC1001">
        <v>0</v>
      </c>
      <c r="BD1001">
        <v>0</v>
      </c>
      <c r="BE1001">
        <v>14</v>
      </c>
      <c r="BF1001">
        <v>25</v>
      </c>
      <c r="BG1001">
        <v>3</v>
      </c>
      <c r="BH1001">
        <v>8</v>
      </c>
      <c r="BI1001">
        <v>3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0</v>
      </c>
      <c r="BQ1001">
        <v>60</v>
      </c>
      <c r="BR1001">
        <v>0</v>
      </c>
      <c r="BS1001">
        <v>3</v>
      </c>
      <c r="BT1001" t="s">
        <v>250</v>
      </c>
      <c r="BU1001" t="s">
        <v>273</v>
      </c>
      <c r="BV1001" t="b">
        <v>0</v>
      </c>
      <c r="BW1001" t="s">
        <v>268</v>
      </c>
    </row>
    <row r="1002" spans="1:75">
      <c r="A1002" t="s">
        <v>250</v>
      </c>
      <c r="B1002" t="s">
        <v>252</v>
      </c>
      <c r="C1002">
        <v>698</v>
      </c>
      <c r="D1002" t="s">
        <v>253</v>
      </c>
      <c r="E1002" t="s">
        <v>254</v>
      </c>
      <c r="F1002">
        <v>30</v>
      </c>
      <c r="G1002" s="13">
        <v>46267.606053240743</v>
      </c>
      <c r="H1002" s="13">
        <v>46267.606261574074</v>
      </c>
      <c r="I1002">
        <v>18</v>
      </c>
      <c r="J1002" t="s">
        <v>255</v>
      </c>
      <c r="K1002">
        <v>1</v>
      </c>
      <c r="L1002">
        <v>0.01</v>
      </c>
      <c r="M1002">
        <v>0.01</v>
      </c>
      <c r="N1002">
        <v>1</v>
      </c>
      <c r="O1002">
        <v>0.01</v>
      </c>
      <c r="P1002">
        <v>0.44</v>
      </c>
      <c r="Q1002">
        <v>0.87</v>
      </c>
      <c r="R1002">
        <v>0.86</v>
      </c>
      <c r="S1002" t="s">
        <v>256</v>
      </c>
      <c r="T1002" t="s">
        <v>257</v>
      </c>
      <c r="U1002">
        <v>11</v>
      </c>
      <c r="V1002">
        <v>5622.88</v>
      </c>
      <c r="W1002">
        <v>4999.84</v>
      </c>
      <c r="X1002">
        <v>4999.5600000000004</v>
      </c>
      <c r="Y1002">
        <v>0</v>
      </c>
      <c r="Z1002">
        <v>0</v>
      </c>
      <c r="AA1002">
        <v>35</v>
      </c>
      <c r="AB1002">
        <v>50</v>
      </c>
      <c r="AC1002">
        <v>5000</v>
      </c>
      <c r="AD1002">
        <v>0</v>
      </c>
      <c r="AE1002">
        <v>0</v>
      </c>
      <c r="AF1002">
        <v>5623.56</v>
      </c>
      <c r="AG1002">
        <v>5623.56</v>
      </c>
      <c r="AH1002" s="14">
        <v>46267</v>
      </c>
      <c r="AI1002" t="s">
        <v>272</v>
      </c>
      <c r="AJ1002" s="13">
        <v>46262.99790509259</v>
      </c>
      <c r="AK1002">
        <v>5509.79</v>
      </c>
      <c r="AL1002" t="s">
        <v>259</v>
      </c>
      <c r="AM1002" t="s">
        <v>260</v>
      </c>
      <c r="AN1002">
        <v>1400</v>
      </c>
      <c r="AO1002">
        <v>0</v>
      </c>
      <c r="AP1002">
        <v>35</v>
      </c>
      <c r="AQ1002">
        <v>85</v>
      </c>
      <c r="AR1002">
        <v>35</v>
      </c>
      <c r="AS1002">
        <v>2</v>
      </c>
      <c r="AT1002">
        <v>23</v>
      </c>
      <c r="AU1002">
        <v>1</v>
      </c>
      <c r="AV1002">
        <v>0</v>
      </c>
      <c r="AW1002">
        <v>10</v>
      </c>
      <c r="AX1002">
        <v>1</v>
      </c>
      <c r="AY1002">
        <v>5</v>
      </c>
      <c r="AZ1002">
        <v>2</v>
      </c>
      <c r="BA1002">
        <v>1</v>
      </c>
      <c r="BB1002">
        <v>1440</v>
      </c>
      <c r="BC1002">
        <v>0</v>
      </c>
      <c r="BD1002">
        <v>0</v>
      </c>
      <c r="BE1002">
        <v>14</v>
      </c>
      <c r="BF1002">
        <v>25</v>
      </c>
      <c r="BG1002">
        <v>3</v>
      </c>
      <c r="BH1002">
        <v>8</v>
      </c>
      <c r="BI1002">
        <v>3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0</v>
      </c>
      <c r="BQ1002">
        <v>60</v>
      </c>
      <c r="BR1002">
        <v>0</v>
      </c>
      <c r="BS1002">
        <v>3</v>
      </c>
      <c r="BT1002" t="s">
        <v>250</v>
      </c>
      <c r="BU1002" t="s">
        <v>273</v>
      </c>
      <c r="BV1002" t="b">
        <v>0</v>
      </c>
      <c r="BW1002" t="s">
        <v>268</v>
      </c>
    </row>
    <row r="1003" spans="1:75">
      <c r="A1003" t="s">
        <v>250</v>
      </c>
      <c r="B1003" t="s">
        <v>252</v>
      </c>
      <c r="C1003">
        <v>699</v>
      </c>
      <c r="D1003" t="s">
        <v>253</v>
      </c>
      <c r="E1003" t="s">
        <v>254</v>
      </c>
      <c r="F1003">
        <v>30</v>
      </c>
      <c r="G1003" s="13">
        <v>46267.625196759262</v>
      </c>
      <c r="H1003" s="13">
        <v>46267.627129629633</v>
      </c>
      <c r="I1003">
        <v>167</v>
      </c>
      <c r="J1003" t="s">
        <v>264</v>
      </c>
      <c r="K1003">
        <v>1</v>
      </c>
      <c r="L1003">
        <v>0.01</v>
      </c>
      <c r="M1003">
        <v>0.01</v>
      </c>
      <c r="N1003">
        <v>1</v>
      </c>
      <c r="O1003">
        <v>0.01</v>
      </c>
      <c r="P1003">
        <v>3.25</v>
      </c>
      <c r="Q1003">
        <v>1.53</v>
      </c>
      <c r="R1003">
        <v>1.22</v>
      </c>
      <c r="S1003" t="s">
        <v>256</v>
      </c>
      <c r="T1003" t="s">
        <v>257</v>
      </c>
      <c r="U1003">
        <v>10</v>
      </c>
      <c r="V1003">
        <v>5623.39</v>
      </c>
      <c r="W1003">
        <v>4999.83</v>
      </c>
      <c r="X1003">
        <v>4996.75</v>
      </c>
      <c r="Y1003">
        <v>0</v>
      </c>
      <c r="Z1003">
        <v>0</v>
      </c>
      <c r="AA1003">
        <v>35</v>
      </c>
      <c r="AB1003">
        <v>50</v>
      </c>
      <c r="AC1003">
        <v>5000</v>
      </c>
      <c r="AD1003">
        <v>0</v>
      </c>
      <c r="AE1003">
        <v>0</v>
      </c>
      <c r="AF1003">
        <v>5624.74</v>
      </c>
      <c r="AG1003">
        <v>5624.74</v>
      </c>
      <c r="AH1003" s="14">
        <v>46267</v>
      </c>
      <c r="AI1003" t="s">
        <v>272</v>
      </c>
      <c r="AJ1003" s="13">
        <v>46262.99790509259</v>
      </c>
      <c r="AK1003">
        <v>5509.79</v>
      </c>
      <c r="AL1003" t="s">
        <v>259</v>
      </c>
      <c r="AM1003" t="s">
        <v>260</v>
      </c>
      <c r="AN1003">
        <v>1400</v>
      </c>
      <c r="AO1003">
        <v>0</v>
      </c>
      <c r="AP1003">
        <v>35</v>
      </c>
      <c r="AQ1003">
        <v>85</v>
      </c>
      <c r="AR1003">
        <v>35</v>
      </c>
      <c r="AS1003">
        <v>2</v>
      </c>
      <c r="AT1003">
        <v>23</v>
      </c>
      <c r="AU1003">
        <v>1</v>
      </c>
      <c r="AV1003">
        <v>0</v>
      </c>
      <c r="AW1003">
        <v>10</v>
      </c>
      <c r="AX1003">
        <v>1</v>
      </c>
      <c r="AY1003">
        <v>5</v>
      </c>
      <c r="AZ1003">
        <v>2</v>
      </c>
      <c r="BA1003">
        <v>1</v>
      </c>
      <c r="BB1003">
        <v>1440</v>
      </c>
      <c r="BC1003">
        <v>0</v>
      </c>
      <c r="BD1003">
        <v>0</v>
      </c>
      <c r="BE1003">
        <v>14</v>
      </c>
      <c r="BF1003">
        <v>25</v>
      </c>
      <c r="BG1003">
        <v>3</v>
      </c>
      <c r="BH1003">
        <v>8</v>
      </c>
      <c r="BI1003">
        <v>3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0</v>
      </c>
      <c r="BQ1003">
        <v>60</v>
      </c>
      <c r="BR1003">
        <v>0</v>
      </c>
      <c r="BS1003">
        <v>3</v>
      </c>
      <c r="BT1003" t="s">
        <v>250</v>
      </c>
      <c r="BU1003" t="s">
        <v>273</v>
      </c>
      <c r="BV1003" t="b">
        <v>0</v>
      </c>
      <c r="BW1003" t="s">
        <v>268</v>
      </c>
    </row>
    <row r="1004" spans="1:75">
      <c r="A1004" t="s">
        <v>250</v>
      </c>
      <c r="B1004" t="s">
        <v>252</v>
      </c>
      <c r="C1004">
        <v>700</v>
      </c>
      <c r="D1004" t="s">
        <v>253</v>
      </c>
      <c r="E1004" t="s">
        <v>254</v>
      </c>
      <c r="F1004">
        <v>30</v>
      </c>
      <c r="G1004" s="13">
        <v>46267.646562499998</v>
      </c>
      <c r="H1004" s="13">
        <v>46267.648587962962</v>
      </c>
      <c r="I1004">
        <v>175</v>
      </c>
      <c r="J1004" t="s">
        <v>264</v>
      </c>
      <c r="K1004">
        <v>1</v>
      </c>
      <c r="L1004">
        <v>0.01</v>
      </c>
      <c r="M1004">
        <v>0.01</v>
      </c>
      <c r="N1004">
        <v>1</v>
      </c>
      <c r="O1004">
        <v>0.01</v>
      </c>
      <c r="P1004">
        <v>2.72</v>
      </c>
      <c r="Q1004">
        <v>1.28</v>
      </c>
      <c r="R1004">
        <v>0.97</v>
      </c>
      <c r="S1004" t="s">
        <v>256</v>
      </c>
      <c r="T1004" t="s">
        <v>257</v>
      </c>
      <c r="U1004">
        <v>10</v>
      </c>
      <c r="V1004">
        <v>5624.58</v>
      </c>
      <c r="W1004">
        <v>4999.84</v>
      </c>
      <c r="X1004">
        <v>4997.28</v>
      </c>
      <c r="Y1004">
        <v>0</v>
      </c>
      <c r="Z1004">
        <v>0</v>
      </c>
      <c r="AA1004">
        <v>35</v>
      </c>
      <c r="AB1004">
        <v>50</v>
      </c>
      <c r="AC1004">
        <v>5000</v>
      </c>
      <c r="AD1004">
        <v>0</v>
      </c>
      <c r="AE1004">
        <v>0</v>
      </c>
      <c r="AF1004">
        <v>5625.67</v>
      </c>
      <c r="AG1004">
        <v>5625.67</v>
      </c>
      <c r="AH1004" s="14">
        <v>46267</v>
      </c>
      <c r="AI1004" t="s">
        <v>272</v>
      </c>
      <c r="AJ1004" s="13">
        <v>46262.99790509259</v>
      </c>
      <c r="AK1004">
        <v>5509.79</v>
      </c>
      <c r="AL1004" t="s">
        <v>259</v>
      </c>
      <c r="AM1004" t="s">
        <v>260</v>
      </c>
      <c r="AN1004">
        <v>1400</v>
      </c>
      <c r="AO1004">
        <v>0</v>
      </c>
      <c r="AP1004">
        <v>35</v>
      </c>
      <c r="AQ1004">
        <v>85</v>
      </c>
      <c r="AR1004">
        <v>35</v>
      </c>
      <c r="AS1004">
        <v>2</v>
      </c>
      <c r="AT1004">
        <v>23</v>
      </c>
      <c r="AU1004">
        <v>1</v>
      </c>
      <c r="AV1004">
        <v>0</v>
      </c>
      <c r="AW1004">
        <v>10</v>
      </c>
      <c r="AX1004">
        <v>1</v>
      </c>
      <c r="AY1004">
        <v>5</v>
      </c>
      <c r="AZ1004">
        <v>2</v>
      </c>
      <c r="BA1004">
        <v>1</v>
      </c>
      <c r="BB1004">
        <v>1440</v>
      </c>
      <c r="BC1004">
        <v>0</v>
      </c>
      <c r="BD1004">
        <v>0</v>
      </c>
      <c r="BE1004">
        <v>14</v>
      </c>
      <c r="BF1004">
        <v>25</v>
      </c>
      <c r="BG1004">
        <v>3</v>
      </c>
      <c r="BH1004">
        <v>8</v>
      </c>
      <c r="BI1004">
        <v>3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0</v>
      </c>
      <c r="BQ1004">
        <v>60</v>
      </c>
      <c r="BR1004">
        <v>0</v>
      </c>
      <c r="BS1004">
        <v>3</v>
      </c>
      <c r="BT1004" t="s">
        <v>250</v>
      </c>
      <c r="BU1004" t="s">
        <v>273</v>
      </c>
      <c r="BV1004" t="b">
        <v>0</v>
      </c>
      <c r="BW1004" t="s">
        <v>268</v>
      </c>
    </row>
    <row r="1005" spans="1:75">
      <c r="A1005" t="s">
        <v>250</v>
      </c>
      <c r="B1005" t="s">
        <v>252</v>
      </c>
      <c r="C1005">
        <v>701</v>
      </c>
      <c r="D1005" t="s">
        <v>253</v>
      </c>
      <c r="E1005" t="s">
        <v>254</v>
      </c>
      <c r="F1005">
        <v>30</v>
      </c>
      <c r="G1005" s="13">
        <v>46267.666770833333</v>
      </c>
      <c r="H1005" s="13">
        <v>46267.666875000003</v>
      </c>
      <c r="I1005">
        <v>9</v>
      </c>
      <c r="J1005" t="s">
        <v>255</v>
      </c>
      <c r="K1005">
        <v>1</v>
      </c>
      <c r="L1005">
        <v>0.01</v>
      </c>
      <c r="M1005">
        <v>0.01</v>
      </c>
      <c r="N1005">
        <v>1</v>
      </c>
      <c r="O1005">
        <v>0.01</v>
      </c>
      <c r="P1005">
        <v>0.33</v>
      </c>
      <c r="Q1005">
        <v>2.81</v>
      </c>
      <c r="R1005">
        <v>2.6</v>
      </c>
      <c r="S1005" t="s">
        <v>256</v>
      </c>
      <c r="T1005" t="s">
        <v>257</v>
      </c>
      <c r="U1005">
        <v>11</v>
      </c>
      <c r="V1005">
        <v>5625.5</v>
      </c>
      <c r="W1005">
        <v>4999.83</v>
      </c>
      <c r="X1005">
        <v>4999.67</v>
      </c>
      <c r="Y1005">
        <v>0</v>
      </c>
      <c r="Z1005">
        <v>0</v>
      </c>
      <c r="AA1005">
        <v>35</v>
      </c>
      <c r="AB1005">
        <v>50</v>
      </c>
      <c r="AC1005">
        <v>5000</v>
      </c>
      <c r="AD1005">
        <v>0</v>
      </c>
      <c r="AE1005">
        <v>0</v>
      </c>
      <c r="AF1005">
        <v>5628.13</v>
      </c>
      <c r="AG1005">
        <v>5628.13</v>
      </c>
      <c r="AH1005" s="14">
        <v>46267</v>
      </c>
      <c r="AI1005" t="s">
        <v>272</v>
      </c>
      <c r="AJ1005" s="13">
        <v>46262.99790509259</v>
      </c>
      <c r="AK1005">
        <v>5509.79</v>
      </c>
      <c r="AL1005" t="s">
        <v>259</v>
      </c>
      <c r="AM1005" t="s">
        <v>260</v>
      </c>
      <c r="AN1005">
        <v>1400</v>
      </c>
      <c r="AO1005">
        <v>0</v>
      </c>
      <c r="AP1005">
        <v>35</v>
      </c>
      <c r="AQ1005">
        <v>85</v>
      </c>
      <c r="AR1005">
        <v>35</v>
      </c>
      <c r="AS1005">
        <v>2</v>
      </c>
      <c r="AT1005">
        <v>23</v>
      </c>
      <c r="AU1005">
        <v>1</v>
      </c>
      <c r="AV1005">
        <v>0</v>
      </c>
      <c r="AW1005">
        <v>10</v>
      </c>
      <c r="AX1005">
        <v>1</v>
      </c>
      <c r="AY1005">
        <v>5</v>
      </c>
      <c r="AZ1005">
        <v>2</v>
      </c>
      <c r="BA1005">
        <v>1</v>
      </c>
      <c r="BB1005">
        <v>1440</v>
      </c>
      <c r="BC1005">
        <v>0</v>
      </c>
      <c r="BD1005">
        <v>0</v>
      </c>
      <c r="BE1005">
        <v>14</v>
      </c>
      <c r="BF1005">
        <v>25</v>
      </c>
      <c r="BG1005">
        <v>3</v>
      </c>
      <c r="BH1005">
        <v>8</v>
      </c>
      <c r="BI1005">
        <v>3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0</v>
      </c>
      <c r="BQ1005">
        <v>60</v>
      </c>
      <c r="BR1005">
        <v>0</v>
      </c>
      <c r="BS1005">
        <v>3</v>
      </c>
      <c r="BT1005" t="s">
        <v>250</v>
      </c>
      <c r="BU1005" t="s">
        <v>273</v>
      </c>
      <c r="BV1005" t="b">
        <v>0</v>
      </c>
      <c r="BW1005" t="s">
        <v>268</v>
      </c>
    </row>
    <row r="1006" spans="1:75">
      <c r="A1006" t="s">
        <v>250</v>
      </c>
      <c r="B1006" t="s">
        <v>252</v>
      </c>
      <c r="C1006">
        <v>702</v>
      </c>
      <c r="D1006" t="s">
        <v>253</v>
      </c>
      <c r="E1006" t="s">
        <v>254</v>
      </c>
      <c r="F1006">
        <v>30</v>
      </c>
      <c r="G1006" s="13">
        <v>46267.688171296293</v>
      </c>
      <c r="H1006" s="13">
        <v>46267.688217592593</v>
      </c>
      <c r="I1006">
        <v>4</v>
      </c>
      <c r="J1006" t="s">
        <v>255</v>
      </c>
      <c r="K1006">
        <v>1</v>
      </c>
      <c r="L1006">
        <v>0.01</v>
      </c>
      <c r="M1006">
        <v>0.01</v>
      </c>
      <c r="N1006">
        <v>1</v>
      </c>
      <c r="O1006">
        <v>0.01</v>
      </c>
      <c r="P1006">
        <v>0.17</v>
      </c>
      <c r="Q1006">
        <v>1.23</v>
      </c>
      <c r="R1006">
        <v>1.07</v>
      </c>
      <c r="S1006" t="s">
        <v>256</v>
      </c>
      <c r="T1006" t="s">
        <v>257</v>
      </c>
      <c r="U1006">
        <v>10</v>
      </c>
      <c r="V1006">
        <v>5627.96</v>
      </c>
      <c r="W1006">
        <v>4999.83</v>
      </c>
      <c r="X1006">
        <v>4999.83</v>
      </c>
      <c r="Y1006">
        <v>0</v>
      </c>
      <c r="Z1006">
        <v>0</v>
      </c>
      <c r="AA1006">
        <v>35</v>
      </c>
      <c r="AB1006">
        <v>50</v>
      </c>
      <c r="AC1006">
        <v>5000</v>
      </c>
      <c r="AD1006">
        <v>0</v>
      </c>
      <c r="AE1006">
        <v>0</v>
      </c>
      <c r="AF1006">
        <v>5628.92</v>
      </c>
      <c r="AG1006">
        <v>5628.92</v>
      </c>
      <c r="AH1006" s="14">
        <v>46267</v>
      </c>
      <c r="AI1006" t="s">
        <v>272</v>
      </c>
      <c r="AJ1006" s="13">
        <v>46262.99790509259</v>
      </c>
      <c r="AK1006">
        <v>5509.79</v>
      </c>
      <c r="AL1006" t="s">
        <v>259</v>
      </c>
      <c r="AM1006" t="s">
        <v>260</v>
      </c>
      <c r="AN1006">
        <v>1400</v>
      </c>
      <c r="AO1006">
        <v>0</v>
      </c>
      <c r="AP1006">
        <v>35</v>
      </c>
      <c r="AQ1006">
        <v>85</v>
      </c>
      <c r="AR1006">
        <v>35</v>
      </c>
      <c r="AS1006">
        <v>2</v>
      </c>
      <c r="AT1006">
        <v>23</v>
      </c>
      <c r="AU1006">
        <v>1</v>
      </c>
      <c r="AV1006">
        <v>0</v>
      </c>
      <c r="AW1006">
        <v>10</v>
      </c>
      <c r="AX1006">
        <v>1</v>
      </c>
      <c r="AY1006">
        <v>5</v>
      </c>
      <c r="AZ1006">
        <v>2</v>
      </c>
      <c r="BA1006">
        <v>1</v>
      </c>
      <c r="BB1006">
        <v>1440</v>
      </c>
      <c r="BC1006">
        <v>0</v>
      </c>
      <c r="BD1006">
        <v>0</v>
      </c>
      <c r="BE1006">
        <v>14</v>
      </c>
      <c r="BF1006">
        <v>25</v>
      </c>
      <c r="BG1006">
        <v>3</v>
      </c>
      <c r="BH1006">
        <v>8</v>
      </c>
      <c r="BI1006">
        <v>3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0</v>
      </c>
      <c r="BQ1006">
        <v>60</v>
      </c>
      <c r="BR1006">
        <v>0</v>
      </c>
      <c r="BS1006">
        <v>3</v>
      </c>
      <c r="BT1006" t="s">
        <v>250</v>
      </c>
      <c r="BU1006" t="s">
        <v>273</v>
      </c>
      <c r="BV1006" t="b">
        <v>0</v>
      </c>
      <c r="BW1006" t="s">
        <v>268</v>
      </c>
    </row>
    <row r="1007" spans="1:75">
      <c r="A1007" t="s">
        <v>250</v>
      </c>
      <c r="B1007" t="s">
        <v>252</v>
      </c>
      <c r="C1007">
        <v>703</v>
      </c>
      <c r="D1007" t="s">
        <v>253</v>
      </c>
      <c r="E1007" t="s">
        <v>254</v>
      </c>
      <c r="F1007">
        <v>30</v>
      </c>
      <c r="G1007" s="13">
        <v>46267.708402777775</v>
      </c>
      <c r="H1007" s="13">
        <v>46267.709432870368</v>
      </c>
      <c r="I1007">
        <v>89</v>
      </c>
      <c r="J1007" t="s">
        <v>264</v>
      </c>
      <c r="K1007">
        <v>1</v>
      </c>
      <c r="L1007">
        <v>0.01</v>
      </c>
      <c r="M1007">
        <v>0.01</v>
      </c>
      <c r="N1007">
        <v>1</v>
      </c>
      <c r="O1007">
        <v>0.01</v>
      </c>
      <c r="P1007">
        <v>3.81</v>
      </c>
      <c r="Q1007">
        <v>1.61</v>
      </c>
      <c r="R1007">
        <v>1.57</v>
      </c>
      <c r="S1007" t="s">
        <v>256</v>
      </c>
      <c r="T1007" t="s">
        <v>257</v>
      </c>
      <c r="U1007">
        <v>10</v>
      </c>
      <c r="V1007">
        <v>5628.76</v>
      </c>
      <c r="W1007">
        <v>4999.84</v>
      </c>
      <c r="X1007">
        <v>4996.1899999999996</v>
      </c>
      <c r="Y1007">
        <v>0</v>
      </c>
      <c r="Z1007">
        <v>0</v>
      </c>
      <c r="AA1007">
        <v>35</v>
      </c>
      <c r="AB1007">
        <v>50</v>
      </c>
      <c r="AC1007">
        <v>5000</v>
      </c>
      <c r="AD1007">
        <v>0</v>
      </c>
      <c r="AE1007">
        <v>0</v>
      </c>
      <c r="AF1007">
        <v>5630.18</v>
      </c>
      <c r="AG1007">
        <v>5630.18</v>
      </c>
      <c r="AH1007" s="14">
        <v>46267</v>
      </c>
      <c r="AI1007" t="s">
        <v>272</v>
      </c>
      <c r="AJ1007" s="13">
        <v>46262.99790509259</v>
      </c>
      <c r="AK1007">
        <v>5509.79</v>
      </c>
      <c r="AL1007" t="s">
        <v>259</v>
      </c>
      <c r="AM1007" t="s">
        <v>260</v>
      </c>
      <c r="AN1007">
        <v>1400</v>
      </c>
      <c r="AO1007">
        <v>0</v>
      </c>
      <c r="AP1007">
        <v>35</v>
      </c>
      <c r="AQ1007">
        <v>85</v>
      </c>
      <c r="AR1007">
        <v>35</v>
      </c>
      <c r="AS1007">
        <v>2</v>
      </c>
      <c r="AT1007">
        <v>23</v>
      </c>
      <c r="AU1007">
        <v>1</v>
      </c>
      <c r="AV1007">
        <v>0</v>
      </c>
      <c r="AW1007">
        <v>10</v>
      </c>
      <c r="AX1007">
        <v>1</v>
      </c>
      <c r="AY1007">
        <v>5</v>
      </c>
      <c r="AZ1007">
        <v>2</v>
      </c>
      <c r="BA1007">
        <v>1</v>
      </c>
      <c r="BB1007">
        <v>1440</v>
      </c>
      <c r="BC1007">
        <v>0</v>
      </c>
      <c r="BD1007">
        <v>0</v>
      </c>
      <c r="BE1007">
        <v>14</v>
      </c>
      <c r="BF1007">
        <v>25</v>
      </c>
      <c r="BG1007">
        <v>3</v>
      </c>
      <c r="BH1007">
        <v>8</v>
      </c>
      <c r="BI1007">
        <v>3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0</v>
      </c>
      <c r="BQ1007">
        <v>60</v>
      </c>
      <c r="BR1007">
        <v>0</v>
      </c>
      <c r="BS1007">
        <v>3</v>
      </c>
      <c r="BT1007" t="s">
        <v>250</v>
      </c>
      <c r="BU1007" t="s">
        <v>273</v>
      </c>
      <c r="BV1007" t="b">
        <v>0</v>
      </c>
      <c r="BW1007" t="s">
        <v>268</v>
      </c>
    </row>
    <row r="1008" spans="1:75">
      <c r="A1008" t="s">
        <v>250</v>
      </c>
      <c r="B1008" t="s">
        <v>252</v>
      </c>
      <c r="C1008">
        <v>704</v>
      </c>
      <c r="D1008" t="s">
        <v>253</v>
      </c>
      <c r="E1008" t="s">
        <v>254</v>
      </c>
      <c r="F1008">
        <v>30</v>
      </c>
      <c r="G1008" s="13">
        <v>46267.729525462964</v>
      </c>
      <c r="H1008" s="13">
        <v>46267.729768518519</v>
      </c>
      <c r="I1008">
        <v>21</v>
      </c>
      <c r="J1008" t="s">
        <v>264</v>
      </c>
      <c r="K1008">
        <v>1</v>
      </c>
      <c r="L1008">
        <v>0.01</v>
      </c>
      <c r="M1008">
        <v>0.01</v>
      </c>
      <c r="N1008">
        <v>1</v>
      </c>
      <c r="O1008">
        <v>0.01</v>
      </c>
      <c r="P1008">
        <v>0.24</v>
      </c>
      <c r="Q1008">
        <v>0.94</v>
      </c>
      <c r="R1008">
        <v>0.74</v>
      </c>
      <c r="S1008" t="s">
        <v>256</v>
      </c>
      <c r="T1008" t="s">
        <v>257</v>
      </c>
      <c r="U1008">
        <v>11</v>
      </c>
      <c r="V1008">
        <v>5630.02</v>
      </c>
      <c r="W1008">
        <v>4999.84</v>
      </c>
      <c r="X1008">
        <v>4999.76</v>
      </c>
      <c r="Y1008">
        <v>0</v>
      </c>
      <c r="Z1008">
        <v>0</v>
      </c>
      <c r="AA1008">
        <v>35</v>
      </c>
      <c r="AB1008">
        <v>50</v>
      </c>
      <c r="AC1008">
        <v>5000</v>
      </c>
      <c r="AD1008">
        <v>0</v>
      </c>
      <c r="AE1008">
        <v>0</v>
      </c>
      <c r="AF1008">
        <v>5630.77</v>
      </c>
      <c r="AG1008">
        <v>5630.77</v>
      </c>
      <c r="AH1008" s="14">
        <v>46267</v>
      </c>
      <c r="AI1008" t="s">
        <v>272</v>
      </c>
      <c r="AJ1008" s="13">
        <v>46262.99790509259</v>
      </c>
      <c r="AK1008">
        <v>5509.79</v>
      </c>
      <c r="AL1008" t="s">
        <v>259</v>
      </c>
      <c r="AM1008" t="s">
        <v>260</v>
      </c>
      <c r="AN1008">
        <v>1400</v>
      </c>
      <c r="AO1008">
        <v>0</v>
      </c>
      <c r="AP1008">
        <v>35</v>
      </c>
      <c r="AQ1008">
        <v>85</v>
      </c>
      <c r="AR1008">
        <v>35</v>
      </c>
      <c r="AS1008">
        <v>2</v>
      </c>
      <c r="AT1008">
        <v>23</v>
      </c>
      <c r="AU1008">
        <v>1</v>
      </c>
      <c r="AV1008">
        <v>0</v>
      </c>
      <c r="AW1008">
        <v>10</v>
      </c>
      <c r="AX1008">
        <v>1</v>
      </c>
      <c r="AY1008">
        <v>5</v>
      </c>
      <c r="AZ1008">
        <v>2</v>
      </c>
      <c r="BA1008">
        <v>1</v>
      </c>
      <c r="BB1008">
        <v>1440</v>
      </c>
      <c r="BC1008">
        <v>0</v>
      </c>
      <c r="BD1008">
        <v>0</v>
      </c>
      <c r="BE1008">
        <v>14</v>
      </c>
      <c r="BF1008">
        <v>25</v>
      </c>
      <c r="BG1008">
        <v>3</v>
      </c>
      <c r="BH1008">
        <v>8</v>
      </c>
      <c r="BI1008">
        <v>3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0</v>
      </c>
      <c r="BQ1008">
        <v>60</v>
      </c>
      <c r="BR1008">
        <v>0</v>
      </c>
      <c r="BS1008">
        <v>3</v>
      </c>
      <c r="BT1008" t="s">
        <v>250</v>
      </c>
      <c r="BU1008" t="s">
        <v>273</v>
      </c>
      <c r="BV1008" t="b">
        <v>0</v>
      </c>
      <c r="BW1008" t="s">
        <v>268</v>
      </c>
    </row>
    <row r="1009" spans="1:75">
      <c r="A1009" t="s">
        <v>250</v>
      </c>
      <c r="B1009" t="s">
        <v>252</v>
      </c>
      <c r="C1009">
        <v>705</v>
      </c>
      <c r="D1009" t="s">
        <v>253</v>
      </c>
      <c r="E1009" t="s">
        <v>254</v>
      </c>
      <c r="F1009">
        <v>30</v>
      </c>
      <c r="G1009" s="13">
        <v>46267.752129629633</v>
      </c>
      <c r="H1009" s="13">
        <v>46267.752280092594</v>
      </c>
      <c r="I1009">
        <v>13</v>
      </c>
      <c r="J1009" t="s">
        <v>255</v>
      </c>
      <c r="K1009">
        <v>1</v>
      </c>
      <c r="L1009">
        <v>0.01</v>
      </c>
      <c r="M1009">
        <v>0.01</v>
      </c>
      <c r="N1009">
        <v>1</v>
      </c>
      <c r="O1009">
        <v>0.01</v>
      </c>
      <c r="P1009">
        <v>0.1</v>
      </c>
      <c r="Q1009">
        <v>0.82</v>
      </c>
      <c r="R1009">
        <v>0.81</v>
      </c>
      <c r="S1009" t="s">
        <v>256</v>
      </c>
      <c r="T1009" t="s">
        <v>257</v>
      </c>
      <c r="U1009">
        <v>10</v>
      </c>
      <c r="V1009">
        <v>5630.67</v>
      </c>
      <c r="W1009">
        <v>4999.8999999999996</v>
      </c>
      <c r="X1009">
        <v>4999.8999999999996</v>
      </c>
      <c r="Y1009">
        <v>0</v>
      </c>
      <c r="Z1009">
        <v>0</v>
      </c>
      <c r="AA1009">
        <v>35</v>
      </c>
      <c r="AB1009">
        <v>50</v>
      </c>
      <c r="AC1009">
        <v>5000</v>
      </c>
      <c r="AD1009">
        <v>0</v>
      </c>
      <c r="AE1009">
        <v>0</v>
      </c>
      <c r="AF1009">
        <v>5631.24</v>
      </c>
      <c r="AG1009">
        <v>5631.24</v>
      </c>
      <c r="AH1009" s="14">
        <v>46267</v>
      </c>
      <c r="AI1009" t="s">
        <v>272</v>
      </c>
      <c r="AJ1009" s="13">
        <v>46262.99790509259</v>
      </c>
      <c r="AK1009">
        <v>5509.79</v>
      </c>
      <c r="AL1009" t="s">
        <v>259</v>
      </c>
      <c r="AM1009" t="s">
        <v>260</v>
      </c>
      <c r="AN1009">
        <v>1400</v>
      </c>
      <c r="AO1009">
        <v>0</v>
      </c>
      <c r="AP1009">
        <v>35</v>
      </c>
      <c r="AQ1009">
        <v>85</v>
      </c>
      <c r="AR1009">
        <v>35</v>
      </c>
      <c r="AS1009">
        <v>2</v>
      </c>
      <c r="AT1009">
        <v>23</v>
      </c>
      <c r="AU1009">
        <v>1</v>
      </c>
      <c r="AV1009">
        <v>0</v>
      </c>
      <c r="AW1009">
        <v>10</v>
      </c>
      <c r="AX1009">
        <v>1</v>
      </c>
      <c r="AY1009">
        <v>5</v>
      </c>
      <c r="AZ1009">
        <v>2</v>
      </c>
      <c r="BA1009">
        <v>1</v>
      </c>
      <c r="BB1009">
        <v>1440</v>
      </c>
      <c r="BC1009">
        <v>0</v>
      </c>
      <c r="BD1009">
        <v>0</v>
      </c>
      <c r="BE1009">
        <v>14</v>
      </c>
      <c r="BF1009">
        <v>25</v>
      </c>
      <c r="BG1009">
        <v>3</v>
      </c>
      <c r="BH1009">
        <v>8</v>
      </c>
      <c r="BI1009">
        <v>3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0</v>
      </c>
      <c r="BQ1009">
        <v>60</v>
      </c>
      <c r="BR1009">
        <v>0</v>
      </c>
      <c r="BS1009">
        <v>3</v>
      </c>
      <c r="BT1009" t="s">
        <v>250</v>
      </c>
      <c r="BU1009" t="s">
        <v>273</v>
      </c>
      <c r="BV1009" t="b">
        <v>0</v>
      </c>
      <c r="BW1009" t="s">
        <v>268</v>
      </c>
    </row>
    <row r="1010" spans="1:75">
      <c r="A1010" t="s">
        <v>250</v>
      </c>
      <c r="B1010" t="s">
        <v>252</v>
      </c>
      <c r="C1010">
        <v>706</v>
      </c>
      <c r="D1010" t="s">
        <v>253</v>
      </c>
      <c r="E1010" t="s">
        <v>254</v>
      </c>
      <c r="F1010">
        <v>30</v>
      </c>
      <c r="G1010" s="13">
        <v>46267.773159722223</v>
      </c>
      <c r="H1010" s="13">
        <v>46267.862881944442</v>
      </c>
      <c r="I1010">
        <v>7752</v>
      </c>
      <c r="J1010" t="s">
        <v>255</v>
      </c>
      <c r="K1010">
        <v>5</v>
      </c>
      <c r="L1010">
        <v>0.05</v>
      </c>
      <c r="M1010">
        <v>0.01</v>
      </c>
      <c r="N1010">
        <v>5</v>
      </c>
      <c r="O1010">
        <v>0.05</v>
      </c>
      <c r="P1010">
        <v>24.56</v>
      </c>
      <c r="Q1010">
        <v>6.9</v>
      </c>
      <c r="R1010">
        <v>4.55</v>
      </c>
      <c r="S1010" t="s">
        <v>263</v>
      </c>
      <c r="T1010" t="s">
        <v>257</v>
      </c>
      <c r="U1010">
        <v>10</v>
      </c>
      <c r="V1010">
        <v>5631.07</v>
      </c>
      <c r="W1010">
        <v>4999.83</v>
      </c>
      <c r="X1010">
        <v>4975.4399999999996</v>
      </c>
      <c r="Y1010">
        <v>0</v>
      </c>
      <c r="Z1010">
        <v>0</v>
      </c>
      <c r="AA1010">
        <v>35</v>
      </c>
      <c r="AB1010">
        <v>50</v>
      </c>
      <c r="AC1010">
        <v>5000</v>
      </c>
      <c r="AD1010">
        <v>0</v>
      </c>
      <c r="AE1010">
        <v>0</v>
      </c>
      <c r="AF1010">
        <v>5635.88</v>
      </c>
      <c r="AG1010">
        <v>5635.88</v>
      </c>
      <c r="AH1010" s="14">
        <v>46267</v>
      </c>
      <c r="AI1010" t="s">
        <v>272</v>
      </c>
      <c r="AJ1010" s="13">
        <v>46262.99790509259</v>
      </c>
      <c r="AK1010">
        <v>5509.79</v>
      </c>
      <c r="AL1010" t="s">
        <v>259</v>
      </c>
      <c r="AM1010" t="s">
        <v>260</v>
      </c>
      <c r="AN1010">
        <v>1400</v>
      </c>
      <c r="AO1010">
        <v>0</v>
      </c>
      <c r="AP1010">
        <v>35</v>
      </c>
      <c r="AQ1010">
        <v>85</v>
      </c>
      <c r="AR1010">
        <v>35</v>
      </c>
      <c r="AS1010">
        <v>2</v>
      </c>
      <c r="AT1010">
        <v>23</v>
      </c>
      <c r="AU1010">
        <v>1</v>
      </c>
      <c r="AV1010">
        <v>0</v>
      </c>
      <c r="AW1010">
        <v>10</v>
      </c>
      <c r="AX1010">
        <v>1</v>
      </c>
      <c r="AY1010">
        <v>5</v>
      </c>
      <c r="AZ1010">
        <v>2</v>
      </c>
      <c r="BA1010">
        <v>1</v>
      </c>
      <c r="BB1010">
        <v>1440</v>
      </c>
      <c r="BC1010">
        <v>0</v>
      </c>
      <c r="BD1010">
        <v>0</v>
      </c>
      <c r="BE1010">
        <v>14</v>
      </c>
      <c r="BF1010">
        <v>25</v>
      </c>
      <c r="BG1010">
        <v>3</v>
      </c>
      <c r="BH1010">
        <v>8</v>
      </c>
      <c r="BI1010">
        <v>3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0</v>
      </c>
      <c r="BQ1010">
        <v>60</v>
      </c>
      <c r="BR1010">
        <v>0</v>
      </c>
      <c r="BS1010">
        <v>3</v>
      </c>
      <c r="BT1010" t="s">
        <v>250</v>
      </c>
      <c r="BU1010" t="s">
        <v>273</v>
      </c>
      <c r="BV1010" t="b">
        <v>0</v>
      </c>
      <c r="BW1010" t="s">
        <v>268</v>
      </c>
    </row>
    <row r="1011" spans="1:75">
      <c r="A1011" t="s">
        <v>250</v>
      </c>
      <c r="B1011" t="s">
        <v>252</v>
      </c>
      <c r="C1011">
        <v>707</v>
      </c>
      <c r="D1011" t="s">
        <v>253</v>
      </c>
      <c r="E1011" t="s">
        <v>254</v>
      </c>
      <c r="F1011">
        <v>30</v>
      </c>
      <c r="G1011" s="13">
        <v>46267.875625000001</v>
      </c>
      <c r="H1011" s="13">
        <v>46267.875740740739</v>
      </c>
      <c r="I1011">
        <v>10</v>
      </c>
      <c r="J1011" t="s">
        <v>264</v>
      </c>
      <c r="K1011">
        <v>1</v>
      </c>
      <c r="L1011">
        <v>0.01</v>
      </c>
      <c r="M1011">
        <v>0.01</v>
      </c>
      <c r="N1011">
        <v>1</v>
      </c>
      <c r="O1011">
        <v>0.01</v>
      </c>
      <c r="P1011">
        <v>0.22</v>
      </c>
      <c r="Q1011">
        <v>0.99</v>
      </c>
      <c r="R1011">
        <v>0.68</v>
      </c>
      <c r="S1011" t="s">
        <v>256</v>
      </c>
      <c r="T1011" t="s">
        <v>257</v>
      </c>
      <c r="U1011">
        <v>10</v>
      </c>
      <c r="V1011">
        <v>5635.72</v>
      </c>
      <c r="W1011">
        <v>4999.84</v>
      </c>
      <c r="X1011">
        <v>4999.78</v>
      </c>
      <c r="Y1011">
        <v>0</v>
      </c>
      <c r="Z1011">
        <v>0</v>
      </c>
      <c r="AA1011">
        <v>35</v>
      </c>
      <c r="AB1011">
        <v>50</v>
      </c>
      <c r="AC1011">
        <v>5000</v>
      </c>
      <c r="AD1011">
        <v>0</v>
      </c>
      <c r="AE1011">
        <v>0</v>
      </c>
      <c r="AF1011">
        <v>5636.52</v>
      </c>
      <c r="AG1011">
        <v>5636.52</v>
      </c>
      <c r="AH1011" s="14">
        <v>46267</v>
      </c>
      <c r="AI1011" t="s">
        <v>272</v>
      </c>
      <c r="AJ1011" s="13">
        <v>46262.99790509259</v>
      </c>
      <c r="AK1011">
        <v>5509.79</v>
      </c>
      <c r="AL1011" t="s">
        <v>259</v>
      </c>
      <c r="AM1011" t="s">
        <v>260</v>
      </c>
      <c r="AN1011">
        <v>1400</v>
      </c>
      <c r="AO1011">
        <v>0</v>
      </c>
      <c r="AP1011">
        <v>35</v>
      </c>
      <c r="AQ1011">
        <v>85</v>
      </c>
      <c r="AR1011">
        <v>35</v>
      </c>
      <c r="AS1011">
        <v>2</v>
      </c>
      <c r="AT1011">
        <v>23</v>
      </c>
      <c r="AU1011">
        <v>1</v>
      </c>
      <c r="AV1011">
        <v>0</v>
      </c>
      <c r="AW1011">
        <v>10</v>
      </c>
      <c r="AX1011">
        <v>1</v>
      </c>
      <c r="AY1011">
        <v>5</v>
      </c>
      <c r="AZ1011">
        <v>2</v>
      </c>
      <c r="BA1011">
        <v>1</v>
      </c>
      <c r="BB1011">
        <v>1440</v>
      </c>
      <c r="BC1011">
        <v>0</v>
      </c>
      <c r="BD1011">
        <v>0</v>
      </c>
      <c r="BE1011">
        <v>14</v>
      </c>
      <c r="BF1011">
        <v>25</v>
      </c>
      <c r="BG1011">
        <v>3</v>
      </c>
      <c r="BH1011">
        <v>8</v>
      </c>
      <c r="BI1011">
        <v>3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0</v>
      </c>
      <c r="BQ1011">
        <v>60</v>
      </c>
      <c r="BR1011">
        <v>0</v>
      </c>
      <c r="BS1011">
        <v>3</v>
      </c>
      <c r="BT1011" t="s">
        <v>250</v>
      </c>
      <c r="BU1011" t="s">
        <v>273</v>
      </c>
      <c r="BV1011" t="b">
        <v>0</v>
      </c>
      <c r="BW1011" t="s">
        <v>268</v>
      </c>
    </row>
    <row r="1012" spans="1:75">
      <c r="A1012" t="s">
        <v>250</v>
      </c>
      <c r="B1012" t="s">
        <v>252</v>
      </c>
      <c r="C1012">
        <v>708</v>
      </c>
      <c r="D1012" t="s">
        <v>253</v>
      </c>
      <c r="E1012" t="s">
        <v>254</v>
      </c>
      <c r="F1012">
        <v>30</v>
      </c>
      <c r="G1012" s="13">
        <v>46267.897939814815</v>
      </c>
      <c r="H1012" s="13">
        <v>46267.898622685185</v>
      </c>
      <c r="I1012">
        <v>59</v>
      </c>
      <c r="J1012" t="s">
        <v>255</v>
      </c>
      <c r="K1012">
        <v>1</v>
      </c>
      <c r="L1012">
        <v>0.01</v>
      </c>
      <c r="M1012">
        <v>0.01</v>
      </c>
      <c r="N1012">
        <v>1</v>
      </c>
      <c r="O1012">
        <v>0.01</v>
      </c>
      <c r="P1012">
        <v>0.32</v>
      </c>
      <c r="Q1012">
        <v>1.27</v>
      </c>
      <c r="R1012">
        <v>0.93</v>
      </c>
      <c r="S1012" t="s">
        <v>256</v>
      </c>
      <c r="T1012" t="s">
        <v>257</v>
      </c>
      <c r="U1012">
        <v>10</v>
      </c>
      <c r="V1012">
        <v>5636.35</v>
      </c>
      <c r="W1012">
        <v>4999.83</v>
      </c>
      <c r="X1012">
        <v>4999.68</v>
      </c>
      <c r="Y1012">
        <v>0</v>
      </c>
      <c r="Z1012">
        <v>0</v>
      </c>
      <c r="AA1012">
        <v>35</v>
      </c>
      <c r="AB1012">
        <v>50</v>
      </c>
      <c r="AC1012">
        <v>5000</v>
      </c>
      <c r="AD1012">
        <v>0</v>
      </c>
      <c r="AE1012">
        <v>0</v>
      </c>
      <c r="AF1012">
        <v>5637.44</v>
      </c>
      <c r="AG1012">
        <v>5637.44</v>
      </c>
      <c r="AH1012" s="14">
        <v>46267</v>
      </c>
      <c r="AI1012" t="s">
        <v>272</v>
      </c>
      <c r="AJ1012" s="13">
        <v>46262.99790509259</v>
      </c>
      <c r="AK1012">
        <v>5509.79</v>
      </c>
      <c r="AL1012" t="s">
        <v>259</v>
      </c>
      <c r="AM1012" t="s">
        <v>260</v>
      </c>
      <c r="AN1012">
        <v>1400</v>
      </c>
      <c r="AO1012">
        <v>0</v>
      </c>
      <c r="AP1012">
        <v>35</v>
      </c>
      <c r="AQ1012">
        <v>85</v>
      </c>
      <c r="AR1012">
        <v>35</v>
      </c>
      <c r="AS1012">
        <v>2</v>
      </c>
      <c r="AT1012">
        <v>23</v>
      </c>
      <c r="AU1012">
        <v>1</v>
      </c>
      <c r="AV1012">
        <v>0</v>
      </c>
      <c r="AW1012">
        <v>10</v>
      </c>
      <c r="AX1012">
        <v>1</v>
      </c>
      <c r="AY1012">
        <v>5</v>
      </c>
      <c r="AZ1012">
        <v>2</v>
      </c>
      <c r="BA1012">
        <v>1</v>
      </c>
      <c r="BB1012">
        <v>1440</v>
      </c>
      <c r="BC1012">
        <v>0</v>
      </c>
      <c r="BD1012">
        <v>0</v>
      </c>
      <c r="BE1012">
        <v>14</v>
      </c>
      <c r="BF1012">
        <v>25</v>
      </c>
      <c r="BG1012">
        <v>3</v>
      </c>
      <c r="BH1012">
        <v>8</v>
      </c>
      <c r="BI1012">
        <v>3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0</v>
      </c>
      <c r="BQ1012">
        <v>60</v>
      </c>
      <c r="BR1012">
        <v>0</v>
      </c>
      <c r="BS1012">
        <v>3</v>
      </c>
      <c r="BT1012" t="s">
        <v>250</v>
      </c>
      <c r="BU1012" t="s">
        <v>273</v>
      </c>
      <c r="BV1012" t="b">
        <v>0</v>
      </c>
      <c r="BW1012" t="s">
        <v>268</v>
      </c>
    </row>
    <row r="1013" spans="1:75">
      <c r="A1013" t="s">
        <v>250</v>
      </c>
      <c r="B1013" t="s">
        <v>252</v>
      </c>
      <c r="C1013">
        <v>709</v>
      </c>
      <c r="D1013" t="s">
        <v>253</v>
      </c>
      <c r="E1013" t="s">
        <v>254</v>
      </c>
      <c r="F1013">
        <v>30</v>
      </c>
      <c r="G1013" s="13">
        <v>46267.919849537036</v>
      </c>
      <c r="H1013" s="13">
        <v>46267.921782407408</v>
      </c>
      <c r="I1013">
        <v>167</v>
      </c>
      <c r="J1013" t="s">
        <v>255</v>
      </c>
      <c r="K1013">
        <v>1</v>
      </c>
      <c r="L1013">
        <v>0.01</v>
      </c>
      <c r="M1013">
        <v>0.01</v>
      </c>
      <c r="N1013">
        <v>1</v>
      </c>
      <c r="O1013">
        <v>0.01</v>
      </c>
      <c r="P1013">
        <v>0.49</v>
      </c>
      <c r="Q1013">
        <v>1.39</v>
      </c>
      <c r="R1013">
        <v>1.1200000000000001</v>
      </c>
      <c r="S1013" t="s">
        <v>256</v>
      </c>
      <c r="T1013" t="s">
        <v>257</v>
      </c>
      <c r="U1013">
        <v>10</v>
      </c>
      <c r="V1013">
        <v>5637.27</v>
      </c>
      <c r="W1013">
        <v>4999.83</v>
      </c>
      <c r="X1013">
        <v>4999.51</v>
      </c>
      <c r="Y1013">
        <v>0</v>
      </c>
      <c r="Z1013">
        <v>0</v>
      </c>
      <c r="AA1013">
        <v>35</v>
      </c>
      <c r="AB1013">
        <v>50</v>
      </c>
      <c r="AC1013">
        <v>5000</v>
      </c>
      <c r="AD1013">
        <v>0</v>
      </c>
      <c r="AE1013">
        <v>0</v>
      </c>
      <c r="AF1013">
        <v>5638.48</v>
      </c>
      <c r="AG1013">
        <v>5638.48</v>
      </c>
      <c r="AH1013" s="14">
        <v>46267</v>
      </c>
      <c r="AI1013" t="s">
        <v>272</v>
      </c>
      <c r="AJ1013" s="13">
        <v>46262.99790509259</v>
      </c>
      <c r="AK1013">
        <v>5509.79</v>
      </c>
      <c r="AL1013" t="s">
        <v>259</v>
      </c>
      <c r="AM1013" t="s">
        <v>260</v>
      </c>
      <c r="AN1013">
        <v>1400</v>
      </c>
      <c r="AO1013">
        <v>0</v>
      </c>
      <c r="AP1013">
        <v>35</v>
      </c>
      <c r="AQ1013">
        <v>85</v>
      </c>
      <c r="AR1013">
        <v>35</v>
      </c>
      <c r="AS1013">
        <v>2</v>
      </c>
      <c r="AT1013">
        <v>23</v>
      </c>
      <c r="AU1013">
        <v>1</v>
      </c>
      <c r="AV1013">
        <v>0</v>
      </c>
      <c r="AW1013">
        <v>10</v>
      </c>
      <c r="AX1013">
        <v>1</v>
      </c>
      <c r="AY1013">
        <v>5</v>
      </c>
      <c r="AZ1013">
        <v>2</v>
      </c>
      <c r="BA1013">
        <v>1</v>
      </c>
      <c r="BB1013">
        <v>1440</v>
      </c>
      <c r="BC1013">
        <v>0</v>
      </c>
      <c r="BD1013">
        <v>0</v>
      </c>
      <c r="BE1013">
        <v>14</v>
      </c>
      <c r="BF1013">
        <v>25</v>
      </c>
      <c r="BG1013">
        <v>3</v>
      </c>
      <c r="BH1013">
        <v>8</v>
      </c>
      <c r="BI1013">
        <v>3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0</v>
      </c>
      <c r="BQ1013">
        <v>60</v>
      </c>
      <c r="BR1013">
        <v>0</v>
      </c>
      <c r="BS1013">
        <v>3</v>
      </c>
      <c r="BT1013" t="s">
        <v>250</v>
      </c>
      <c r="BU1013" t="s">
        <v>273</v>
      </c>
      <c r="BV1013" t="b">
        <v>0</v>
      </c>
      <c r="BW1013" t="s">
        <v>268</v>
      </c>
    </row>
    <row r="1014" spans="1:75">
      <c r="A1014" t="s">
        <v>250</v>
      </c>
      <c r="B1014" t="s">
        <v>252</v>
      </c>
      <c r="C1014">
        <v>710</v>
      </c>
      <c r="D1014" t="s">
        <v>253</v>
      </c>
      <c r="E1014" t="s">
        <v>254</v>
      </c>
      <c r="F1014">
        <v>30</v>
      </c>
      <c r="G1014" s="13">
        <v>46267.944756944446</v>
      </c>
      <c r="H1014" s="13">
        <v>46267.94734953704</v>
      </c>
      <c r="I1014">
        <v>224</v>
      </c>
      <c r="J1014" t="s">
        <v>255</v>
      </c>
      <c r="K1014">
        <v>1</v>
      </c>
      <c r="L1014">
        <v>0.01</v>
      </c>
      <c r="M1014">
        <v>0.01</v>
      </c>
      <c r="N1014">
        <v>1</v>
      </c>
      <c r="O1014">
        <v>0.01</v>
      </c>
      <c r="P1014">
        <v>0.81</v>
      </c>
      <c r="Q1014">
        <v>2.35</v>
      </c>
      <c r="R1014">
        <v>2</v>
      </c>
      <c r="S1014" t="s">
        <v>256</v>
      </c>
      <c r="T1014" t="s">
        <v>257</v>
      </c>
      <c r="U1014">
        <v>11</v>
      </c>
      <c r="V1014">
        <v>5638.32</v>
      </c>
      <c r="W1014">
        <v>4999.84</v>
      </c>
      <c r="X1014">
        <v>4999.1899999999996</v>
      </c>
      <c r="Y1014">
        <v>0</v>
      </c>
      <c r="Z1014">
        <v>0</v>
      </c>
      <c r="AA1014">
        <v>35</v>
      </c>
      <c r="AB1014">
        <v>50</v>
      </c>
      <c r="AC1014">
        <v>5000</v>
      </c>
      <c r="AD1014">
        <v>0</v>
      </c>
      <c r="AE1014">
        <v>0</v>
      </c>
      <c r="AF1014">
        <v>5640.48</v>
      </c>
      <c r="AG1014">
        <v>5640.48</v>
      </c>
      <c r="AH1014" s="14">
        <v>46267</v>
      </c>
      <c r="AI1014" t="s">
        <v>272</v>
      </c>
      <c r="AJ1014" s="13">
        <v>46262.99790509259</v>
      </c>
      <c r="AK1014">
        <v>5509.79</v>
      </c>
      <c r="AL1014" t="s">
        <v>259</v>
      </c>
      <c r="AM1014" t="s">
        <v>260</v>
      </c>
      <c r="AN1014">
        <v>1400</v>
      </c>
      <c r="AO1014">
        <v>0</v>
      </c>
      <c r="AP1014">
        <v>35</v>
      </c>
      <c r="AQ1014">
        <v>85</v>
      </c>
      <c r="AR1014">
        <v>35</v>
      </c>
      <c r="AS1014">
        <v>2</v>
      </c>
      <c r="AT1014">
        <v>23</v>
      </c>
      <c r="AU1014">
        <v>1</v>
      </c>
      <c r="AV1014">
        <v>0</v>
      </c>
      <c r="AW1014">
        <v>10</v>
      </c>
      <c r="AX1014">
        <v>1</v>
      </c>
      <c r="AY1014">
        <v>5</v>
      </c>
      <c r="AZ1014">
        <v>2</v>
      </c>
      <c r="BA1014">
        <v>1</v>
      </c>
      <c r="BB1014">
        <v>1440</v>
      </c>
      <c r="BC1014">
        <v>0</v>
      </c>
      <c r="BD1014">
        <v>0</v>
      </c>
      <c r="BE1014">
        <v>14</v>
      </c>
      <c r="BF1014">
        <v>25</v>
      </c>
      <c r="BG1014">
        <v>3</v>
      </c>
      <c r="BH1014">
        <v>8</v>
      </c>
      <c r="BI1014">
        <v>3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0</v>
      </c>
      <c r="BQ1014">
        <v>60</v>
      </c>
      <c r="BR1014">
        <v>0</v>
      </c>
      <c r="BS1014">
        <v>3</v>
      </c>
      <c r="BT1014" t="s">
        <v>250</v>
      </c>
      <c r="BU1014" t="s">
        <v>273</v>
      </c>
      <c r="BV1014" t="b">
        <v>0</v>
      </c>
      <c r="BW1014" t="s">
        <v>268</v>
      </c>
    </row>
    <row r="1015" spans="1:75">
      <c r="A1015" t="s">
        <v>250</v>
      </c>
      <c r="B1015" t="s">
        <v>252</v>
      </c>
      <c r="C1015">
        <v>711</v>
      </c>
      <c r="D1015" t="s">
        <v>253</v>
      </c>
      <c r="E1015" t="s">
        <v>254</v>
      </c>
      <c r="F1015">
        <v>30</v>
      </c>
      <c r="G1015" s="13">
        <v>46267.96471064815</v>
      </c>
      <c r="H1015" s="13">
        <v>46267.968773148146</v>
      </c>
      <c r="I1015">
        <v>351</v>
      </c>
      <c r="J1015" t="s">
        <v>264</v>
      </c>
      <c r="K1015">
        <v>1</v>
      </c>
      <c r="L1015">
        <v>0.01</v>
      </c>
      <c r="M1015">
        <v>0.01</v>
      </c>
      <c r="N1015">
        <v>1</v>
      </c>
      <c r="O1015">
        <v>0.01</v>
      </c>
      <c r="P1015">
        <v>0.76</v>
      </c>
      <c r="Q1015">
        <v>1.87</v>
      </c>
      <c r="R1015">
        <v>1.58</v>
      </c>
      <c r="S1015" t="s">
        <v>256</v>
      </c>
      <c r="T1015" t="s">
        <v>257</v>
      </c>
      <c r="U1015">
        <v>10</v>
      </c>
      <c r="V1015">
        <v>5640.31</v>
      </c>
      <c r="W1015">
        <v>4999.83</v>
      </c>
      <c r="X1015">
        <v>4999.24</v>
      </c>
      <c r="Y1015">
        <v>0</v>
      </c>
      <c r="Z1015">
        <v>0</v>
      </c>
      <c r="AA1015">
        <v>35</v>
      </c>
      <c r="AB1015">
        <v>50</v>
      </c>
      <c r="AC1015">
        <v>5000</v>
      </c>
      <c r="AD1015">
        <v>0</v>
      </c>
      <c r="AE1015">
        <v>0</v>
      </c>
      <c r="AF1015">
        <v>5642</v>
      </c>
      <c r="AG1015">
        <v>5642</v>
      </c>
      <c r="AH1015" s="14">
        <v>46267</v>
      </c>
      <c r="AI1015" t="s">
        <v>272</v>
      </c>
      <c r="AJ1015" s="13">
        <v>46262.99790509259</v>
      </c>
      <c r="AK1015">
        <v>5509.79</v>
      </c>
      <c r="AL1015" t="s">
        <v>259</v>
      </c>
      <c r="AM1015" t="s">
        <v>260</v>
      </c>
      <c r="AN1015">
        <v>1400</v>
      </c>
      <c r="AO1015">
        <v>0</v>
      </c>
      <c r="AP1015">
        <v>35</v>
      </c>
      <c r="AQ1015">
        <v>85</v>
      </c>
      <c r="AR1015">
        <v>35</v>
      </c>
      <c r="AS1015">
        <v>2</v>
      </c>
      <c r="AT1015">
        <v>23</v>
      </c>
      <c r="AU1015">
        <v>1</v>
      </c>
      <c r="AV1015">
        <v>0</v>
      </c>
      <c r="AW1015">
        <v>10</v>
      </c>
      <c r="AX1015">
        <v>1</v>
      </c>
      <c r="AY1015">
        <v>5</v>
      </c>
      <c r="AZ1015">
        <v>2</v>
      </c>
      <c r="BA1015">
        <v>1</v>
      </c>
      <c r="BB1015">
        <v>1440</v>
      </c>
      <c r="BC1015">
        <v>0</v>
      </c>
      <c r="BD1015">
        <v>0</v>
      </c>
      <c r="BE1015">
        <v>14</v>
      </c>
      <c r="BF1015">
        <v>25</v>
      </c>
      <c r="BG1015">
        <v>3</v>
      </c>
      <c r="BH1015">
        <v>8</v>
      </c>
      <c r="BI1015">
        <v>3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0</v>
      </c>
      <c r="BQ1015">
        <v>60</v>
      </c>
      <c r="BR1015">
        <v>0</v>
      </c>
      <c r="BS1015">
        <v>3</v>
      </c>
      <c r="BT1015" t="s">
        <v>250</v>
      </c>
      <c r="BU1015" t="s">
        <v>273</v>
      </c>
      <c r="BV1015" t="b">
        <v>0</v>
      </c>
      <c r="BW1015" t="s">
        <v>268</v>
      </c>
    </row>
    <row r="1016" spans="1:75">
      <c r="A1016" t="s">
        <v>250</v>
      </c>
      <c r="B1016" t="s">
        <v>252</v>
      </c>
      <c r="C1016">
        <v>712</v>
      </c>
      <c r="D1016" t="s">
        <v>253</v>
      </c>
      <c r="E1016" t="s">
        <v>254</v>
      </c>
      <c r="F1016">
        <v>30</v>
      </c>
      <c r="G1016" s="13">
        <v>46267.986932870372</v>
      </c>
      <c r="H1016" s="13">
        <v>46267.993715277778</v>
      </c>
      <c r="I1016">
        <v>586</v>
      </c>
      <c r="J1016" t="s">
        <v>255</v>
      </c>
      <c r="K1016">
        <v>1</v>
      </c>
      <c r="L1016">
        <v>0.01</v>
      </c>
      <c r="M1016">
        <v>0.01</v>
      </c>
      <c r="N1016">
        <v>1</v>
      </c>
      <c r="O1016">
        <v>0.01</v>
      </c>
      <c r="P1016">
        <v>1.61</v>
      </c>
      <c r="Q1016">
        <v>1.46</v>
      </c>
      <c r="R1016">
        <v>1.06</v>
      </c>
      <c r="S1016" t="s">
        <v>256</v>
      </c>
      <c r="T1016" t="s">
        <v>257</v>
      </c>
      <c r="U1016">
        <v>16</v>
      </c>
      <c r="V1016">
        <v>5641.79</v>
      </c>
      <c r="W1016">
        <v>4999.79</v>
      </c>
      <c r="X1016">
        <v>4998.3900000000003</v>
      </c>
      <c r="Y1016">
        <v>0</v>
      </c>
      <c r="Z1016">
        <v>0</v>
      </c>
      <c r="AA1016">
        <v>35</v>
      </c>
      <c r="AB1016">
        <v>50</v>
      </c>
      <c r="AC1016">
        <v>5000</v>
      </c>
      <c r="AD1016">
        <v>0</v>
      </c>
      <c r="AE1016">
        <v>0</v>
      </c>
      <c r="AF1016">
        <v>5643.1</v>
      </c>
      <c r="AG1016">
        <v>5643.1</v>
      </c>
      <c r="AH1016" s="14">
        <v>46267</v>
      </c>
      <c r="AI1016" t="s">
        <v>272</v>
      </c>
      <c r="AJ1016" s="13">
        <v>46262.99790509259</v>
      </c>
      <c r="AK1016">
        <v>5509.79</v>
      </c>
      <c r="AL1016" t="s">
        <v>259</v>
      </c>
      <c r="AM1016" t="s">
        <v>260</v>
      </c>
      <c r="AN1016">
        <v>1400</v>
      </c>
      <c r="AO1016">
        <v>0</v>
      </c>
      <c r="AP1016">
        <v>35</v>
      </c>
      <c r="AQ1016">
        <v>85</v>
      </c>
      <c r="AR1016">
        <v>35</v>
      </c>
      <c r="AS1016">
        <v>2</v>
      </c>
      <c r="AT1016">
        <v>23</v>
      </c>
      <c r="AU1016">
        <v>1</v>
      </c>
      <c r="AV1016">
        <v>0</v>
      </c>
      <c r="AW1016">
        <v>10</v>
      </c>
      <c r="AX1016">
        <v>1</v>
      </c>
      <c r="AY1016">
        <v>5</v>
      </c>
      <c r="AZ1016">
        <v>2</v>
      </c>
      <c r="BA1016">
        <v>1</v>
      </c>
      <c r="BB1016">
        <v>1440</v>
      </c>
      <c r="BC1016">
        <v>0</v>
      </c>
      <c r="BD1016">
        <v>0</v>
      </c>
      <c r="BE1016">
        <v>14</v>
      </c>
      <c r="BF1016">
        <v>25</v>
      </c>
      <c r="BG1016">
        <v>3</v>
      </c>
      <c r="BH1016">
        <v>8</v>
      </c>
      <c r="BI1016">
        <v>3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0</v>
      </c>
      <c r="BQ1016">
        <v>60</v>
      </c>
      <c r="BR1016">
        <v>0</v>
      </c>
      <c r="BS1016">
        <v>3</v>
      </c>
      <c r="BT1016" t="s">
        <v>250</v>
      </c>
      <c r="BU1016" t="s">
        <v>273</v>
      </c>
      <c r="BV1016" t="b">
        <v>0</v>
      </c>
      <c r="BW1016" t="s">
        <v>268</v>
      </c>
    </row>
    <row r="1017" spans="1:75">
      <c r="A1017" t="s">
        <v>250</v>
      </c>
      <c r="B1017" t="s">
        <v>252</v>
      </c>
      <c r="C1017">
        <v>713</v>
      </c>
      <c r="D1017" t="s">
        <v>253</v>
      </c>
      <c r="E1017" t="s">
        <v>254</v>
      </c>
      <c r="F1017">
        <v>30</v>
      </c>
      <c r="G1017" s="13">
        <v>46268.094780092593</v>
      </c>
      <c r="H1017" s="13">
        <v>46268.100416666668</v>
      </c>
      <c r="I1017">
        <v>487</v>
      </c>
      <c r="J1017" t="s">
        <v>264</v>
      </c>
      <c r="K1017">
        <v>1</v>
      </c>
      <c r="L1017">
        <v>0.01</v>
      </c>
      <c r="M1017">
        <v>0.01</v>
      </c>
      <c r="N1017">
        <v>1</v>
      </c>
      <c r="O1017">
        <v>0.01</v>
      </c>
      <c r="P1017">
        <v>0.25</v>
      </c>
      <c r="Q1017">
        <v>0.86</v>
      </c>
      <c r="R1017">
        <v>0.57999999999999996</v>
      </c>
      <c r="S1017" t="s">
        <v>256</v>
      </c>
      <c r="T1017" t="s">
        <v>257</v>
      </c>
      <c r="U1017">
        <v>10</v>
      </c>
      <c r="V1017">
        <v>5642.93</v>
      </c>
      <c r="W1017">
        <v>4999.83</v>
      </c>
      <c r="X1017">
        <v>4999.75</v>
      </c>
      <c r="Y1017">
        <v>0</v>
      </c>
      <c r="Z1017">
        <v>0</v>
      </c>
      <c r="AA1017">
        <v>35</v>
      </c>
      <c r="AB1017">
        <v>50</v>
      </c>
      <c r="AC1017">
        <v>5000</v>
      </c>
      <c r="AD1017">
        <v>0</v>
      </c>
      <c r="AE1017">
        <v>0</v>
      </c>
      <c r="AF1017">
        <v>5643.6</v>
      </c>
      <c r="AG1017">
        <v>5643.6</v>
      </c>
      <c r="AH1017" s="14">
        <v>46268</v>
      </c>
      <c r="AI1017" t="s">
        <v>272</v>
      </c>
      <c r="AJ1017" s="13">
        <v>46262.99790509259</v>
      </c>
      <c r="AK1017">
        <v>5509.79</v>
      </c>
      <c r="AL1017" t="s">
        <v>259</v>
      </c>
      <c r="AM1017" t="s">
        <v>260</v>
      </c>
      <c r="AN1017">
        <v>1400</v>
      </c>
      <c r="AO1017">
        <v>0</v>
      </c>
      <c r="AP1017">
        <v>35</v>
      </c>
      <c r="AQ1017">
        <v>85</v>
      </c>
      <c r="AR1017">
        <v>35</v>
      </c>
      <c r="AS1017">
        <v>2</v>
      </c>
      <c r="AT1017">
        <v>23</v>
      </c>
      <c r="AU1017">
        <v>1</v>
      </c>
      <c r="AV1017">
        <v>0</v>
      </c>
      <c r="AW1017">
        <v>10</v>
      </c>
      <c r="AX1017">
        <v>1</v>
      </c>
      <c r="AY1017">
        <v>5</v>
      </c>
      <c r="AZ1017">
        <v>2</v>
      </c>
      <c r="BA1017">
        <v>1</v>
      </c>
      <c r="BB1017">
        <v>1440</v>
      </c>
      <c r="BC1017">
        <v>0</v>
      </c>
      <c r="BD1017">
        <v>0</v>
      </c>
      <c r="BE1017">
        <v>14</v>
      </c>
      <c r="BF1017">
        <v>25</v>
      </c>
      <c r="BG1017">
        <v>3</v>
      </c>
      <c r="BH1017">
        <v>8</v>
      </c>
      <c r="BI1017">
        <v>3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0</v>
      </c>
      <c r="BQ1017">
        <v>60</v>
      </c>
      <c r="BR1017">
        <v>0</v>
      </c>
      <c r="BS1017">
        <v>3</v>
      </c>
      <c r="BT1017" t="s">
        <v>250</v>
      </c>
      <c r="BU1017" t="s">
        <v>273</v>
      </c>
      <c r="BV1017" t="b">
        <v>0</v>
      </c>
      <c r="BW1017" t="s">
        <v>268</v>
      </c>
    </row>
    <row r="1018" spans="1:75">
      <c r="A1018" t="s">
        <v>250</v>
      </c>
      <c r="B1018" t="s">
        <v>252</v>
      </c>
      <c r="C1018">
        <v>714</v>
      </c>
      <c r="D1018" t="s">
        <v>253</v>
      </c>
      <c r="E1018" t="s">
        <v>254</v>
      </c>
      <c r="F1018">
        <v>30</v>
      </c>
      <c r="G1018" s="13">
        <v>46268.112673611111</v>
      </c>
      <c r="H1018" s="13">
        <v>46268.114861111113</v>
      </c>
      <c r="I1018">
        <v>189</v>
      </c>
      <c r="J1018" t="s">
        <v>255</v>
      </c>
      <c r="K1018">
        <v>1</v>
      </c>
      <c r="L1018">
        <v>0.01</v>
      </c>
      <c r="M1018">
        <v>0.01</v>
      </c>
      <c r="N1018">
        <v>1</v>
      </c>
      <c r="O1018">
        <v>0.01</v>
      </c>
      <c r="P1018">
        <v>1.06</v>
      </c>
      <c r="Q1018">
        <v>2.41</v>
      </c>
      <c r="R1018">
        <v>2.31</v>
      </c>
      <c r="S1018" t="s">
        <v>256</v>
      </c>
      <c r="T1018" t="s">
        <v>257</v>
      </c>
      <c r="U1018">
        <v>10</v>
      </c>
      <c r="V1018">
        <v>5643.43</v>
      </c>
      <c r="W1018">
        <v>4999.83</v>
      </c>
      <c r="X1018">
        <v>4998.9399999999996</v>
      </c>
      <c r="Y1018">
        <v>0</v>
      </c>
      <c r="Z1018">
        <v>0</v>
      </c>
      <c r="AA1018">
        <v>35</v>
      </c>
      <c r="AB1018">
        <v>50</v>
      </c>
      <c r="AC1018">
        <v>5000</v>
      </c>
      <c r="AD1018">
        <v>0</v>
      </c>
      <c r="AE1018">
        <v>0</v>
      </c>
      <c r="AF1018">
        <v>5645.66</v>
      </c>
      <c r="AG1018">
        <v>5645.66</v>
      </c>
      <c r="AH1018" s="14">
        <v>46268</v>
      </c>
      <c r="AI1018" t="s">
        <v>272</v>
      </c>
      <c r="AJ1018" s="13">
        <v>46262.99790509259</v>
      </c>
      <c r="AK1018">
        <v>5509.79</v>
      </c>
      <c r="AL1018" t="s">
        <v>259</v>
      </c>
      <c r="AM1018" t="s">
        <v>260</v>
      </c>
      <c r="AN1018">
        <v>1400</v>
      </c>
      <c r="AO1018">
        <v>0</v>
      </c>
      <c r="AP1018">
        <v>35</v>
      </c>
      <c r="AQ1018">
        <v>85</v>
      </c>
      <c r="AR1018">
        <v>35</v>
      </c>
      <c r="AS1018">
        <v>2</v>
      </c>
      <c r="AT1018">
        <v>23</v>
      </c>
      <c r="AU1018">
        <v>1</v>
      </c>
      <c r="AV1018">
        <v>0</v>
      </c>
      <c r="AW1018">
        <v>10</v>
      </c>
      <c r="AX1018">
        <v>1</v>
      </c>
      <c r="AY1018">
        <v>5</v>
      </c>
      <c r="AZ1018">
        <v>2</v>
      </c>
      <c r="BA1018">
        <v>1</v>
      </c>
      <c r="BB1018">
        <v>1440</v>
      </c>
      <c r="BC1018">
        <v>0</v>
      </c>
      <c r="BD1018">
        <v>0</v>
      </c>
      <c r="BE1018">
        <v>14</v>
      </c>
      <c r="BF1018">
        <v>25</v>
      </c>
      <c r="BG1018">
        <v>3</v>
      </c>
      <c r="BH1018">
        <v>8</v>
      </c>
      <c r="BI1018">
        <v>3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0</v>
      </c>
      <c r="BQ1018">
        <v>60</v>
      </c>
      <c r="BR1018">
        <v>0</v>
      </c>
      <c r="BS1018">
        <v>3</v>
      </c>
      <c r="BT1018" t="s">
        <v>250</v>
      </c>
      <c r="BU1018" t="s">
        <v>273</v>
      </c>
      <c r="BV1018" t="b">
        <v>0</v>
      </c>
      <c r="BW1018" t="s">
        <v>268</v>
      </c>
    </row>
    <row r="1019" spans="1:75">
      <c r="A1019" t="s">
        <v>250</v>
      </c>
      <c r="B1019" t="s">
        <v>252</v>
      </c>
      <c r="C1019">
        <v>715</v>
      </c>
      <c r="D1019" t="s">
        <v>253</v>
      </c>
      <c r="E1019" t="s">
        <v>254</v>
      </c>
      <c r="F1019">
        <v>30</v>
      </c>
      <c r="G1019" s="13">
        <v>46268.127824074072</v>
      </c>
      <c r="H1019" s="13">
        <v>46268.128148148149</v>
      </c>
      <c r="I1019">
        <v>28</v>
      </c>
      <c r="J1019" t="s">
        <v>255</v>
      </c>
      <c r="K1019">
        <v>1</v>
      </c>
      <c r="L1019">
        <v>0.01</v>
      </c>
      <c r="M1019">
        <v>0.01</v>
      </c>
      <c r="N1019">
        <v>1</v>
      </c>
      <c r="O1019">
        <v>0.01</v>
      </c>
      <c r="P1019">
        <v>0.56999999999999995</v>
      </c>
      <c r="Q1019">
        <v>1.07</v>
      </c>
      <c r="R1019">
        <v>0.78</v>
      </c>
      <c r="S1019" t="s">
        <v>256</v>
      </c>
      <c r="T1019" t="s">
        <v>257</v>
      </c>
      <c r="U1019">
        <v>10</v>
      </c>
      <c r="V1019">
        <v>5645.5</v>
      </c>
      <c r="W1019">
        <v>4999.84</v>
      </c>
      <c r="X1019">
        <v>4999.43</v>
      </c>
      <c r="Y1019">
        <v>0</v>
      </c>
      <c r="Z1019">
        <v>0</v>
      </c>
      <c r="AA1019">
        <v>35</v>
      </c>
      <c r="AB1019">
        <v>50</v>
      </c>
      <c r="AC1019">
        <v>5000</v>
      </c>
      <c r="AD1019">
        <v>0</v>
      </c>
      <c r="AE1019">
        <v>0</v>
      </c>
      <c r="AF1019">
        <v>5646.38</v>
      </c>
      <c r="AG1019">
        <v>5646.38</v>
      </c>
      <c r="AH1019" s="14">
        <v>46268</v>
      </c>
      <c r="AI1019" t="s">
        <v>272</v>
      </c>
      <c r="AJ1019" s="13">
        <v>46262.99790509259</v>
      </c>
      <c r="AK1019">
        <v>5509.79</v>
      </c>
      <c r="AL1019" t="s">
        <v>259</v>
      </c>
      <c r="AM1019" t="s">
        <v>260</v>
      </c>
      <c r="AN1019">
        <v>1400</v>
      </c>
      <c r="AO1019">
        <v>0</v>
      </c>
      <c r="AP1019">
        <v>35</v>
      </c>
      <c r="AQ1019">
        <v>85</v>
      </c>
      <c r="AR1019">
        <v>35</v>
      </c>
      <c r="AS1019">
        <v>2</v>
      </c>
      <c r="AT1019">
        <v>23</v>
      </c>
      <c r="AU1019">
        <v>1</v>
      </c>
      <c r="AV1019">
        <v>0</v>
      </c>
      <c r="AW1019">
        <v>10</v>
      </c>
      <c r="AX1019">
        <v>1</v>
      </c>
      <c r="AY1019">
        <v>5</v>
      </c>
      <c r="AZ1019">
        <v>2</v>
      </c>
      <c r="BA1019">
        <v>1</v>
      </c>
      <c r="BB1019">
        <v>1440</v>
      </c>
      <c r="BC1019">
        <v>0</v>
      </c>
      <c r="BD1019">
        <v>0</v>
      </c>
      <c r="BE1019">
        <v>14</v>
      </c>
      <c r="BF1019">
        <v>25</v>
      </c>
      <c r="BG1019">
        <v>3</v>
      </c>
      <c r="BH1019">
        <v>8</v>
      </c>
      <c r="BI1019">
        <v>3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0</v>
      </c>
      <c r="BQ1019">
        <v>60</v>
      </c>
      <c r="BR1019">
        <v>0</v>
      </c>
      <c r="BS1019">
        <v>3</v>
      </c>
      <c r="BT1019" t="s">
        <v>250</v>
      </c>
      <c r="BU1019" t="s">
        <v>273</v>
      </c>
      <c r="BV1019" t="b">
        <v>0</v>
      </c>
      <c r="BW1019" t="s">
        <v>268</v>
      </c>
    </row>
    <row r="1020" spans="1:75">
      <c r="A1020" t="s">
        <v>250</v>
      </c>
      <c r="B1020" t="s">
        <v>252</v>
      </c>
      <c r="C1020">
        <v>716</v>
      </c>
      <c r="D1020" t="s">
        <v>253</v>
      </c>
      <c r="E1020" t="s">
        <v>254</v>
      </c>
      <c r="F1020">
        <v>30</v>
      </c>
      <c r="G1020" s="13">
        <v>46268.148645833331</v>
      </c>
      <c r="H1020" s="13">
        <v>46268.149317129632</v>
      </c>
      <c r="I1020">
        <v>58</v>
      </c>
      <c r="J1020" t="s">
        <v>264</v>
      </c>
      <c r="K1020">
        <v>1</v>
      </c>
      <c r="L1020">
        <v>0.01</v>
      </c>
      <c r="M1020">
        <v>0.01</v>
      </c>
      <c r="N1020">
        <v>1</v>
      </c>
      <c r="O1020">
        <v>0.01</v>
      </c>
      <c r="P1020">
        <v>0.72</v>
      </c>
      <c r="Q1020">
        <v>1.03</v>
      </c>
      <c r="R1020">
        <v>0.75</v>
      </c>
      <c r="S1020" t="s">
        <v>256</v>
      </c>
      <c r="T1020" t="s">
        <v>257</v>
      </c>
      <c r="U1020">
        <v>11</v>
      </c>
      <c r="V1020">
        <v>5646.22</v>
      </c>
      <c r="W1020">
        <v>4999.84</v>
      </c>
      <c r="X1020">
        <v>4999.28</v>
      </c>
      <c r="Y1020">
        <v>0</v>
      </c>
      <c r="Z1020">
        <v>0</v>
      </c>
      <c r="AA1020">
        <v>35</v>
      </c>
      <c r="AB1020">
        <v>50</v>
      </c>
      <c r="AC1020">
        <v>5000</v>
      </c>
      <c r="AD1020">
        <v>0</v>
      </c>
      <c r="AE1020">
        <v>0</v>
      </c>
      <c r="AF1020">
        <v>5647.06</v>
      </c>
      <c r="AG1020">
        <v>5647.06</v>
      </c>
      <c r="AH1020" s="14">
        <v>46268</v>
      </c>
      <c r="AI1020" t="s">
        <v>272</v>
      </c>
      <c r="AJ1020" s="13">
        <v>46262.99790509259</v>
      </c>
      <c r="AK1020">
        <v>5509.79</v>
      </c>
      <c r="AL1020" t="s">
        <v>259</v>
      </c>
      <c r="AM1020" t="s">
        <v>260</v>
      </c>
      <c r="AN1020">
        <v>1400</v>
      </c>
      <c r="AO1020">
        <v>0</v>
      </c>
      <c r="AP1020">
        <v>35</v>
      </c>
      <c r="AQ1020">
        <v>85</v>
      </c>
      <c r="AR1020">
        <v>35</v>
      </c>
      <c r="AS1020">
        <v>2</v>
      </c>
      <c r="AT1020">
        <v>23</v>
      </c>
      <c r="AU1020">
        <v>1</v>
      </c>
      <c r="AV1020">
        <v>0</v>
      </c>
      <c r="AW1020">
        <v>10</v>
      </c>
      <c r="AX1020">
        <v>1</v>
      </c>
      <c r="AY1020">
        <v>5</v>
      </c>
      <c r="AZ1020">
        <v>2</v>
      </c>
      <c r="BA1020">
        <v>1</v>
      </c>
      <c r="BB1020">
        <v>1440</v>
      </c>
      <c r="BC1020">
        <v>0</v>
      </c>
      <c r="BD1020">
        <v>0</v>
      </c>
      <c r="BE1020">
        <v>14</v>
      </c>
      <c r="BF1020">
        <v>25</v>
      </c>
      <c r="BG1020">
        <v>3</v>
      </c>
      <c r="BH1020">
        <v>8</v>
      </c>
      <c r="BI1020">
        <v>3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0</v>
      </c>
      <c r="BQ1020">
        <v>60</v>
      </c>
      <c r="BR1020">
        <v>0</v>
      </c>
      <c r="BS1020">
        <v>3</v>
      </c>
      <c r="BT1020" t="s">
        <v>250</v>
      </c>
      <c r="BU1020" t="s">
        <v>273</v>
      </c>
      <c r="BV1020" t="b">
        <v>0</v>
      </c>
      <c r="BW1020" t="s">
        <v>268</v>
      </c>
    </row>
    <row r="1021" spans="1:75">
      <c r="A1021" t="s">
        <v>250</v>
      </c>
      <c r="B1021" t="s">
        <v>252</v>
      </c>
      <c r="C1021">
        <v>717</v>
      </c>
      <c r="D1021" t="s">
        <v>253</v>
      </c>
      <c r="E1021" t="s">
        <v>254</v>
      </c>
      <c r="F1021">
        <v>30</v>
      </c>
      <c r="G1021" s="13">
        <v>46268.166689814818</v>
      </c>
      <c r="H1021" s="13">
        <v>46268.166805555556</v>
      </c>
      <c r="I1021">
        <v>10</v>
      </c>
      <c r="J1021" t="s">
        <v>264</v>
      </c>
      <c r="K1021">
        <v>1</v>
      </c>
      <c r="L1021">
        <v>0.01</v>
      </c>
      <c r="M1021">
        <v>0.01</v>
      </c>
      <c r="N1021">
        <v>1</v>
      </c>
      <c r="O1021">
        <v>0.01</v>
      </c>
      <c r="P1021">
        <v>1.46</v>
      </c>
      <c r="Q1021">
        <v>1.43</v>
      </c>
      <c r="R1021">
        <v>1.26</v>
      </c>
      <c r="S1021" t="s">
        <v>256</v>
      </c>
      <c r="T1021" t="s">
        <v>257</v>
      </c>
      <c r="U1021">
        <v>15</v>
      </c>
      <c r="V1021">
        <v>5646.85</v>
      </c>
      <c r="W1021">
        <v>4999.79</v>
      </c>
      <c r="X1021">
        <v>4998.54</v>
      </c>
      <c r="Y1021">
        <v>0</v>
      </c>
      <c r="Z1021">
        <v>0</v>
      </c>
      <c r="AA1021">
        <v>35</v>
      </c>
      <c r="AB1021">
        <v>50</v>
      </c>
      <c r="AC1021">
        <v>5000</v>
      </c>
      <c r="AD1021">
        <v>0</v>
      </c>
      <c r="AE1021">
        <v>0</v>
      </c>
      <c r="AF1021">
        <v>5648.14</v>
      </c>
      <c r="AG1021">
        <v>5648.14</v>
      </c>
      <c r="AH1021" s="14">
        <v>46268</v>
      </c>
      <c r="AI1021" t="s">
        <v>272</v>
      </c>
      <c r="AJ1021" s="13">
        <v>46262.99790509259</v>
      </c>
      <c r="AK1021">
        <v>5509.79</v>
      </c>
      <c r="AL1021" t="s">
        <v>259</v>
      </c>
      <c r="AM1021" t="s">
        <v>260</v>
      </c>
      <c r="AN1021">
        <v>1400</v>
      </c>
      <c r="AO1021">
        <v>0</v>
      </c>
      <c r="AP1021">
        <v>35</v>
      </c>
      <c r="AQ1021">
        <v>85</v>
      </c>
      <c r="AR1021">
        <v>35</v>
      </c>
      <c r="AS1021">
        <v>2</v>
      </c>
      <c r="AT1021">
        <v>23</v>
      </c>
      <c r="AU1021">
        <v>1</v>
      </c>
      <c r="AV1021">
        <v>0</v>
      </c>
      <c r="AW1021">
        <v>10</v>
      </c>
      <c r="AX1021">
        <v>1</v>
      </c>
      <c r="AY1021">
        <v>5</v>
      </c>
      <c r="AZ1021">
        <v>2</v>
      </c>
      <c r="BA1021">
        <v>1</v>
      </c>
      <c r="BB1021">
        <v>1440</v>
      </c>
      <c r="BC1021">
        <v>0</v>
      </c>
      <c r="BD1021">
        <v>0</v>
      </c>
      <c r="BE1021">
        <v>14</v>
      </c>
      <c r="BF1021">
        <v>25</v>
      </c>
      <c r="BG1021">
        <v>3</v>
      </c>
      <c r="BH1021">
        <v>8</v>
      </c>
      <c r="BI1021">
        <v>3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0</v>
      </c>
      <c r="BQ1021">
        <v>60</v>
      </c>
      <c r="BR1021">
        <v>0</v>
      </c>
      <c r="BS1021">
        <v>3</v>
      </c>
      <c r="BT1021" t="s">
        <v>250</v>
      </c>
      <c r="BU1021" t="s">
        <v>273</v>
      </c>
      <c r="BV1021" t="b">
        <v>0</v>
      </c>
      <c r="BW1021" t="s">
        <v>268</v>
      </c>
    </row>
    <row r="1022" spans="1:75">
      <c r="A1022" t="s">
        <v>250</v>
      </c>
      <c r="B1022" t="s">
        <v>252</v>
      </c>
      <c r="C1022">
        <v>718</v>
      </c>
      <c r="D1022" t="s">
        <v>253</v>
      </c>
      <c r="E1022" t="s">
        <v>254</v>
      </c>
      <c r="F1022">
        <v>30</v>
      </c>
      <c r="G1022" s="13">
        <v>46268.188159722224</v>
      </c>
      <c r="H1022" s="13">
        <v>46268.188252314816</v>
      </c>
      <c r="I1022">
        <v>8</v>
      </c>
      <c r="J1022" t="s">
        <v>255</v>
      </c>
      <c r="K1022">
        <v>1</v>
      </c>
      <c r="L1022">
        <v>0.01</v>
      </c>
      <c r="M1022">
        <v>0.01</v>
      </c>
      <c r="N1022">
        <v>1</v>
      </c>
      <c r="O1022">
        <v>0.01</v>
      </c>
      <c r="P1022">
        <v>0.26</v>
      </c>
      <c r="Q1022">
        <v>1.0900000000000001</v>
      </c>
      <c r="R1022">
        <v>0.84</v>
      </c>
      <c r="S1022" t="s">
        <v>256</v>
      </c>
      <c r="T1022" t="s">
        <v>257</v>
      </c>
      <c r="U1022">
        <v>11</v>
      </c>
      <c r="V1022">
        <v>5647.97</v>
      </c>
      <c r="W1022">
        <v>4999.83</v>
      </c>
      <c r="X1022">
        <v>4999.74</v>
      </c>
      <c r="Y1022">
        <v>0</v>
      </c>
      <c r="Z1022">
        <v>0</v>
      </c>
      <c r="AA1022">
        <v>35</v>
      </c>
      <c r="AB1022">
        <v>50</v>
      </c>
      <c r="AC1022">
        <v>5000</v>
      </c>
      <c r="AD1022">
        <v>0</v>
      </c>
      <c r="AE1022">
        <v>0</v>
      </c>
      <c r="AF1022">
        <v>5648.87</v>
      </c>
      <c r="AG1022">
        <v>5648.87</v>
      </c>
      <c r="AH1022" s="14">
        <v>46268</v>
      </c>
      <c r="AI1022" t="s">
        <v>272</v>
      </c>
      <c r="AJ1022" s="13">
        <v>46262.99790509259</v>
      </c>
      <c r="AK1022">
        <v>5509.79</v>
      </c>
      <c r="AL1022" t="s">
        <v>259</v>
      </c>
      <c r="AM1022" t="s">
        <v>260</v>
      </c>
      <c r="AN1022">
        <v>1400</v>
      </c>
      <c r="AO1022">
        <v>0</v>
      </c>
      <c r="AP1022">
        <v>35</v>
      </c>
      <c r="AQ1022">
        <v>85</v>
      </c>
      <c r="AR1022">
        <v>35</v>
      </c>
      <c r="AS1022">
        <v>2</v>
      </c>
      <c r="AT1022">
        <v>23</v>
      </c>
      <c r="AU1022">
        <v>1</v>
      </c>
      <c r="AV1022">
        <v>0</v>
      </c>
      <c r="AW1022">
        <v>10</v>
      </c>
      <c r="AX1022">
        <v>1</v>
      </c>
      <c r="AY1022">
        <v>5</v>
      </c>
      <c r="AZ1022">
        <v>2</v>
      </c>
      <c r="BA1022">
        <v>1</v>
      </c>
      <c r="BB1022">
        <v>1440</v>
      </c>
      <c r="BC1022">
        <v>0</v>
      </c>
      <c r="BD1022">
        <v>0</v>
      </c>
      <c r="BE1022">
        <v>14</v>
      </c>
      <c r="BF1022">
        <v>25</v>
      </c>
      <c r="BG1022">
        <v>3</v>
      </c>
      <c r="BH1022">
        <v>8</v>
      </c>
      <c r="BI1022">
        <v>3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0</v>
      </c>
      <c r="BQ1022">
        <v>60</v>
      </c>
      <c r="BR1022">
        <v>0</v>
      </c>
      <c r="BS1022">
        <v>3</v>
      </c>
      <c r="BT1022" t="s">
        <v>250</v>
      </c>
      <c r="BU1022" t="s">
        <v>273</v>
      </c>
      <c r="BV1022" t="b">
        <v>0</v>
      </c>
      <c r="BW1022" t="s">
        <v>268</v>
      </c>
    </row>
    <row r="1023" spans="1:75">
      <c r="A1023" t="s">
        <v>250</v>
      </c>
      <c r="B1023" t="s">
        <v>252</v>
      </c>
      <c r="C1023">
        <v>719</v>
      </c>
      <c r="D1023" t="s">
        <v>253</v>
      </c>
      <c r="E1023" t="s">
        <v>254</v>
      </c>
      <c r="F1023">
        <v>30</v>
      </c>
      <c r="G1023" s="13">
        <v>46268.209618055553</v>
      </c>
      <c r="H1023" s="13">
        <v>46268.210416666669</v>
      </c>
      <c r="I1023">
        <v>69</v>
      </c>
      <c r="J1023" t="s">
        <v>255</v>
      </c>
      <c r="K1023">
        <v>1</v>
      </c>
      <c r="L1023">
        <v>0.01</v>
      </c>
      <c r="M1023">
        <v>0.01</v>
      </c>
      <c r="N1023">
        <v>1</v>
      </c>
      <c r="O1023">
        <v>0.01</v>
      </c>
      <c r="P1023">
        <v>0.78</v>
      </c>
      <c r="Q1023">
        <v>1.36</v>
      </c>
      <c r="R1023">
        <v>1.02</v>
      </c>
      <c r="S1023" t="s">
        <v>256</v>
      </c>
      <c r="T1023" t="s">
        <v>257</v>
      </c>
      <c r="U1023">
        <v>11</v>
      </c>
      <c r="V1023">
        <v>5648.7</v>
      </c>
      <c r="W1023">
        <v>4999.83</v>
      </c>
      <c r="X1023">
        <v>4999.22</v>
      </c>
      <c r="Y1023">
        <v>0</v>
      </c>
      <c r="Z1023">
        <v>0</v>
      </c>
      <c r="AA1023">
        <v>35</v>
      </c>
      <c r="AB1023">
        <v>50</v>
      </c>
      <c r="AC1023">
        <v>5000</v>
      </c>
      <c r="AD1023">
        <v>0</v>
      </c>
      <c r="AE1023">
        <v>0</v>
      </c>
      <c r="AF1023">
        <v>5649.88</v>
      </c>
      <c r="AG1023">
        <v>5649.88</v>
      </c>
      <c r="AH1023" s="14">
        <v>46268</v>
      </c>
      <c r="AI1023" t="s">
        <v>272</v>
      </c>
      <c r="AJ1023" s="13">
        <v>46262.99790509259</v>
      </c>
      <c r="AK1023">
        <v>5509.79</v>
      </c>
      <c r="AL1023" t="s">
        <v>259</v>
      </c>
      <c r="AM1023" t="s">
        <v>260</v>
      </c>
      <c r="AN1023">
        <v>1400</v>
      </c>
      <c r="AO1023">
        <v>0</v>
      </c>
      <c r="AP1023">
        <v>35</v>
      </c>
      <c r="AQ1023">
        <v>85</v>
      </c>
      <c r="AR1023">
        <v>35</v>
      </c>
      <c r="AS1023">
        <v>2</v>
      </c>
      <c r="AT1023">
        <v>23</v>
      </c>
      <c r="AU1023">
        <v>1</v>
      </c>
      <c r="AV1023">
        <v>0</v>
      </c>
      <c r="AW1023">
        <v>10</v>
      </c>
      <c r="AX1023">
        <v>1</v>
      </c>
      <c r="AY1023">
        <v>5</v>
      </c>
      <c r="AZ1023">
        <v>2</v>
      </c>
      <c r="BA1023">
        <v>1</v>
      </c>
      <c r="BB1023">
        <v>1440</v>
      </c>
      <c r="BC1023">
        <v>0</v>
      </c>
      <c r="BD1023">
        <v>0</v>
      </c>
      <c r="BE1023">
        <v>14</v>
      </c>
      <c r="BF1023">
        <v>25</v>
      </c>
      <c r="BG1023">
        <v>3</v>
      </c>
      <c r="BH1023">
        <v>8</v>
      </c>
      <c r="BI1023">
        <v>3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0</v>
      </c>
      <c r="BQ1023">
        <v>60</v>
      </c>
      <c r="BR1023">
        <v>0</v>
      </c>
      <c r="BS1023">
        <v>3</v>
      </c>
      <c r="BT1023" t="s">
        <v>250</v>
      </c>
      <c r="BU1023" t="s">
        <v>273</v>
      </c>
      <c r="BV1023" t="b">
        <v>0</v>
      </c>
      <c r="BW1023" t="s">
        <v>268</v>
      </c>
    </row>
    <row r="1024" spans="1:75">
      <c r="A1024" t="s">
        <v>250</v>
      </c>
      <c r="B1024" t="s">
        <v>252</v>
      </c>
      <c r="C1024">
        <v>720</v>
      </c>
      <c r="D1024" t="s">
        <v>253</v>
      </c>
      <c r="E1024" t="s">
        <v>254</v>
      </c>
      <c r="F1024">
        <v>30</v>
      </c>
      <c r="G1024" s="13">
        <v>46268.229502314818</v>
      </c>
      <c r="H1024" s="13">
        <v>46268.229560185187</v>
      </c>
      <c r="I1024">
        <v>5</v>
      </c>
      <c r="J1024" t="s">
        <v>255</v>
      </c>
      <c r="K1024">
        <v>1</v>
      </c>
      <c r="L1024">
        <v>0.01</v>
      </c>
      <c r="M1024">
        <v>0.01</v>
      </c>
      <c r="N1024">
        <v>1</v>
      </c>
      <c r="O1024">
        <v>0.01</v>
      </c>
      <c r="P1024">
        <v>0.27</v>
      </c>
      <c r="Q1024">
        <v>0.89</v>
      </c>
      <c r="R1024">
        <v>0.63</v>
      </c>
      <c r="S1024" t="s">
        <v>256</v>
      </c>
      <c r="T1024" t="s">
        <v>257</v>
      </c>
      <c r="U1024">
        <v>10</v>
      </c>
      <c r="V1024">
        <v>5649.72</v>
      </c>
      <c r="W1024">
        <v>4999.84</v>
      </c>
      <c r="X1024">
        <v>4999.7299999999996</v>
      </c>
      <c r="Y1024">
        <v>0</v>
      </c>
      <c r="Z1024">
        <v>0</v>
      </c>
      <c r="AA1024">
        <v>35</v>
      </c>
      <c r="AB1024">
        <v>50</v>
      </c>
      <c r="AC1024">
        <v>5000</v>
      </c>
      <c r="AD1024">
        <v>0</v>
      </c>
      <c r="AE1024">
        <v>0</v>
      </c>
      <c r="AF1024">
        <v>5650.41</v>
      </c>
      <c r="AG1024">
        <v>5650.41</v>
      </c>
      <c r="AH1024" s="14">
        <v>46268</v>
      </c>
      <c r="AI1024" t="s">
        <v>272</v>
      </c>
      <c r="AJ1024" s="13">
        <v>46262.99790509259</v>
      </c>
      <c r="AK1024">
        <v>5509.79</v>
      </c>
      <c r="AL1024" t="s">
        <v>259</v>
      </c>
      <c r="AM1024" t="s">
        <v>260</v>
      </c>
      <c r="AN1024">
        <v>1400</v>
      </c>
      <c r="AO1024">
        <v>0</v>
      </c>
      <c r="AP1024">
        <v>35</v>
      </c>
      <c r="AQ1024">
        <v>85</v>
      </c>
      <c r="AR1024">
        <v>35</v>
      </c>
      <c r="AS1024">
        <v>2</v>
      </c>
      <c r="AT1024">
        <v>23</v>
      </c>
      <c r="AU1024">
        <v>1</v>
      </c>
      <c r="AV1024">
        <v>0</v>
      </c>
      <c r="AW1024">
        <v>10</v>
      </c>
      <c r="AX1024">
        <v>1</v>
      </c>
      <c r="AY1024">
        <v>5</v>
      </c>
      <c r="AZ1024">
        <v>2</v>
      </c>
      <c r="BA1024">
        <v>1</v>
      </c>
      <c r="BB1024">
        <v>1440</v>
      </c>
      <c r="BC1024">
        <v>0</v>
      </c>
      <c r="BD1024">
        <v>0</v>
      </c>
      <c r="BE1024">
        <v>14</v>
      </c>
      <c r="BF1024">
        <v>25</v>
      </c>
      <c r="BG1024">
        <v>3</v>
      </c>
      <c r="BH1024">
        <v>8</v>
      </c>
      <c r="BI1024">
        <v>3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0</v>
      </c>
      <c r="BQ1024">
        <v>60</v>
      </c>
      <c r="BR1024">
        <v>0</v>
      </c>
      <c r="BS1024">
        <v>3</v>
      </c>
      <c r="BT1024" t="s">
        <v>250</v>
      </c>
      <c r="BU1024" t="s">
        <v>273</v>
      </c>
      <c r="BV1024" t="b">
        <v>0</v>
      </c>
      <c r="BW1024" t="s">
        <v>268</v>
      </c>
    </row>
    <row r="1025" spans="1:75">
      <c r="A1025" t="s">
        <v>250</v>
      </c>
      <c r="B1025" t="s">
        <v>252</v>
      </c>
      <c r="C1025">
        <v>721</v>
      </c>
      <c r="D1025" t="s">
        <v>253</v>
      </c>
      <c r="E1025" t="s">
        <v>254</v>
      </c>
      <c r="F1025">
        <v>30</v>
      </c>
      <c r="G1025" s="13">
        <v>46268.252708333333</v>
      </c>
      <c r="H1025" s="13">
        <v>46268.253240740742</v>
      </c>
      <c r="I1025">
        <v>46</v>
      </c>
      <c r="J1025" t="s">
        <v>255</v>
      </c>
      <c r="K1025">
        <v>1</v>
      </c>
      <c r="L1025">
        <v>0.01</v>
      </c>
      <c r="M1025">
        <v>0.01</v>
      </c>
      <c r="N1025">
        <v>1</v>
      </c>
      <c r="O1025">
        <v>0.01</v>
      </c>
      <c r="P1025">
        <v>0.62</v>
      </c>
      <c r="Q1025">
        <v>2.02</v>
      </c>
      <c r="R1025">
        <v>2</v>
      </c>
      <c r="S1025" t="s">
        <v>256</v>
      </c>
      <c r="T1025" t="s">
        <v>257</v>
      </c>
      <c r="U1025">
        <v>11</v>
      </c>
      <c r="V1025">
        <v>5650.24</v>
      </c>
      <c r="W1025">
        <v>4999.83</v>
      </c>
      <c r="X1025">
        <v>4999.38</v>
      </c>
      <c r="Y1025">
        <v>0</v>
      </c>
      <c r="Z1025">
        <v>0</v>
      </c>
      <c r="AA1025">
        <v>35</v>
      </c>
      <c r="AB1025">
        <v>50</v>
      </c>
      <c r="AC1025">
        <v>5000</v>
      </c>
      <c r="AD1025">
        <v>0</v>
      </c>
      <c r="AE1025">
        <v>0</v>
      </c>
      <c r="AF1025">
        <v>5652.08</v>
      </c>
      <c r="AG1025">
        <v>5652.08</v>
      </c>
      <c r="AH1025" s="14">
        <v>46268</v>
      </c>
      <c r="AI1025" t="s">
        <v>272</v>
      </c>
      <c r="AJ1025" s="13">
        <v>46262.99790509259</v>
      </c>
      <c r="AK1025">
        <v>5509.79</v>
      </c>
      <c r="AL1025" t="s">
        <v>259</v>
      </c>
      <c r="AM1025" t="s">
        <v>260</v>
      </c>
      <c r="AN1025">
        <v>1400</v>
      </c>
      <c r="AO1025">
        <v>0</v>
      </c>
      <c r="AP1025">
        <v>35</v>
      </c>
      <c r="AQ1025">
        <v>85</v>
      </c>
      <c r="AR1025">
        <v>35</v>
      </c>
      <c r="AS1025">
        <v>2</v>
      </c>
      <c r="AT1025">
        <v>23</v>
      </c>
      <c r="AU1025">
        <v>1</v>
      </c>
      <c r="AV1025">
        <v>0</v>
      </c>
      <c r="AW1025">
        <v>10</v>
      </c>
      <c r="AX1025">
        <v>1</v>
      </c>
      <c r="AY1025">
        <v>5</v>
      </c>
      <c r="AZ1025">
        <v>2</v>
      </c>
      <c r="BA1025">
        <v>1</v>
      </c>
      <c r="BB1025">
        <v>1440</v>
      </c>
      <c r="BC1025">
        <v>0</v>
      </c>
      <c r="BD1025">
        <v>0</v>
      </c>
      <c r="BE1025">
        <v>14</v>
      </c>
      <c r="BF1025">
        <v>25</v>
      </c>
      <c r="BG1025">
        <v>3</v>
      </c>
      <c r="BH1025">
        <v>8</v>
      </c>
      <c r="BI1025">
        <v>3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0</v>
      </c>
      <c r="BQ1025">
        <v>60</v>
      </c>
      <c r="BR1025">
        <v>0</v>
      </c>
      <c r="BS1025">
        <v>3</v>
      </c>
      <c r="BT1025" t="s">
        <v>250</v>
      </c>
      <c r="BU1025" t="s">
        <v>273</v>
      </c>
      <c r="BV1025" t="b">
        <v>0</v>
      </c>
      <c r="BW1025" t="s">
        <v>268</v>
      </c>
    </row>
    <row r="1026" spans="1:75">
      <c r="A1026" t="s">
        <v>250</v>
      </c>
      <c r="B1026" t="s">
        <v>252</v>
      </c>
      <c r="C1026">
        <v>722</v>
      </c>
      <c r="D1026" t="s">
        <v>253</v>
      </c>
      <c r="E1026" t="s">
        <v>254</v>
      </c>
      <c r="F1026">
        <v>30</v>
      </c>
      <c r="G1026" s="13">
        <v>46268.279120370367</v>
      </c>
      <c r="H1026" s="13">
        <v>46268.280648148146</v>
      </c>
      <c r="I1026">
        <v>132</v>
      </c>
      <c r="J1026" t="s">
        <v>264</v>
      </c>
      <c r="K1026">
        <v>1</v>
      </c>
      <c r="L1026">
        <v>0.01</v>
      </c>
      <c r="M1026">
        <v>0.01</v>
      </c>
      <c r="N1026">
        <v>1</v>
      </c>
      <c r="O1026">
        <v>0.01</v>
      </c>
      <c r="P1026">
        <v>1.05</v>
      </c>
      <c r="Q1026">
        <v>1.24</v>
      </c>
      <c r="R1026">
        <v>0.97</v>
      </c>
      <c r="S1026" t="s">
        <v>256</v>
      </c>
      <c r="T1026" t="s">
        <v>257</v>
      </c>
      <c r="U1026">
        <v>10</v>
      </c>
      <c r="V1026">
        <v>5651.88</v>
      </c>
      <c r="W1026">
        <v>4999.8</v>
      </c>
      <c r="X1026">
        <v>4998.95</v>
      </c>
      <c r="Y1026">
        <v>0</v>
      </c>
      <c r="Z1026">
        <v>0</v>
      </c>
      <c r="AA1026">
        <v>35</v>
      </c>
      <c r="AB1026">
        <v>50</v>
      </c>
      <c r="AC1026">
        <v>5000</v>
      </c>
      <c r="AD1026">
        <v>0</v>
      </c>
      <c r="AE1026">
        <v>0</v>
      </c>
      <c r="AF1026">
        <v>5652.96</v>
      </c>
      <c r="AG1026">
        <v>5652.96</v>
      </c>
      <c r="AH1026" s="14">
        <v>46268</v>
      </c>
      <c r="AI1026" t="s">
        <v>272</v>
      </c>
      <c r="AJ1026" s="13">
        <v>46262.99790509259</v>
      </c>
      <c r="AK1026">
        <v>5509.79</v>
      </c>
      <c r="AL1026" t="s">
        <v>259</v>
      </c>
      <c r="AM1026" t="s">
        <v>260</v>
      </c>
      <c r="AN1026">
        <v>1400</v>
      </c>
      <c r="AO1026">
        <v>0</v>
      </c>
      <c r="AP1026">
        <v>35</v>
      </c>
      <c r="AQ1026">
        <v>85</v>
      </c>
      <c r="AR1026">
        <v>35</v>
      </c>
      <c r="AS1026">
        <v>2</v>
      </c>
      <c r="AT1026">
        <v>23</v>
      </c>
      <c r="AU1026">
        <v>1</v>
      </c>
      <c r="AV1026">
        <v>0</v>
      </c>
      <c r="AW1026">
        <v>10</v>
      </c>
      <c r="AX1026">
        <v>1</v>
      </c>
      <c r="AY1026">
        <v>5</v>
      </c>
      <c r="AZ1026">
        <v>2</v>
      </c>
      <c r="BA1026">
        <v>1</v>
      </c>
      <c r="BB1026">
        <v>1440</v>
      </c>
      <c r="BC1026">
        <v>0</v>
      </c>
      <c r="BD1026">
        <v>0</v>
      </c>
      <c r="BE1026">
        <v>14</v>
      </c>
      <c r="BF1026">
        <v>25</v>
      </c>
      <c r="BG1026">
        <v>3</v>
      </c>
      <c r="BH1026">
        <v>8</v>
      </c>
      <c r="BI1026">
        <v>3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0</v>
      </c>
      <c r="BQ1026">
        <v>60</v>
      </c>
      <c r="BR1026">
        <v>0</v>
      </c>
      <c r="BS1026">
        <v>3</v>
      </c>
      <c r="BT1026" t="s">
        <v>250</v>
      </c>
      <c r="BU1026" t="s">
        <v>273</v>
      </c>
      <c r="BV1026" t="b">
        <v>0</v>
      </c>
      <c r="BW1026" t="s">
        <v>268</v>
      </c>
    </row>
    <row r="1027" spans="1:75">
      <c r="A1027" t="s">
        <v>250</v>
      </c>
      <c r="B1027" t="s">
        <v>252</v>
      </c>
      <c r="C1027">
        <v>723</v>
      </c>
      <c r="D1027" t="s">
        <v>253</v>
      </c>
      <c r="E1027" t="s">
        <v>254</v>
      </c>
      <c r="F1027">
        <v>30</v>
      </c>
      <c r="G1027" s="13">
        <v>46268.294050925928</v>
      </c>
      <c r="H1027" s="13">
        <v>46268.295208333337</v>
      </c>
      <c r="I1027">
        <v>100</v>
      </c>
      <c r="J1027" t="s">
        <v>264</v>
      </c>
      <c r="K1027">
        <v>1</v>
      </c>
      <c r="L1027">
        <v>0.01</v>
      </c>
      <c r="M1027">
        <v>0.01</v>
      </c>
      <c r="N1027">
        <v>1</v>
      </c>
      <c r="O1027">
        <v>0.01</v>
      </c>
      <c r="P1027">
        <v>0.94</v>
      </c>
      <c r="Q1027">
        <v>0.99</v>
      </c>
      <c r="R1027">
        <v>0.74</v>
      </c>
      <c r="S1027" t="s">
        <v>256</v>
      </c>
      <c r="T1027" t="s">
        <v>257</v>
      </c>
      <c r="U1027">
        <v>11</v>
      </c>
      <c r="V1027">
        <v>5652.8</v>
      </c>
      <c r="W1027">
        <v>4999.84</v>
      </c>
      <c r="X1027">
        <v>4999.0600000000004</v>
      </c>
      <c r="Y1027">
        <v>0</v>
      </c>
      <c r="Z1027">
        <v>0</v>
      </c>
      <c r="AA1027">
        <v>35</v>
      </c>
      <c r="AB1027">
        <v>50</v>
      </c>
      <c r="AC1027">
        <v>5000</v>
      </c>
      <c r="AD1027">
        <v>0</v>
      </c>
      <c r="AE1027">
        <v>0</v>
      </c>
      <c r="AF1027">
        <v>5653.59</v>
      </c>
      <c r="AG1027">
        <v>5653.59</v>
      </c>
      <c r="AH1027" s="14">
        <v>46268</v>
      </c>
      <c r="AI1027" t="s">
        <v>272</v>
      </c>
      <c r="AJ1027" s="13">
        <v>46262.99790509259</v>
      </c>
      <c r="AK1027">
        <v>5509.79</v>
      </c>
      <c r="AL1027" t="s">
        <v>259</v>
      </c>
      <c r="AM1027" t="s">
        <v>260</v>
      </c>
      <c r="AN1027">
        <v>1400</v>
      </c>
      <c r="AO1027">
        <v>0</v>
      </c>
      <c r="AP1027">
        <v>35</v>
      </c>
      <c r="AQ1027">
        <v>85</v>
      </c>
      <c r="AR1027">
        <v>35</v>
      </c>
      <c r="AS1027">
        <v>2</v>
      </c>
      <c r="AT1027">
        <v>23</v>
      </c>
      <c r="AU1027">
        <v>1</v>
      </c>
      <c r="AV1027">
        <v>0</v>
      </c>
      <c r="AW1027">
        <v>10</v>
      </c>
      <c r="AX1027">
        <v>1</v>
      </c>
      <c r="AY1027">
        <v>5</v>
      </c>
      <c r="AZ1027">
        <v>2</v>
      </c>
      <c r="BA1027">
        <v>1</v>
      </c>
      <c r="BB1027">
        <v>1440</v>
      </c>
      <c r="BC1027">
        <v>0</v>
      </c>
      <c r="BD1027">
        <v>0</v>
      </c>
      <c r="BE1027">
        <v>14</v>
      </c>
      <c r="BF1027">
        <v>25</v>
      </c>
      <c r="BG1027">
        <v>3</v>
      </c>
      <c r="BH1027">
        <v>8</v>
      </c>
      <c r="BI1027">
        <v>3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0</v>
      </c>
      <c r="BQ1027">
        <v>60</v>
      </c>
      <c r="BR1027">
        <v>0</v>
      </c>
      <c r="BS1027">
        <v>3</v>
      </c>
      <c r="BT1027" t="s">
        <v>250</v>
      </c>
      <c r="BU1027" t="s">
        <v>273</v>
      </c>
      <c r="BV1027" t="b">
        <v>0</v>
      </c>
      <c r="BW1027" t="s">
        <v>268</v>
      </c>
    </row>
    <row r="1028" spans="1:75">
      <c r="A1028" t="s">
        <v>250</v>
      </c>
      <c r="B1028" t="s">
        <v>252</v>
      </c>
      <c r="C1028">
        <v>724</v>
      </c>
      <c r="D1028" t="s">
        <v>253</v>
      </c>
      <c r="E1028" t="s">
        <v>254</v>
      </c>
      <c r="F1028">
        <v>30</v>
      </c>
      <c r="G1028" s="13">
        <v>46268.330451388887</v>
      </c>
      <c r="H1028" s="13">
        <v>46268.338379629633</v>
      </c>
      <c r="I1028">
        <v>685</v>
      </c>
      <c r="J1028" t="s">
        <v>264</v>
      </c>
      <c r="K1028">
        <v>2</v>
      </c>
      <c r="L1028">
        <v>0.02</v>
      </c>
      <c r="M1028">
        <v>0.01</v>
      </c>
      <c r="N1028">
        <v>2</v>
      </c>
      <c r="O1028">
        <v>0.02</v>
      </c>
      <c r="P1028">
        <v>5.98</v>
      </c>
      <c r="Q1028">
        <v>7.1</v>
      </c>
      <c r="R1028">
        <v>5.04</v>
      </c>
      <c r="S1028" t="s">
        <v>263</v>
      </c>
      <c r="T1028" t="s">
        <v>257</v>
      </c>
      <c r="U1028">
        <v>11</v>
      </c>
      <c r="V1028">
        <v>5653.45</v>
      </c>
      <c r="W1028">
        <v>4999.8599999999997</v>
      </c>
      <c r="X1028">
        <v>4994.0200000000004</v>
      </c>
      <c r="Y1028">
        <v>0</v>
      </c>
      <c r="Z1028">
        <v>0</v>
      </c>
      <c r="AA1028">
        <v>35</v>
      </c>
      <c r="AB1028">
        <v>50</v>
      </c>
      <c r="AC1028">
        <v>5000</v>
      </c>
      <c r="AD1028">
        <v>0</v>
      </c>
      <c r="AE1028">
        <v>0</v>
      </c>
      <c r="AF1028">
        <v>5658.65</v>
      </c>
      <c r="AG1028">
        <v>5658.65</v>
      </c>
      <c r="AH1028" s="14">
        <v>46268</v>
      </c>
      <c r="AI1028" t="s">
        <v>272</v>
      </c>
      <c r="AJ1028" s="13">
        <v>46262.99790509259</v>
      </c>
      <c r="AK1028">
        <v>5509.79</v>
      </c>
      <c r="AL1028" t="s">
        <v>259</v>
      </c>
      <c r="AM1028" t="s">
        <v>260</v>
      </c>
      <c r="AN1028">
        <v>1400</v>
      </c>
      <c r="AO1028">
        <v>0</v>
      </c>
      <c r="AP1028">
        <v>35</v>
      </c>
      <c r="AQ1028">
        <v>85</v>
      </c>
      <c r="AR1028">
        <v>35</v>
      </c>
      <c r="AS1028">
        <v>2</v>
      </c>
      <c r="AT1028">
        <v>23</v>
      </c>
      <c r="AU1028">
        <v>1</v>
      </c>
      <c r="AV1028">
        <v>0</v>
      </c>
      <c r="AW1028">
        <v>10</v>
      </c>
      <c r="AX1028">
        <v>1</v>
      </c>
      <c r="AY1028">
        <v>5</v>
      </c>
      <c r="AZ1028">
        <v>2</v>
      </c>
      <c r="BA1028">
        <v>1</v>
      </c>
      <c r="BB1028">
        <v>1440</v>
      </c>
      <c r="BC1028">
        <v>0</v>
      </c>
      <c r="BD1028">
        <v>0</v>
      </c>
      <c r="BE1028">
        <v>14</v>
      </c>
      <c r="BF1028">
        <v>25</v>
      </c>
      <c r="BG1028">
        <v>3</v>
      </c>
      <c r="BH1028">
        <v>8</v>
      </c>
      <c r="BI1028">
        <v>3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0</v>
      </c>
      <c r="BQ1028">
        <v>60</v>
      </c>
      <c r="BR1028">
        <v>0</v>
      </c>
      <c r="BS1028">
        <v>3</v>
      </c>
      <c r="BT1028" t="s">
        <v>250</v>
      </c>
      <c r="BU1028" t="s">
        <v>273</v>
      </c>
      <c r="BV1028" t="b">
        <v>0</v>
      </c>
      <c r="BW1028" t="s">
        <v>268</v>
      </c>
    </row>
    <row r="1029" spans="1:75">
      <c r="A1029" t="s">
        <v>250</v>
      </c>
      <c r="B1029" t="s">
        <v>252</v>
      </c>
      <c r="C1029">
        <v>725</v>
      </c>
      <c r="D1029" t="s">
        <v>253</v>
      </c>
      <c r="E1029" t="s">
        <v>254</v>
      </c>
      <c r="F1029">
        <v>30</v>
      </c>
      <c r="G1029" s="13">
        <v>46268.35460648148</v>
      </c>
      <c r="H1029" s="13">
        <v>46268.354791666665</v>
      </c>
      <c r="I1029">
        <v>16</v>
      </c>
      <c r="J1029" t="s">
        <v>255</v>
      </c>
      <c r="K1029">
        <v>1</v>
      </c>
      <c r="L1029">
        <v>0.01</v>
      </c>
      <c r="M1029">
        <v>0.01</v>
      </c>
      <c r="N1029">
        <v>1</v>
      </c>
      <c r="O1029">
        <v>0.01</v>
      </c>
      <c r="P1029">
        <v>0.45</v>
      </c>
      <c r="Q1029">
        <v>0.93</v>
      </c>
      <c r="R1029">
        <v>0.63</v>
      </c>
      <c r="S1029" t="s">
        <v>256</v>
      </c>
      <c r="T1029" t="s">
        <v>257</v>
      </c>
      <c r="U1029">
        <v>10</v>
      </c>
      <c r="V1029">
        <v>5658.49</v>
      </c>
      <c r="W1029">
        <v>4999.84</v>
      </c>
      <c r="X1029">
        <v>4999.55</v>
      </c>
      <c r="Y1029">
        <v>0</v>
      </c>
      <c r="Z1029">
        <v>0</v>
      </c>
      <c r="AA1029">
        <v>35</v>
      </c>
      <c r="AB1029">
        <v>50</v>
      </c>
      <c r="AC1029">
        <v>5000</v>
      </c>
      <c r="AD1029">
        <v>0</v>
      </c>
      <c r="AE1029">
        <v>0</v>
      </c>
      <c r="AF1029">
        <v>5659.22</v>
      </c>
      <c r="AG1029">
        <v>5659.22</v>
      </c>
      <c r="AH1029" s="14">
        <v>46268</v>
      </c>
      <c r="AI1029" t="s">
        <v>272</v>
      </c>
      <c r="AJ1029" s="13">
        <v>46262.99790509259</v>
      </c>
      <c r="AK1029">
        <v>5509.79</v>
      </c>
      <c r="AL1029" t="s">
        <v>259</v>
      </c>
      <c r="AM1029" t="s">
        <v>260</v>
      </c>
      <c r="AN1029">
        <v>1400</v>
      </c>
      <c r="AO1029">
        <v>0</v>
      </c>
      <c r="AP1029">
        <v>35</v>
      </c>
      <c r="AQ1029">
        <v>85</v>
      </c>
      <c r="AR1029">
        <v>35</v>
      </c>
      <c r="AS1029">
        <v>2</v>
      </c>
      <c r="AT1029">
        <v>23</v>
      </c>
      <c r="AU1029">
        <v>1</v>
      </c>
      <c r="AV1029">
        <v>0</v>
      </c>
      <c r="AW1029">
        <v>10</v>
      </c>
      <c r="AX1029">
        <v>1</v>
      </c>
      <c r="AY1029">
        <v>5</v>
      </c>
      <c r="AZ1029">
        <v>2</v>
      </c>
      <c r="BA1029">
        <v>1</v>
      </c>
      <c r="BB1029">
        <v>1440</v>
      </c>
      <c r="BC1029">
        <v>0</v>
      </c>
      <c r="BD1029">
        <v>0</v>
      </c>
      <c r="BE1029">
        <v>14</v>
      </c>
      <c r="BF1029">
        <v>25</v>
      </c>
      <c r="BG1029">
        <v>3</v>
      </c>
      <c r="BH1029">
        <v>8</v>
      </c>
      <c r="BI1029">
        <v>3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0</v>
      </c>
      <c r="BQ1029">
        <v>60</v>
      </c>
      <c r="BR1029">
        <v>0</v>
      </c>
      <c r="BS1029">
        <v>3</v>
      </c>
      <c r="BT1029" t="s">
        <v>250</v>
      </c>
      <c r="BU1029" t="s">
        <v>273</v>
      </c>
      <c r="BV1029" t="b">
        <v>0</v>
      </c>
      <c r="BW1029" t="s">
        <v>268</v>
      </c>
    </row>
    <row r="1030" spans="1:75">
      <c r="A1030" t="s">
        <v>250</v>
      </c>
      <c r="B1030" t="s">
        <v>252</v>
      </c>
      <c r="C1030">
        <v>726</v>
      </c>
      <c r="D1030" t="s">
        <v>253</v>
      </c>
      <c r="E1030" t="s">
        <v>254</v>
      </c>
      <c r="F1030">
        <v>30</v>
      </c>
      <c r="G1030" s="13">
        <v>46268.376354166663</v>
      </c>
      <c r="H1030" s="13">
        <v>46268.376574074071</v>
      </c>
      <c r="I1030">
        <v>19</v>
      </c>
      <c r="J1030" t="s">
        <v>264</v>
      </c>
      <c r="K1030">
        <v>1</v>
      </c>
      <c r="L1030">
        <v>0.01</v>
      </c>
      <c r="M1030">
        <v>0.01</v>
      </c>
      <c r="N1030">
        <v>1</v>
      </c>
      <c r="O1030">
        <v>0.01</v>
      </c>
      <c r="P1030">
        <v>0.47</v>
      </c>
      <c r="Q1030">
        <v>0.8</v>
      </c>
      <c r="R1030">
        <v>0.46</v>
      </c>
      <c r="S1030" t="s">
        <v>256</v>
      </c>
      <c r="T1030" t="s">
        <v>257</v>
      </c>
      <c r="U1030">
        <v>10</v>
      </c>
      <c r="V1030">
        <v>5659.05</v>
      </c>
      <c r="W1030">
        <v>4999.83</v>
      </c>
      <c r="X1030">
        <v>4999.53</v>
      </c>
      <c r="Y1030">
        <v>0</v>
      </c>
      <c r="Z1030">
        <v>0</v>
      </c>
      <c r="AA1030">
        <v>35</v>
      </c>
      <c r="AB1030">
        <v>50</v>
      </c>
      <c r="AC1030">
        <v>5000</v>
      </c>
      <c r="AD1030">
        <v>0</v>
      </c>
      <c r="AE1030">
        <v>0</v>
      </c>
      <c r="AF1030">
        <v>5659.66</v>
      </c>
      <c r="AG1030">
        <v>5659.66</v>
      </c>
      <c r="AH1030" s="14">
        <v>46268</v>
      </c>
      <c r="AI1030" t="s">
        <v>272</v>
      </c>
      <c r="AJ1030" s="13">
        <v>46262.99790509259</v>
      </c>
      <c r="AK1030">
        <v>5509.79</v>
      </c>
      <c r="AL1030" t="s">
        <v>259</v>
      </c>
      <c r="AM1030" t="s">
        <v>260</v>
      </c>
      <c r="AN1030">
        <v>1400</v>
      </c>
      <c r="AO1030">
        <v>0</v>
      </c>
      <c r="AP1030">
        <v>35</v>
      </c>
      <c r="AQ1030">
        <v>85</v>
      </c>
      <c r="AR1030">
        <v>35</v>
      </c>
      <c r="AS1030">
        <v>2</v>
      </c>
      <c r="AT1030">
        <v>23</v>
      </c>
      <c r="AU1030">
        <v>1</v>
      </c>
      <c r="AV1030">
        <v>0</v>
      </c>
      <c r="AW1030">
        <v>10</v>
      </c>
      <c r="AX1030">
        <v>1</v>
      </c>
      <c r="AY1030">
        <v>5</v>
      </c>
      <c r="AZ1030">
        <v>2</v>
      </c>
      <c r="BA1030">
        <v>1</v>
      </c>
      <c r="BB1030">
        <v>1440</v>
      </c>
      <c r="BC1030">
        <v>0</v>
      </c>
      <c r="BD1030">
        <v>0</v>
      </c>
      <c r="BE1030">
        <v>14</v>
      </c>
      <c r="BF1030">
        <v>25</v>
      </c>
      <c r="BG1030">
        <v>3</v>
      </c>
      <c r="BH1030">
        <v>8</v>
      </c>
      <c r="BI1030">
        <v>3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0</v>
      </c>
      <c r="BQ1030">
        <v>60</v>
      </c>
      <c r="BR1030">
        <v>0</v>
      </c>
      <c r="BS1030">
        <v>3</v>
      </c>
      <c r="BT1030" t="s">
        <v>250</v>
      </c>
      <c r="BU1030" t="s">
        <v>273</v>
      </c>
      <c r="BV1030" t="b">
        <v>0</v>
      </c>
      <c r="BW1030" t="s">
        <v>268</v>
      </c>
    </row>
    <row r="1031" spans="1:75">
      <c r="A1031" t="s">
        <v>250</v>
      </c>
      <c r="B1031" t="s">
        <v>252</v>
      </c>
      <c r="C1031">
        <v>727</v>
      </c>
      <c r="D1031" t="s">
        <v>253</v>
      </c>
      <c r="E1031" t="s">
        <v>254</v>
      </c>
      <c r="F1031">
        <v>30</v>
      </c>
      <c r="G1031" s="13">
        <v>46268.39943287037</v>
      </c>
      <c r="H1031" s="13">
        <v>46268.400451388887</v>
      </c>
      <c r="I1031">
        <v>88</v>
      </c>
      <c r="J1031" t="s">
        <v>255</v>
      </c>
      <c r="K1031">
        <v>1</v>
      </c>
      <c r="L1031">
        <v>0.01</v>
      </c>
      <c r="M1031">
        <v>0.01</v>
      </c>
      <c r="N1031">
        <v>1</v>
      </c>
      <c r="O1031">
        <v>0.01</v>
      </c>
      <c r="P1031">
        <v>1.21</v>
      </c>
      <c r="Q1031">
        <v>0.9</v>
      </c>
      <c r="R1031">
        <v>0.63</v>
      </c>
      <c r="S1031" t="s">
        <v>256</v>
      </c>
      <c r="T1031" t="s">
        <v>257</v>
      </c>
      <c r="U1031">
        <v>14</v>
      </c>
      <c r="V1031">
        <v>5659.46</v>
      </c>
      <c r="W1031">
        <v>4999.8</v>
      </c>
      <c r="X1031">
        <v>4998.79</v>
      </c>
      <c r="Y1031">
        <v>0</v>
      </c>
      <c r="Z1031">
        <v>0</v>
      </c>
      <c r="AA1031">
        <v>35</v>
      </c>
      <c r="AB1031">
        <v>50</v>
      </c>
      <c r="AC1031">
        <v>5000</v>
      </c>
      <c r="AD1031">
        <v>0</v>
      </c>
      <c r="AE1031">
        <v>0</v>
      </c>
      <c r="AF1031">
        <v>5660.2</v>
      </c>
      <c r="AG1031">
        <v>5660.2</v>
      </c>
      <c r="AH1031" s="14">
        <v>46268</v>
      </c>
      <c r="AI1031" t="s">
        <v>272</v>
      </c>
      <c r="AJ1031" s="13">
        <v>46262.99790509259</v>
      </c>
      <c r="AK1031">
        <v>5509.79</v>
      </c>
      <c r="AL1031" t="s">
        <v>259</v>
      </c>
      <c r="AM1031" t="s">
        <v>260</v>
      </c>
      <c r="AN1031">
        <v>1400</v>
      </c>
      <c r="AO1031">
        <v>0</v>
      </c>
      <c r="AP1031">
        <v>35</v>
      </c>
      <c r="AQ1031">
        <v>85</v>
      </c>
      <c r="AR1031">
        <v>35</v>
      </c>
      <c r="AS1031">
        <v>2</v>
      </c>
      <c r="AT1031">
        <v>23</v>
      </c>
      <c r="AU1031">
        <v>1</v>
      </c>
      <c r="AV1031">
        <v>0</v>
      </c>
      <c r="AW1031">
        <v>10</v>
      </c>
      <c r="AX1031">
        <v>1</v>
      </c>
      <c r="AY1031">
        <v>5</v>
      </c>
      <c r="AZ1031">
        <v>2</v>
      </c>
      <c r="BA1031">
        <v>1</v>
      </c>
      <c r="BB1031">
        <v>1440</v>
      </c>
      <c r="BC1031">
        <v>0</v>
      </c>
      <c r="BD1031">
        <v>0</v>
      </c>
      <c r="BE1031">
        <v>14</v>
      </c>
      <c r="BF1031">
        <v>25</v>
      </c>
      <c r="BG1031">
        <v>3</v>
      </c>
      <c r="BH1031">
        <v>8</v>
      </c>
      <c r="BI1031">
        <v>3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0</v>
      </c>
      <c r="BQ1031">
        <v>60</v>
      </c>
      <c r="BR1031">
        <v>0</v>
      </c>
      <c r="BS1031">
        <v>3</v>
      </c>
      <c r="BT1031" t="s">
        <v>250</v>
      </c>
      <c r="BU1031" t="s">
        <v>273</v>
      </c>
      <c r="BV1031" t="b">
        <v>0</v>
      </c>
      <c r="BW1031" t="s">
        <v>268</v>
      </c>
    </row>
    <row r="1032" spans="1:75">
      <c r="A1032" t="s">
        <v>250</v>
      </c>
      <c r="B1032" t="s">
        <v>252</v>
      </c>
      <c r="C1032">
        <v>728</v>
      </c>
      <c r="D1032" t="s">
        <v>253</v>
      </c>
      <c r="E1032" t="s">
        <v>254</v>
      </c>
      <c r="F1032">
        <v>30</v>
      </c>
      <c r="G1032" s="13">
        <v>46268.417291666665</v>
      </c>
      <c r="H1032" s="13">
        <v>46268.417800925927</v>
      </c>
      <c r="I1032">
        <v>44</v>
      </c>
      <c r="J1032" t="s">
        <v>255</v>
      </c>
      <c r="K1032">
        <v>1</v>
      </c>
      <c r="L1032">
        <v>0.01</v>
      </c>
      <c r="M1032">
        <v>0.01</v>
      </c>
      <c r="N1032">
        <v>1</v>
      </c>
      <c r="O1032">
        <v>0.01</v>
      </c>
      <c r="P1032">
        <v>0.95</v>
      </c>
      <c r="Q1032">
        <v>0.94</v>
      </c>
      <c r="R1032">
        <v>0.78</v>
      </c>
      <c r="S1032" t="s">
        <v>256</v>
      </c>
      <c r="T1032" t="s">
        <v>257</v>
      </c>
      <c r="U1032">
        <v>11</v>
      </c>
      <c r="V1032">
        <v>5660.04</v>
      </c>
      <c r="W1032">
        <v>4999.84</v>
      </c>
      <c r="X1032">
        <v>4999.05</v>
      </c>
      <c r="Y1032">
        <v>0</v>
      </c>
      <c r="Z1032">
        <v>0</v>
      </c>
      <c r="AA1032">
        <v>35</v>
      </c>
      <c r="AB1032">
        <v>50</v>
      </c>
      <c r="AC1032">
        <v>5000</v>
      </c>
      <c r="AD1032">
        <v>0</v>
      </c>
      <c r="AE1032">
        <v>0</v>
      </c>
      <c r="AF1032">
        <v>5660.79</v>
      </c>
      <c r="AG1032">
        <v>5660.79</v>
      </c>
      <c r="AH1032" s="14">
        <v>46268</v>
      </c>
      <c r="AI1032" t="s">
        <v>272</v>
      </c>
      <c r="AJ1032" s="13">
        <v>46262.99790509259</v>
      </c>
      <c r="AK1032">
        <v>5509.79</v>
      </c>
      <c r="AL1032" t="s">
        <v>259</v>
      </c>
      <c r="AM1032" t="s">
        <v>260</v>
      </c>
      <c r="AN1032">
        <v>1400</v>
      </c>
      <c r="AO1032">
        <v>0</v>
      </c>
      <c r="AP1032">
        <v>35</v>
      </c>
      <c r="AQ1032">
        <v>85</v>
      </c>
      <c r="AR1032">
        <v>35</v>
      </c>
      <c r="AS1032">
        <v>2</v>
      </c>
      <c r="AT1032">
        <v>23</v>
      </c>
      <c r="AU1032">
        <v>1</v>
      </c>
      <c r="AV1032">
        <v>0</v>
      </c>
      <c r="AW1032">
        <v>10</v>
      </c>
      <c r="AX1032">
        <v>1</v>
      </c>
      <c r="AY1032">
        <v>5</v>
      </c>
      <c r="AZ1032">
        <v>2</v>
      </c>
      <c r="BA1032">
        <v>1</v>
      </c>
      <c r="BB1032">
        <v>1440</v>
      </c>
      <c r="BC1032">
        <v>0</v>
      </c>
      <c r="BD1032">
        <v>0</v>
      </c>
      <c r="BE1032">
        <v>14</v>
      </c>
      <c r="BF1032">
        <v>25</v>
      </c>
      <c r="BG1032">
        <v>3</v>
      </c>
      <c r="BH1032">
        <v>8</v>
      </c>
      <c r="BI1032">
        <v>3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0</v>
      </c>
      <c r="BQ1032">
        <v>60</v>
      </c>
      <c r="BR1032">
        <v>0</v>
      </c>
      <c r="BS1032">
        <v>3</v>
      </c>
      <c r="BT1032" t="s">
        <v>250</v>
      </c>
      <c r="BU1032" t="s">
        <v>273</v>
      </c>
      <c r="BV1032" t="b">
        <v>0</v>
      </c>
      <c r="BW1032" t="s">
        <v>268</v>
      </c>
    </row>
    <row r="1033" spans="1:75">
      <c r="A1033" t="s">
        <v>250</v>
      </c>
      <c r="B1033" t="s">
        <v>252</v>
      </c>
      <c r="C1033">
        <v>729</v>
      </c>
      <c r="D1033" t="s">
        <v>253</v>
      </c>
      <c r="E1033" t="s">
        <v>254</v>
      </c>
      <c r="F1033">
        <v>30</v>
      </c>
      <c r="G1033" s="13">
        <v>46268.441087962965</v>
      </c>
      <c r="H1033" s="13">
        <v>46268.454699074071</v>
      </c>
      <c r="I1033">
        <v>1176</v>
      </c>
      <c r="J1033" t="s">
        <v>255</v>
      </c>
      <c r="K1033">
        <v>1</v>
      </c>
      <c r="L1033">
        <v>0.01</v>
      </c>
      <c r="M1033">
        <v>0.01</v>
      </c>
      <c r="N1033">
        <v>1</v>
      </c>
      <c r="O1033">
        <v>0.01</v>
      </c>
      <c r="P1033">
        <v>6.55</v>
      </c>
      <c r="Q1033">
        <v>0.9</v>
      </c>
      <c r="R1033">
        <v>0.65</v>
      </c>
      <c r="S1033" t="s">
        <v>256</v>
      </c>
      <c r="T1033" t="s">
        <v>257</v>
      </c>
      <c r="U1033">
        <v>10</v>
      </c>
      <c r="V1033">
        <v>5660.63</v>
      </c>
      <c r="W1033">
        <v>4999.84</v>
      </c>
      <c r="X1033">
        <v>4993.45</v>
      </c>
      <c r="Y1033">
        <v>0</v>
      </c>
      <c r="Z1033">
        <v>0</v>
      </c>
      <c r="AA1033">
        <v>35</v>
      </c>
      <c r="AB1033">
        <v>50</v>
      </c>
      <c r="AC1033">
        <v>5000</v>
      </c>
      <c r="AD1033">
        <v>0</v>
      </c>
      <c r="AE1033">
        <v>0</v>
      </c>
      <c r="AF1033">
        <v>5661.34</v>
      </c>
      <c r="AG1033">
        <v>5661.34</v>
      </c>
      <c r="AH1033" s="14">
        <v>46268</v>
      </c>
      <c r="AI1033" t="s">
        <v>272</v>
      </c>
      <c r="AJ1033" s="13">
        <v>46262.99790509259</v>
      </c>
      <c r="AK1033">
        <v>5509.79</v>
      </c>
      <c r="AL1033" t="s">
        <v>259</v>
      </c>
      <c r="AM1033" t="s">
        <v>260</v>
      </c>
      <c r="AN1033">
        <v>1400</v>
      </c>
      <c r="AO1033">
        <v>0</v>
      </c>
      <c r="AP1033">
        <v>35</v>
      </c>
      <c r="AQ1033">
        <v>85</v>
      </c>
      <c r="AR1033">
        <v>35</v>
      </c>
      <c r="AS1033">
        <v>2</v>
      </c>
      <c r="AT1033">
        <v>23</v>
      </c>
      <c r="AU1033">
        <v>1</v>
      </c>
      <c r="AV1033">
        <v>0</v>
      </c>
      <c r="AW1033">
        <v>10</v>
      </c>
      <c r="AX1033">
        <v>1</v>
      </c>
      <c r="AY1033">
        <v>5</v>
      </c>
      <c r="AZ1033">
        <v>2</v>
      </c>
      <c r="BA1033">
        <v>1</v>
      </c>
      <c r="BB1033">
        <v>1440</v>
      </c>
      <c r="BC1033">
        <v>0</v>
      </c>
      <c r="BD1033">
        <v>0</v>
      </c>
      <c r="BE1033">
        <v>14</v>
      </c>
      <c r="BF1033">
        <v>25</v>
      </c>
      <c r="BG1033">
        <v>3</v>
      </c>
      <c r="BH1033">
        <v>8</v>
      </c>
      <c r="BI1033">
        <v>3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0</v>
      </c>
      <c r="BQ1033">
        <v>60</v>
      </c>
      <c r="BR1033">
        <v>0</v>
      </c>
      <c r="BS1033">
        <v>3</v>
      </c>
      <c r="BT1033" t="s">
        <v>250</v>
      </c>
      <c r="BU1033" t="s">
        <v>273</v>
      </c>
      <c r="BV1033" t="b">
        <v>0</v>
      </c>
      <c r="BW1033" t="s">
        <v>268</v>
      </c>
    </row>
    <row r="1034" spans="1:75">
      <c r="A1034" t="s">
        <v>250</v>
      </c>
      <c r="B1034" t="s">
        <v>252</v>
      </c>
      <c r="C1034">
        <v>730</v>
      </c>
      <c r="D1034" t="s">
        <v>253</v>
      </c>
      <c r="E1034" t="s">
        <v>254</v>
      </c>
      <c r="F1034">
        <v>30</v>
      </c>
      <c r="G1034" s="13">
        <v>46268.460509259261</v>
      </c>
      <c r="H1034" s="13">
        <v>46268.460868055554</v>
      </c>
      <c r="I1034">
        <v>31</v>
      </c>
      <c r="J1034" t="s">
        <v>255</v>
      </c>
      <c r="K1034">
        <v>1</v>
      </c>
      <c r="L1034">
        <v>0.01</v>
      </c>
      <c r="M1034">
        <v>0.01</v>
      </c>
      <c r="N1034">
        <v>1</v>
      </c>
      <c r="O1034">
        <v>0.01</v>
      </c>
      <c r="P1034">
        <v>1.19</v>
      </c>
      <c r="Q1034">
        <v>4.07</v>
      </c>
      <c r="R1034">
        <v>4.07</v>
      </c>
      <c r="S1034" t="s">
        <v>256</v>
      </c>
      <c r="T1034" t="s">
        <v>257</v>
      </c>
      <c r="U1034">
        <v>10</v>
      </c>
      <c r="V1034">
        <v>5661.17</v>
      </c>
      <c r="W1034">
        <v>4999.83</v>
      </c>
      <c r="X1034">
        <v>4998.8100000000004</v>
      </c>
      <c r="Y1034">
        <v>0</v>
      </c>
      <c r="Z1034">
        <v>0</v>
      </c>
      <c r="AA1034">
        <v>35</v>
      </c>
      <c r="AB1034">
        <v>50</v>
      </c>
      <c r="AC1034">
        <v>5000</v>
      </c>
      <c r="AD1034">
        <v>0</v>
      </c>
      <c r="AE1034">
        <v>0</v>
      </c>
      <c r="AF1034">
        <v>5665.06</v>
      </c>
      <c r="AG1034">
        <v>5665.06</v>
      </c>
      <c r="AH1034" s="14">
        <v>46268</v>
      </c>
      <c r="AI1034" t="s">
        <v>272</v>
      </c>
      <c r="AJ1034" s="13">
        <v>46262.99790509259</v>
      </c>
      <c r="AK1034">
        <v>5509.79</v>
      </c>
      <c r="AL1034" t="s">
        <v>259</v>
      </c>
      <c r="AM1034" t="s">
        <v>260</v>
      </c>
      <c r="AN1034">
        <v>1400</v>
      </c>
      <c r="AO1034">
        <v>0</v>
      </c>
      <c r="AP1034">
        <v>35</v>
      </c>
      <c r="AQ1034">
        <v>85</v>
      </c>
      <c r="AR1034">
        <v>35</v>
      </c>
      <c r="AS1034">
        <v>2</v>
      </c>
      <c r="AT1034">
        <v>23</v>
      </c>
      <c r="AU1034">
        <v>1</v>
      </c>
      <c r="AV1034">
        <v>0</v>
      </c>
      <c r="AW1034">
        <v>10</v>
      </c>
      <c r="AX1034">
        <v>1</v>
      </c>
      <c r="AY1034">
        <v>5</v>
      </c>
      <c r="AZ1034">
        <v>2</v>
      </c>
      <c r="BA1034">
        <v>1</v>
      </c>
      <c r="BB1034">
        <v>1440</v>
      </c>
      <c r="BC1034">
        <v>0</v>
      </c>
      <c r="BD1034">
        <v>0</v>
      </c>
      <c r="BE1034">
        <v>14</v>
      </c>
      <c r="BF1034">
        <v>25</v>
      </c>
      <c r="BG1034">
        <v>3</v>
      </c>
      <c r="BH1034">
        <v>8</v>
      </c>
      <c r="BI1034">
        <v>3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0</v>
      </c>
      <c r="BQ1034">
        <v>60</v>
      </c>
      <c r="BR1034">
        <v>0</v>
      </c>
      <c r="BS1034">
        <v>3</v>
      </c>
      <c r="BT1034" t="s">
        <v>250</v>
      </c>
      <c r="BU1034" t="s">
        <v>273</v>
      </c>
      <c r="BV1034" t="b">
        <v>0</v>
      </c>
      <c r="BW1034" t="s">
        <v>268</v>
      </c>
    </row>
    <row r="1035" spans="1:75">
      <c r="A1035" t="s">
        <v>250</v>
      </c>
      <c r="B1035" t="s">
        <v>252</v>
      </c>
      <c r="C1035">
        <v>731</v>
      </c>
      <c r="D1035" t="s">
        <v>253</v>
      </c>
      <c r="E1035" t="s">
        <v>254</v>
      </c>
      <c r="F1035">
        <v>30</v>
      </c>
      <c r="G1035" s="13">
        <v>46268.482199074075</v>
      </c>
      <c r="H1035" s="13">
        <v>46268.506249999999</v>
      </c>
      <c r="I1035">
        <v>2078</v>
      </c>
      <c r="J1035" t="s">
        <v>255</v>
      </c>
      <c r="K1035">
        <v>2</v>
      </c>
      <c r="L1035">
        <v>0.02</v>
      </c>
      <c r="M1035">
        <v>0.01</v>
      </c>
      <c r="N1035">
        <v>2</v>
      </c>
      <c r="O1035">
        <v>0.02</v>
      </c>
      <c r="P1035">
        <v>8.15</v>
      </c>
      <c r="Q1035">
        <v>6.16</v>
      </c>
      <c r="R1035">
        <v>3.64</v>
      </c>
      <c r="S1035" t="s">
        <v>263</v>
      </c>
      <c r="T1035" t="s">
        <v>257</v>
      </c>
      <c r="U1035">
        <v>11</v>
      </c>
      <c r="V1035">
        <v>5664.9</v>
      </c>
      <c r="W1035">
        <v>4999.84</v>
      </c>
      <c r="X1035">
        <v>4991.8500000000004</v>
      </c>
      <c r="Y1035">
        <v>0</v>
      </c>
      <c r="Z1035">
        <v>0</v>
      </c>
      <c r="AA1035">
        <v>35</v>
      </c>
      <c r="AB1035">
        <v>50</v>
      </c>
      <c r="AC1035">
        <v>5000</v>
      </c>
      <c r="AD1035">
        <v>0</v>
      </c>
      <c r="AE1035">
        <v>0</v>
      </c>
      <c r="AF1035">
        <v>5668.88</v>
      </c>
      <c r="AG1035">
        <v>5668.88</v>
      </c>
      <c r="AH1035" s="14">
        <v>46268</v>
      </c>
      <c r="AI1035" t="s">
        <v>272</v>
      </c>
      <c r="AJ1035" s="13">
        <v>46262.99790509259</v>
      </c>
      <c r="AK1035">
        <v>5509.79</v>
      </c>
      <c r="AL1035" t="s">
        <v>259</v>
      </c>
      <c r="AM1035" t="s">
        <v>260</v>
      </c>
      <c r="AN1035">
        <v>1400</v>
      </c>
      <c r="AO1035">
        <v>0</v>
      </c>
      <c r="AP1035">
        <v>35</v>
      </c>
      <c r="AQ1035">
        <v>85</v>
      </c>
      <c r="AR1035">
        <v>35</v>
      </c>
      <c r="AS1035">
        <v>2</v>
      </c>
      <c r="AT1035">
        <v>23</v>
      </c>
      <c r="AU1035">
        <v>1</v>
      </c>
      <c r="AV1035">
        <v>0</v>
      </c>
      <c r="AW1035">
        <v>10</v>
      </c>
      <c r="AX1035">
        <v>1</v>
      </c>
      <c r="AY1035">
        <v>5</v>
      </c>
      <c r="AZ1035">
        <v>2</v>
      </c>
      <c r="BA1035">
        <v>1</v>
      </c>
      <c r="BB1035">
        <v>1440</v>
      </c>
      <c r="BC1035">
        <v>0</v>
      </c>
      <c r="BD1035">
        <v>0</v>
      </c>
      <c r="BE1035">
        <v>14</v>
      </c>
      <c r="BF1035">
        <v>25</v>
      </c>
      <c r="BG1035">
        <v>3</v>
      </c>
      <c r="BH1035">
        <v>8</v>
      </c>
      <c r="BI1035">
        <v>3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0</v>
      </c>
      <c r="BQ1035">
        <v>60</v>
      </c>
      <c r="BR1035">
        <v>0</v>
      </c>
      <c r="BS1035">
        <v>3</v>
      </c>
      <c r="BT1035" t="s">
        <v>250</v>
      </c>
      <c r="BU1035" t="s">
        <v>273</v>
      </c>
      <c r="BV1035" t="b">
        <v>0</v>
      </c>
      <c r="BW1035" t="s">
        <v>268</v>
      </c>
    </row>
    <row r="1036" spans="1:75">
      <c r="A1036" t="s">
        <v>250</v>
      </c>
      <c r="B1036" t="s">
        <v>252</v>
      </c>
      <c r="C1036">
        <v>732</v>
      </c>
      <c r="D1036" t="s">
        <v>253</v>
      </c>
      <c r="E1036" t="s">
        <v>254</v>
      </c>
      <c r="F1036">
        <v>30</v>
      </c>
      <c r="G1036" s="13">
        <v>46268.522835648146</v>
      </c>
      <c r="H1036" s="13">
        <v>46268.59034722222</v>
      </c>
      <c r="I1036">
        <v>5833</v>
      </c>
      <c r="J1036" t="s">
        <v>255</v>
      </c>
      <c r="K1036">
        <v>4</v>
      </c>
      <c r="L1036">
        <v>0.04</v>
      </c>
      <c r="M1036">
        <v>0.01</v>
      </c>
      <c r="N1036">
        <v>4</v>
      </c>
      <c r="O1036">
        <v>0.04</v>
      </c>
      <c r="P1036">
        <v>28.26</v>
      </c>
      <c r="Q1036">
        <v>5.31</v>
      </c>
      <c r="R1036">
        <v>2.99</v>
      </c>
      <c r="S1036" t="s">
        <v>263</v>
      </c>
      <c r="T1036" t="s">
        <v>257</v>
      </c>
      <c r="U1036">
        <v>11</v>
      </c>
      <c r="V1036">
        <v>5668.71</v>
      </c>
      <c r="W1036">
        <v>4999.83</v>
      </c>
      <c r="X1036">
        <v>4971.74</v>
      </c>
      <c r="Y1036">
        <v>0</v>
      </c>
      <c r="Z1036">
        <v>0</v>
      </c>
      <c r="AA1036">
        <v>35</v>
      </c>
      <c r="AB1036">
        <v>50</v>
      </c>
      <c r="AC1036">
        <v>5000</v>
      </c>
      <c r="AD1036">
        <v>0</v>
      </c>
      <c r="AE1036">
        <v>0</v>
      </c>
      <c r="AF1036">
        <v>5671.5</v>
      </c>
      <c r="AG1036">
        <v>5671.5</v>
      </c>
      <c r="AH1036" s="14">
        <v>46268</v>
      </c>
      <c r="AI1036" t="s">
        <v>272</v>
      </c>
      <c r="AJ1036" s="13">
        <v>46262.99790509259</v>
      </c>
      <c r="AK1036">
        <v>5509.79</v>
      </c>
      <c r="AL1036" t="s">
        <v>259</v>
      </c>
      <c r="AM1036" t="s">
        <v>260</v>
      </c>
      <c r="AN1036">
        <v>1400</v>
      </c>
      <c r="AO1036">
        <v>0</v>
      </c>
      <c r="AP1036">
        <v>35</v>
      </c>
      <c r="AQ1036">
        <v>85</v>
      </c>
      <c r="AR1036">
        <v>35</v>
      </c>
      <c r="AS1036">
        <v>2</v>
      </c>
      <c r="AT1036">
        <v>23</v>
      </c>
      <c r="AU1036">
        <v>1</v>
      </c>
      <c r="AV1036">
        <v>0</v>
      </c>
      <c r="AW1036">
        <v>10</v>
      </c>
      <c r="AX1036">
        <v>1</v>
      </c>
      <c r="AY1036">
        <v>5</v>
      </c>
      <c r="AZ1036">
        <v>2</v>
      </c>
      <c r="BA1036">
        <v>1</v>
      </c>
      <c r="BB1036">
        <v>1440</v>
      </c>
      <c r="BC1036">
        <v>0</v>
      </c>
      <c r="BD1036">
        <v>0</v>
      </c>
      <c r="BE1036">
        <v>14</v>
      </c>
      <c r="BF1036">
        <v>25</v>
      </c>
      <c r="BG1036">
        <v>3</v>
      </c>
      <c r="BH1036">
        <v>8</v>
      </c>
      <c r="BI1036">
        <v>3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0</v>
      </c>
      <c r="BQ1036">
        <v>60</v>
      </c>
      <c r="BR1036">
        <v>0</v>
      </c>
      <c r="BS1036">
        <v>3</v>
      </c>
      <c r="BT1036" t="s">
        <v>250</v>
      </c>
      <c r="BU1036" t="s">
        <v>273</v>
      </c>
      <c r="BV1036" t="b">
        <v>0</v>
      </c>
      <c r="BW1036" t="s">
        <v>268</v>
      </c>
    </row>
    <row r="1037" spans="1:75">
      <c r="A1037" t="s">
        <v>250</v>
      </c>
      <c r="B1037" t="s">
        <v>252</v>
      </c>
      <c r="C1037">
        <v>733</v>
      </c>
      <c r="D1037" t="s">
        <v>253</v>
      </c>
      <c r="E1037" t="s">
        <v>254</v>
      </c>
      <c r="F1037">
        <v>30</v>
      </c>
      <c r="G1037" s="13">
        <v>46268.605057870373</v>
      </c>
      <c r="H1037" s="13">
        <v>46268.605081018519</v>
      </c>
      <c r="I1037">
        <v>2</v>
      </c>
      <c r="J1037" t="s">
        <v>264</v>
      </c>
      <c r="K1037">
        <v>1</v>
      </c>
      <c r="L1037">
        <v>0.01</v>
      </c>
      <c r="M1037">
        <v>0.01</v>
      </c>
      <c r="N1037">
        <v>1</v>
      </c>
      <c r="O1037">
        <v>0.01</v>
      </c>
      <c r="P1037">
        <v>0</v>
      </c>
      <c r="Q1037">
        <v>3.18</v>
      </c>
      <c r="R1037">
        <v>3.18</v>
      </c>
      <c r="S1037" t="s">
        <v>256</v>
      </c>
      <c r="T1037" t="s">
        <v>274</v>
      </c>
      <c r="U1037">
        <v>10</v>
      </c>
      <c r="V1037">
        <v>5672.62</v>
      </c>
      <c r="W1037">
        <v>5001.12</v>
      </c>
      <c r="X1037">
        <v>5001.12</v>
      </c>
      <c r="Y1037">
        <v>0</v>
      </c>
      <c r="Z1037">
        <v>0</v>
      </c>
      <c r="AA1037">
        <v>35</v>
      </c>
      <c r="AB1037">
        <v>50</v>
      </c>
      <c r="AC1037">
        <v>5000</v>
      </c>
      <c r="AD1037">
        <v>0</v>
      </c>
      <c r="AE1037">
        <v>0</v>
      </c>
      <c r="AF1037">
        <v>5674.33</v>
      </c>
      <c r="AG1037">
        <v>5674.33</v>
      </c>
      <c r="AH1037" s="14">
        <v>46268</v>
      </c>
      <c r="AI1037" t="s">
        <v>272</v>
      </c>
      <c r="AJ1037" s="13">
        <v>46262.99790509259</v>
      </c>
      <c r="AK1037">
        <v>5509.79</v>
      </c>
      <c r="AL1037" t="s">
        <v>259</v>
      </c>
      <c r="AM1037" t="s">
        <v>260</v>
      </c>
      <c r="AN1037">
        <v>1400</v>
      </c>
      <c r="AO1037">
        <v>0</v>
      </c>
      <c r="AP1037">
        <v>35</v>
      </c>
      <c r="AQ1037">
        <v>85</v>
      </c>
      <c r="AR1037">
        <v>35</v>
      </c>
      <c r="AS1037">
        <v>2</v>
      </c>
      <c r="AT1037">
        <v>23</v>
      </c>
      <c r="AU1037">
        <v>1</v>
      </c>
      <c r="AV1037">
        <v>0</v>
      </c>
      <c r="AW1037">
        <v>10</v>
      </c>
      <c r="AX1037">
        <v>1</v>
      </c>
      <c r="AY1037">
        <v>5</v>
      </c>
      <c r="AZ1037">
        <v>2</v>
      </c>
      <c r="BA1037">
        <v>1</v>
      </c>
      <c r="BB1037">
        <v>1440</v>
      </c>
      <c r="BC1037">
        <v>0</v>
      </c>
      <c r="BD1037">
        <v>0</v>
      </c>
      <c r="BE1037">
        <v>14</v>
      </c>
      <c r="BF1037">
        <v>25</v>
      </c>
      <c r="BG1037">
        <v>3</v>
      </c>
      <c r="BH1037">
        <v>8</v>
      </c>
      <c r="BI1037">
        <v>3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0</v>
      </c>
      <c r="BQ1037">
        <v>60</v>
      </c>
      <c r="BR1037">
        <v>0</v>
      </c>
      <c r="BS1037">
        <v>3</v>
      </c>
      <c r="BT1037" t="s">
        <v>250</v>
      </c>
      <c r="BU1037" t="s">
        <v>273</v>
      </c>
      <c r="BV1037" t="b">
        <v>0</v>
      </c>
      <c r="BW1037" t="s">
        <v>268</v>
      </c>
    </row>
    <row r="1038" spans="1:75">
      <c r="A1038" t="s">
        <v>250</v>
      </c>
      <c r="B1038" t="s">
        <v>252</v>
      </c>
      <c r="C1038">
        <v>734</v>
      </c>
      <c r="D1038" t="s">
        <v>253</v>
      </c>
      <c r="E1038" t="s">
        <v>254</v>
      </c>
      <c r="F1038">
        <v>30</v>
      </c>
      <c r="G1038" s="13">
        <v>46268.625821759262</v>
      </c>
      <c r="H1038" s="13">
        <v>46268.627210648148</v>
      </c>
      <c r="I1038">
        <v>120</v>
      </c>
      <c r="J1038" t="s">
        <v>255</v>
      </c>
      <c r="K1038">
        <v>1</v>
      </c>
      <c r="L1038">
        <v>0.01</v>
      </c>
      <c r="M1038">
        <v>0.01</v>
      </c>
      <c r="N1038">
        <v>1</v>
      </c>
      <c r="O1038">
        <v>0.01</v>
      </c>
      <c r="P1038">
        <v>1.56</v>
      </c>
      <c r="Q1038">
        <v>1.29</v>
      </c>
      <c r="R1038">
        <v>1.1299999999999999</v>
      </c>
      <c r="S1038" t="s">
        <v>256</v>
      </c>
      <c r="T1038" t="s">
        <v>257</v>
      </c>
      <c r="U1038">
        <v>10</v>
      </c>
      <c r="V1038">
        <v>5674.16</v>
      </c>
      <c r="W1038">
        <v>4999.83</v>
      </c>
      <c r="X1038">
        <v>4998.4399999999996</v>
      </c>
      <c r="Y1038">
        <v>0</v>
      </c>
      <c r="Z1038">
        <v>0</v>
      </c>
      <c r="AA1038">
        <v>35</v>
      </c>
      <c r="AB1038">
        <v>50</v>
      </c>
      <c r="AC1038">
        <v>5000</v>
      </c>
      <c r="AD1038">
        <v>0</v>
      </c>
      <c r="AE1038">
        <v>0</v>
      </c>
      <c r="AF1038">
        <v>5675.27</v>
      </c>
      <c r="AG1038">
        <v>5675.27</v>
      </c>
      <c r="AH1038" s="14">
        <v>46268</v>
      </c>
      <c r="AI1038" t="s">
        <v>272</v>
      </c>
      <c r="AJ1038" s="13">
        <v>46262.99790509259</v>
      </c>
      <c r="AK1038">
        <v>5509.79</v>
      </c>
      <c r="AL1038" t="s">
        <v>259</v>
      </c>
      <c r="AM1038" t="s">
        <v>260</v>
      </c>
      <c r="AN1038">
        <v>1400</v>
      </c>
      <c r="AO1038">
        <v>0</v>
      </c>
      <c r="AP1038">
        <v>35</v>
      </c>
      <c r="AQ1038">
        <v>85</v>
      </c>
      <c r="AR1038">
        <v>35</v>
      </c>
      <c r="AS1038">
        <v>2</v>
      </c>
      <c r="AT1038">
        <v>23</v>
      </c>
      <c r="AU1038">
        <v>1</v>
      </c>
      <c r="AV1038">
        <v>0</v>
      </c>
      <c r="AW1038">
        <v>10</v>
      </c>
      <c r="AX1038">
        <v>1</v>
      </c>
      <c r="AY1038">
        <v>5</v>
      </c>
      <c r="AZ1038">
        <v>2</v>
      </c>
      <c r="BA1038">
        <v>1</v>
      </c>
      <c r="BB1038">
        <v>1440</v>
      </c>
      <c r="BC1038">
        <v>0</v>
      </c>
      <c r="BD1038">
        <v>0</v>
      </c>
      <c r="BE1038">
        <v>14</v>
      </c>
      <c r="BF1038">
        <v>25</v>
      </c>
      <c r="BG1038">
        <v>3</v>
      </c>
      <c r="BH1038">
        <v>8</v>
      </c>
      <c r="BI1038">
        <v>3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0</v>
      </c>
      <c r="BQ1038">
        <v>60</v>
      </c>
      <c r="BR1038">
        <v>0</v>
      </c>
      <c r="BS1038">
        <v>3</v>
      </c>
      <c r="BT1038" t="s">
        <v>250</v>
      </c>
      <c r="BU1038" t="s">
        <v>273</v>
      </c>
      <c r="BV1038" t="b">
        <v>0</v>
      </c>
      <c r="BW1038" t="s">
        <v>268</v>
      </c>
    </row>
    <row r="1039" spans="1:75">
      <c r="A1039" t="s">
        <v>250</v>
      </c>
      <c r="B1039" t="s">
        <v>252</v>
      </c>
      <c r="C1039">
        <v>735</v>
      </c>
      <c r="D1039" t="s">
        <v>253</v>
      </c>
      <c r="E1039" t="s">
        <v>254</v>
      </c>
      <c r="F1039">
        <v>30</v>
      </c>
      <c r="G1039" s="13">
        <v>46268.645844907405</v>
      </c>
      <c r="H1039" s="13">
        <v>46268.645856481482</v>
      </c>
      <c r="I1039">
        <v>1</v>
      </c>
      <c r="J1039" t="s">
        <v>255</v>
      </c>
      <c r="K1039">
        <v>1</v>
      </c>
      <c r="L1039">
        <v>0.01</v>
      </c>
      <c r="M1039">
        <v>0.01</v>
      </c>
      <c r="N1039">
        <v>1</v>
      </c>
      <c r="O1039">
        <v>0.01</v>
      </c>
      <c r="P1039">
        <v>0.2</v>
      </c>
      <c r="Q1039">
        <v>7.65</v>
      </c>
      <c r="R1039">
        <v>7.65</v>
      </c>
      <c r="S1039" t="s">
        <v>256</v>
      </c>
      <c r="T1039" t="s">
        <v>257</v>
      </c>
      <c r="U1039">
        <v>15</v>
      </c>
      <c r="V1039">
        <v>5675.07</v>
      </c>
      <c r="W1039">
        <v>4999.8</v>
      </c>
      <c r="X1039">
        <v>4999.8</v>
      </c>
      <c r="Y1039">
        <v>0</v>
      </c>
      <c r="Z1039">
        <v>0</v>
      </c>
      <c r="AA1039">
        <v>35</v>
      </c>
      <c r="AB1039">
        <v>50</v>
      </c>
      <c r="AC1039">
        <v>5000</v>
      </c>
      <c r="AD1039">
        <v>0</v>
      </c>
      <c r="AE1039">
        <v>0</v>
      </c>
      <c r="AF1039">
        <v>5682.57</v>
      </c>
      <c r="AG1039">
        <v>5682.57</v>
      </c>
      <c r="AH1039" s="14">
        <v>46268</v>
      </c>
      <c r="AI1039" t="s">
        <v>272</v>
      </c>
      <c r="AJ1039" s="13">
        <v>46262.99790509259</v>
      </c>
      <c r="AK1039">
        <v>5509.79</v>
      </c>
      <c r="AL1039" t="s">
        <v>259</v>
      </c>
      <c r="AM1039" t="s">
        <v>260</v>
      </c>
      <c r="AN1039">
        <v>1400</v>
      </c>
      <c r="AO1039">
        <v>0</v>
      </c>
      <c r="AP1039">
        <v>35</v>
      </c>
      <c r="AQ1039">
        <v>85</v>
      </c>
      <c r="AR1039">
        <v>35</v>
      </c>
      <c r="AS1039">
        <v>2</v>
      </c>
      <c r="AT1039">
        <v>23</v>
      </c>
      <c r="AU1039">
        <v>1</v>
      </c>
      <c r="AV1039">
        <v>0</v>
      </c>
      <c r="AW1039">
        <v>10</v>
      </c>
      <c r="AX1039">
        <v>1</v>
      </c>
      <c r="AY1039">
        <v>5</v>
      </c>
      <c r="AZ1039">
        <v>2</v>
      </c>
      <c r="BA1039">
        <v>1</v>
      </c>
      <c r="BB1039">
        <v>1440</v>
      </c>
      <c r="BC1039">
        <v>0</v>
      </c>
      <c r="BD1039">
        <v>0</v>
      </c>
      <c r="BE1039">
        <v>14</v>
      </c>
      <c r="BF1039">
        <v>25</v>
      </c>
      <c r="BG1039">
        <v>3</v>
      </c>
      <c r="BH1039">
        <v>8</v>
      </c>
      <c r="BI1039">
        <v>3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0</v>
      </c>
      <c r="BQ1039">
        <v>60</v>
      </c>
      <c r="BR1039">
        <v>0</v>
      </c>
      <c r="BS1039">
        <v>3</v>
      </c>
      <c r="BT1039" t="s">
        <v>250</v>
      </c>
      <c r="BU1039" t="s">
        <v>273</v>
      </c>
      <c r="BV1039" t="b">
        <v>0</v>
      </c>
      <c r="BW1039" t="s">
        <v>268</v>
      </c>
    </row>
    <row r="1040" spans="1:75">
      <c r="A1040" t="s">
        <v>250</v>
      </c>
      <c r="B1040" t="s">
        <v>252</v>
      </c>
      <c r="C1040">
        <v>736</v>
      </c>
      <c r="D1040" t="s">
        <v>253</v>
      </c>
      <c r="E1040" t="s">
        <v>254</v>
      </c>
      <c r="F1040">
        <v>30</v>
      </c>
      <c r="G1040" s="13">
        <v>46268.666759259257</v>
      </c>
      <c r="H1040" s="13">
        <v>46268.669398148151</v>
      </c>
      <c r="I1040">
        <v>228</v>
      </c>
      <c r="J1040" t="s">
        <v>255</v>
      </c>
      <c r="K1040">
        <v>1</v>
      </c>
      <c r="L1040">
        <v>0.01</v>
      </c>
      <c r="M1040">
        <v>0.01</v>
      </c>
      <c r="N1040">
        <v>1</v>
      </c>
      <c r="O1040">
        <v>0.01</v>
      </c>
      <c r="P1040">
        <v>5.99</v>
      </c>
      <c r="Q1040">
        <v>1.57</v>
      </c>
      <c r="R1040">
        <v>1.25</v>
      </c>
      <c r="S1040" t="s">
        <v>256</v>
      </c>
      <c r="T1040" t="s">
        <v>257</v>
      </c>
      <c r="U1040">
        <v>10</v>
      </c>
      <c r="V1040">
        <v>5682.4</v>
      </c>
      <c r="W1040">
        <v>4999.83</v>
      </c>
      <c r="X1040">
        <v>4994.01</v>
      </c>
      <c r="Y1040">
        <v>0</v>
      </c>
      <c r="Z1040">
        <v>0</v>
      </c>
      <c r="AA1040">
        <v>35</v>
      </c>
      <c r="AB1040">
        <v>50</v>
      </c>
      <c r="AC1040">
        <v>5000</v>
      </c>
      <c r="AD1040">
        <v>0</v>
      </c>
      <c r="AE1040">
        <v>0</v>
      </c>
      <c r="AF1040">
        <v>5683.75</v>
      </c>
      <c r="AG1040">
        <v>5683.75</v>
      </c>
      <c r="AH1040" s="14">
        <v>46268</v>
      </c>
      <c r="AI1040" t="s">
        <v>272</v>
      </c>
      <c r="AJ1040" s="13">
        <v>46262.99790509259</v>
      </c>
      <c r="AK1040">
        <v>5509.79</v>
      </c>
      <c r="AL1040" t="s">
        <v>259</v>
      </c>
      <c r="AM1040" t="s">
        <v>260</v>
      </c>
      <c r="AN1040">
        <v>1400</v>
      </c>
      <c r="AO1040">
        <v>0</v>
      </c>
      <c r="AP1040">
        <v>35</v>
      </c>
      <c r="AQ1040">
        <v>85</v>
      </c>
      <c r="AR1040">
        <v>35</v>
      </c>
      <c r="AS1040">
        <v>2</v>
      </c>
      <c r="AT1040">
        <v>23</v>
      </c>
      <c r="AU1040">
        <v>1</v>
      </c>
      <c r="AV1040">
        <v>0</v>
      </c>
      <c r="AW1040">
        <v>10</v>
      </c>
      <c r="AX1040">
        <v>1</v>
      </c>
      <c r="AY1040">
        <v>5</v>
      </c>
      <c r="AZ1040">
        <v>2</v>
      </c>
      <c r="BA1040">
        <v>1</v>
      </c>
      <c r="BB1040">
        <v>1440</v>
      </c>
      <c r="BC1040">
        <v>0</v>
      </c>
      <c r="BD1040">
        <v>0</v>
      </c>
      <c r="BE1040">
        <v>14</v>
      </c>
      <c r="BF1040">
        <v>25</v>
      </c>
      <c r="BG1040">
        <v>3</v>
      </c>
      <c r="BH1040">
        <v>8</v>
      </c>
      <c r="BI1040">
        <v>3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0</v>
      </c>
      <c r="BQ1040">
        <v>60</v>
      </c>
      <c r="BR1040">
        <v>0</v>
      </c>
      <c r="BS1040">
        <v>3</v>
      </c>
      <c r="BT1040" t="s">
        <v>250</v>
      </c>
      <c r="BU1040" t="s">
        <v>273</v>
      </c>
      <c r="BV1040" t="b">
        <v>0</v>
      </c>
      <c r="BW1040" t="s">
        <v>268</v>
      </c>
    </row>
    <row r="1041" spans="1:75">
      <c r="A1041" t="s">
        <v>250</v>
      </c>
      <c r="B1041" t="s">
        <v>252</v>
      </c>
      <c r="C1041">
        <v>737</v>
      </c>
      <c r="D1041" t="s">
        <v>253</v>
      </c>
      <c r="E1041" t="s">
        <v>254</v>
      </c>
      <c r="F1041">
        <v>30</v>
      </c>
      <c r="G1041" s="13">
        <v>46268.687789351854</v>
      </c>
      <c r="H1041" s="13">
        <v>46268.687847222223</v>
      </c>
      <c r="I1041">
        <v>5</v>
      </c>
      <c r="J1041" t="s">
        <v>264</v>
      </c>
      <c r="K1041">
        <v>1</v>
      </c>
      <c r="L1041">
        <v>0.01</v>
      </c>
      <c r="M1041">
        <v>0.01</v>
      </c>
      <c r="N1041">
        <v>1</v>
      </c>
      <c r="O1041">
        <v>0.01</v>
      </c>
      <c r="P1041">
        <v>0.75</v>
      </c>
      <c r="Q1041">
        <v>1.04</v>
      </c>
      <c r="R1041">
        <v>1.03</v>
      </c>
      <c r="S1041" t="s">
        <v>256</v>
      </c>
      <c r="T1041" t="s">
        <v>257</v>
      </c>
      <c r="U1041">
        <v>11</v>
      </c>
      <c r="V1041">
        <v>5683.58</v>
      </c>
      <c r="W1041">
        <v>4999.83</v>
      </c>
      <c r="X1041">
        <v>4999.25</v>
      </c>
      <c r="Y1041">
        <v>0</v>
      </c>
      <c r="Z1041">
        <v>0</v>
      </c>
      <c r="AA1041">
        <v>35</v>
      </c>
      <c r="AB1041">
        <v>50</v>
      </c>
      <c r="AC1041">
        <v>5000</v>
      </c>
      <c r="AD1041">
        <v>0</v>
      </c>
      <c r="AE1041">
        <v>0</v>
      </c>
      <c r="AF1041">
        <v>5684.44</v>
      </c>
      <c r="AG1041">
        <v>5684.44</v>
      </c>
      <c r="AH1041" s="14">
        <v>46268</v>
      </c>
      <c r="AI1041" t="s">
        <v>272</v>
      </c>
      <c r="AJ1041" s="13">
        <v>46262.99790509259</v>
      </c>
      <c r="AK1041">
        <v>5509.79</v>
      </c>
      <c r="AL1041" t="s">
        <v>259</v>
      </c>
      <c r="AM1041" t="s">
        <v>260</v>
      </c>
      <c r="AN1041">
        <v>1400</v>
      </c>
      <c r="AO1041">
        <v>0</v>
      </c>
      <c r="AP1041">
        <v>35</v>
      </c>
      <c r="AQ1041">
        <v>85</v>
      </c>
      <c r="AR1041">
        <v>35</v>
      </c>
      <c r="AS1041">
        <v>2</v>
      </c>
      <c r="AT1041">
        <v>23</v>
      </c>
      <c r="AU1041">
        <v>1</v>
      </c>
      <c r="AV1041">
        <v>0</v>
      </c>
      <c r="AW1041">
        <v>10</v>
      </c>
      <c r="AX1041">
        <v>1</v>
      </c>
      <c r="AY1041">
        <v>5</v>
      </c>
      <c r="AZ1041">
        <v>2</v>
      </c>
      <c r="BA1041">
        <v>1</v>
      </c>
      <c r="BB1041">
        <v>1440</v>
      </c>
      <c r="BC1041">
        <v>0</v>
      </c>
      <c r="BD1041">
        <v>0</v>
      </c>
      <c r="BE1041">
        <v>14</v>
      </c>
      <c r="BF1041">
        <v>25</v>
      </c>
      <c r="BG1041">
        <v>3</v>
      </c>
      <c r="BH1041">
        <v>8</v>
      </c>
      <c r="BI1041">
        <v>3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0</v>
      </c>
      <c r="BQ1041">
        <v>60</v>
      </c>
      <c r="BR1041">
        <v>0</v>
      </c>
      <c r="BS1041">
        <v>3</v>
      </c>
      <c r="BT1041" t="s">
        <v>250</v>
      </c>
      <c r="BU1041" t="s">
        <v>273</v>
      </c>
      <c r="BV1041" t="b">
        <v>0</v>
      </c>
      <c r="BW1041" t="s">
        <v>268</v>
      </c>
    </row>
    <row r="1042" spans="1:75">
      <c r="A1042" t="s">
        <v>250</v>
      </c>
      <c r="B1042" t="s">
        <v>252</v>
      </c>
      <c r="C1042">
        <v>738</v>
      </c>
      <c r="D1042" t="s">
        <v>253</v>
      </c>
      <c r="E1042" t="s">
        <v>254</v>
      </c>
      <c r="F1042">
        <v>30</v>
      </c>
      <c r="G1042" s="13">
        <v>46268.708333333336</v>
      </c>
      <c r="H1042" s="13">
        <v>46268.708414351851</v>
      </c>
      <c r="I1042">
        <v>7</v>
      </c>
      <c r="J1042" t="s">
        <v>264</v>
      </c>
      <c r="K1042">
        <v>0</v>
      </c>
      <c r="L1042">
        <v>0</v>
      </c>
      <c r="M1042">
        <v>0.01</v>
      </c>
      <c r="N1042">
        <v>1</v>
      </c>
      <c r="O1042">
        <v>0.01</v>
      </c>
      <c r="P1042">
        <v>0.2</v>
      </c>
      <c r="Q1042">
        <v>6.69</v>
      </c>
      <c r="R1042">
        <v>0</v>
      </c>
      <c r="S1042" t="s">
        <v>263</v>
      </c>
      <c r="T1042" t="s">
        <v>256</v>
      </c>
      <c r="U1042">
        <v>14</v>
      </c>
      <c r="V1042">
        <v>5684.24</v>
      </c>
      <c r="W1042">
        <v>4999.8</v>
      </c>
      <c r="X1042">
        <v>4999.8</v>
      </c>
      <c r="Y1042">
        <v>0</v>
      </c>
      <c r="Z1042">
        <v>0</v>
      </c>
      <c r="AA1042">
        <v>35</v>
      </c>
      <c r="AB1042">
        <v>50</v>
      </c>
      <c r="AC1042">
        <v>5000</v>
      </c>
      <c r="AD1042">
        <v>0</v>
      </c>
      <c r="AE1042">
        <v>0</v>
      </c>
      <c r="AF1042">
        <v>5690.57</v>
      </c>
      <c r="AG1042">
        <v>5690.57</v>
      </c>
      <c r="AH1042" s="14">
        <v>46268</v>
      </c>
      <c r="AI1042" t="s">
        <v>272</v>
      </c>
      <c r="AJ1042" s="13">
        <v>46262.99790509259</v>
      </c>
      <c r="AK1042">
        <v>5509.79</v>
      </c>
      <c r="AL1042" t="s">
        <v>259</v>
      </c>
      <c r="AM1042" t="s">
        <v>260</v>
      </c>
      <c r="AN1042">
        <v>1400</v>
      </c>
      <c r="AO1042">
        <v>0</v>
      </c>
      <c r="AP1042">
        <v>35</v>
      </c>
      <c r="AQ1042">
        <v>85</v>
      </c>
      <c r="AR1042">
        <v>35</v>
      </c>
      <c r="AS1042">
        <v>2</v>
      </c>
      <c r="AT1042">
        <v>23</v>
      </c>
      <c r="AU1042">
        <v>1</v>
      </c>
      <c r="AV1042">
        <v>0</v>
      </c>
      <c r="AW1042">
        <v>10</v>
      </c>
      <c r="AX1042">
        <v>1</v>
      </c>
      <c r="AY1042">
        <v>5</v>
      </c>
      <c r="AZ1042">
        <v>2</v>
      </c>
      <c r="BA1042">
        <v>1</v>
      </c>
      <c r="BB1042">
        <v>1440</v>
      </c>
      <c r="BC1042">
        <v>0</v>
      </c>
      <c r="BD1042">
        <v>0</v>
      </c>
      <c r="BE1042">
        <v>14</v>
      </c>
      <c r="BF1042">
        <v>25</v>
      </c>
      <c r="BG1042">
        <v>3</v>
      </c>
      <c r="BH1042">
        <v>8</v>
      </c>
      <c r="BI1042">
        <v>3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0</v>
      </c>
      <c r="BQ1042">
        <v>60</v>
      </c>
      <c r="BR1042">
        <v>0</v>
      </c>
      <c r="BS1042">
        <v>3</v>
      </c>
      <c r="BT1042" t="s">
        <v>250</v>
      </c>
      <c r="BU1042" t="s">
        <v>273</v>
      </c>
      <c r="BV1042" t="b">
        <v>0</v>
      </c>
      <c r="BW1042" t="s">
        <v>268</v>
      </c>
    </row>
    <row r="1043" spans="1:75">
      <c r="A1043" t="s">
        <v>250</v>
      </c>
      <c r="B1043" t="s">
        <v>252</v>
      </c>
      <c r="C1043">
        <v>739</v>
      </c>
      <c r="D1043" t="s">
        <v>253</v>
      </c>
      <c r="E1043" t="s">
        <v>254</v>
      </c>
      <c r="F1043">
        <v>30</v>
      </c>
      <c r="G1043" s="13">
        <v>46268.731076388889</v>
      </c>
      <c r="H1043" s="13">
        <v>46268.731990740744</v>
      </c>
      <c r="I1043">
        <v>79</v>
      </c>
      <c r="J1043" t="s">
        <v>264</v>
      </c>
      <c r="K1043">
        <v>1</v>
      </c>
      <c r="L1043">
        <v>0.01</v>
      </c>
      <c r="M1043">
        <v>0.01</v>
      </c>
      <c r="N1043">
        <v>1</v>
      </c>
      <c r="O1043">
        <v>0.01</v>
      </c>
      <c r="P1043">
        <v>2.72</v>
      </c>
      <c r="Q1043">
        <v>2.87</v>
      </c>
      <c r="R1043">
        <v>2.84</v>
      </c>
      <c r="S1043" t="s">
        <v>256</v>
      </c>
      <c r="T1043" t="s">
        <v>257</v>
      </c>
      <c r="U1043">
        <v>10</v>
      </c>
      <c r="V1043">
        <v>5690.4</v>
      </c>
      <c r="W1043">
        <v>4999.83</v>
      </c>
      <c r="X1043">
        <v>4997.28</v>
      </c>
      <c r="Y1043">
        <v>0</v>
      </c>
      <c r="Z1043">
        <v>0</v>
      </c>
      <c r="AA1043">
        <v>35</v>
      </c>
      <c r="AB1043">
        <v>50</v>
      </c>
      <c r="AC1043">
        <v>5000</v>
      </c>
      <c r="AD1043">
        <v>0</v>
      </c>
      <c r="AE1043">
        <v>0</v>
      </c>
      <c r="AF1043">
        <v>5693.16</v>
      </c>
      <c r="AG1043">
        <v>5693.16</v>
      </c>
      <c r="AH1043" s="14">
        <v>46268</v>
      </c>
      <c r="AI1043" t="s">
        <v>272</v>
      </c>
      <c r="AJ1043" s="13">
        <v>46262.99790509259</v>
      </c>
      <c r="AK1043">
        <v>5509.79</v>
      </c>
      <c r="AL1043" t="s">
        <v>259</v>
      </c>
      <c r="AM1043" t="s">
        <v>260</v>
      </c>
      <c r="AN1043">
        <v>1400</v>
      </c>
      <c r="AO1043">
        <v>0</v>
      </c>
      <c r="AP1043">
        <v>35</v>
      </c>
      <c r="AQ1043">
        <v>85</v>
      </c>
      <c r="AR1043">
        <v>35</v>
      </c>
      <c r="AS1043">
        <v>2</v>
      </c>
      <c r="AT1043">
        <v>23</v>
      </c>
      <c r="AU1043">
        <v>1</v>
      </c>
      <c r="AV1043">
        <v>0</v>
      </c>
      <c r="AW1043">
        <v>10</v>
      </c>
      <c r="AX1043">
        <v>1</v>
      </c>
      <c r="AY1043">
        <v>5</v>
      </c>
      <c r="AZ1043">
        <v>2</v>
      </c>
      <c r="BA1043">
        <v>1</v>
      </c>
      <c r="BB1043">
        <v>1440</v>
      </c>
      <c r="BC1043">
        <v>0</v>
      </c>
      <c r="BD1043">
        <v>0</v>
      </c>
      <c r="BE1043">
        <v>14</v>
      </c>
      <c r="BF1043">
        <v>25</v>
      </c>
      <c r="BG1043">
        <v>3</v>
      </c>
      <c r="BH1043">
        <v>8</v>
      </c>
      <c r="BI1043">
        <v>3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0</v>
      </c>
      <c r="BQ1043">
        <v>60</v>
      </c>
      <c r="BR1043">
        <v>0</v>
      </c>
      <c r="BS1043">
        <v>3</v>
      </c>
      <c r="BT1043" t="s">
        <v>250</v>
      </c>
      <c r="BU1043" t="s">
        <v>273</v>
      </c>
      <c r="BV1043" t="b">
        <v>0</v>
      </c>
      <c r="BW1043" t="s">
        <v>268</v>
      </c>
    </row>
    <row r="1044" spans="1:75">
      <c r="A1044" t="s">
        <v>250</v>
      </c>
      <c r="B1044" t="s">
        <v>252</v>
      </c>
      <c r="C1044">
        <v>740</v>
      </c>
      <c r="D1044" t="s">
        <v>253</v>
      </c>
      <c r="E1044" t="s">
        <v>254</v>
      </c>
      <c r="F1044">
        <v>30</v>
      </c>
      <c r="G1044" s="13">
        <v>46268.750775462962</v>
      </c>
      <c r="H1044" s="13">
        <v>46268.750902777778</v>
      </c>
      <c r="I1044">
        <v>11</v>
      </c>
      <c r="J1044" t="s">
        <v>255</v>
      </c>
      <c r="K1044">
        <v>1</v>
      </c>
      <c r="L1044">
        <v>0.01</v>
      </c>
      <c r="M1044">
        <v>0.01</v>
      </c>
      <c r="N1044">
        <v>1</v>
      </c>
      <c r="O1044">
        <v>0.01</v>
      </c>
      <c r="P1044">
        <v>0.28000000000000003</v>
      </c>
      <c r="Q1044">
        <v>1.24</v>
      </c>
      <c r="R1044">
        <v>0.92</v>
      </c>
      <c r="S1044" t="s">
        <v>256</v>
      </c>
      <c r="T1044" t="s">
        <v>257</v>
      </c>
      <c r="U1044">
        <v>10</v>
      </c>
      <c r="V1044">
        <v>5692.99</v>
      </c>
      <c r="W1044">
        <v>4999.83</v>
      </c>
      <c r="X1044">
        <v>4999.72</v>
      </c>
      <c r="Y1044">
        <v>0</v>
      </c>
      <c r="Z1044">
        <v>0</v>
      </c>
      <c r="AA1044">
        <v>35</v>
      </c>
      <c r="AB1044">
        <v>50</v>
      </c>
      <c r="AC1044">
        <v>5000</v>
      </c>
      <c r="AD1044">
        <v>0</v>
      </c>
      <c r="AE1044">
        <v>0</v>
      </c>
      <c r="AF1044">
        <v>5694.05</v>
      </c>
      <c r="AG1044">
        <v>5694.05</v>
      </c>
      <c r="AH1044" s="14">
        <v>46268</v>
      </c>
      <c r="AI1044" t="s">
        <v>272</v>
      </c>
      <c r="AJ1044" s="13">
        <v>46262.99790509259</v>
      </c>
      <c r="AK1044">
        <v>5509.79</v>
      </c>
      <c r="AL1044" t="s">
        <v>259</v>
      </c>
      <c r="AM1044" t="s">
        <v>260</v>
      </c>
      <c r="AN1044">
        <v>1400</v>
      </c>
      <c r="AO1044">
        <v>0</v>
      </c>
      <c r="AP1044">
        <v>35</v>
      </c>
      <c r="AQ1044">
        <v>85</v>
      </c>
      <c r="AR1044">
        <v>35</v>
      </c>
      <c r="AS1044">
        <v>2</v>
      </c>
      <c r="AT1044">
        <v>23</v>
      </c>
      <c r="AU1044">
        <v>1</v>
      </c>
      <c r="AV1044">
        <v>0</v>
      </c>
      <c r="AW1044">
        <v>10</v>
      </c>
      <c r="AX1044">
        <v>1</v>
      </c>
      <c r="AY1044">
        <v>5</v>
      </c>
      <c r="AZ1044">
        <v>2</v>
      </c>
      <c r="BA1044">
        <v>1</v>
      </c>
      <c r="BB1044">
        <v>1440</v>
      </c>
      <c r="BC1044">
        <v>0</v>
      </c>
      <c r="BD1044">
        <v>0</v>
      </c>
      <c r="BE1044">
        <v>14</v>
      </c>
      <c r="BF1044">
        <v>25</v>
      </c>
      <c r="BG1044">
        <v>3</v>
      </c>
      <c r="BH1044">
        <v>8</v>
      </c>
      <c r="BI1044">
        <v>3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0</v>
      </c>
      <c r="BQ1044">
        <v>60</v>
      </c>
      <c r="BR1044">
        <v>0</v>
      </c>
      <c r="BS1044">
        <v>3</v>
      </c>
      <c r="BT1044" t="s">
        <v>250</v>
      </c>
      <c r="BU1044" t="s">
        <v>273</v>
      </c>
      <c r="BV1044" t="b">
        <v>0</v>
      </c>
      <c r="BW1044" t="s">
        <v>268</v>
      </c>
    </row>
    <row r="1045" spans="1:75">
      <c r="A1045" t="s">
        <v>250</v>
      </c>
      <c r="B1045" t="s">
        <v>252</v>
      </c>
      <c r="C1045">
        <v>741</v>
      </c>
      <c r="D1045" t="s">
        <v>253</v>
      </c>
      <c r="E1045" t="s">
        <v>254</v>
      </c>
      <c r="F1045">
        <v>30</v>
      </c>
      <c r="G1045" s="13">
        <v>46268.771620370368</v>
      </c>
      <c r="H1045" s="13">
        <v>46268.772118055553</v>
      </c>
      <c r="I1045">
        <v>43</v>
      </c>
      <c r="J1045" t="s">
        <v>264</v>
      </c>
      <c r="K1045">
        <v>1</v>
      </c>
      <c r="L1045">
        <v>0.01</v>
      </c>
      <c r="M1045">
        <v>0.01</v>
      </c>
      <c r="N1045">
        <v>1</v>
      </c>
      <c r="O1045">
        <v>0.01</v>
      </c>
      <c r="P1045">
        <v>1.74</v>
      </c>
      <c r="Q1045">
        <v>1.56</v>
      </c>
      <c r="R1045">
        <v>1.07</v>
      </c>
      <c r="S1045" t="s">
        <v>256</v>
      </c>
      <c r="T1045" t="s">
        <v>257</v>
      </c>
      <c r="U1045">
        <v>11</v>
      </c>
      <c r="V1045">
        <v>5693.89</v>
      </c>
      <c r="W1045">
        <v>4999.84</v>
      </c>
      <c r="X1045">
        <v>4998.26</v>
      </c>
      <c r="Y1045">
        <v>0</v>
      </c>
      <c r="Z1045">
        <v>0</v>
      </c>
      <c r="AA1045">
        <v>35</v>
      </c>
      <c r="AB1045">
        <v>50</v>
      </c>
      <c r="AC1045">
        <v>5000</v>
      </c>
      <c r="AD1045">
        <v>0</v>
      </c>
      <c r="AE1045">
        <v>0</v>
      </c>
      <c r="AF1045">
        <v>5695.1</v>
      </c>
      <c r="AG1045">
        <v>5695.1</v>
      </c>
      <c r="AH1045" s="14">
        <v>46268</v>
      </c>
      <c r="AI1045" t="s">
        <v>272</v>
      </c>
      <c r="AJ1045" s="13">
        <v>46262.99790509259</v>
      </c>
      <c r="AK1045">
        <v>5509.79</v>
      </c>
      <c r="AL1045" t="s">
        <v>259</v>
      </c>
      <c r="AM1045" t="s">
        <v>260</v>
      </c>
      <c r="AN1045">
        <v>1400</v>
      </c>
      <c r="AO1045">
        <v>0</v>
      </c>
      <c r="AP1045">
        <v>35</v>
      </c>
      <c r="AQ1045">
        <v>85</v>
      </c>
      <c r="AR1045">
        <v>35</v>
      </c>
      <c r="AS1045">
        <v>2</v>
      </c>
      <c r="AT1045">
        <v>23</v>
      </c>
      <c r="AU1045">
        <v>1</v>
      </c>
      <c r="AV1045">
        <v>0</v>
      </c>
      <c r="AW1045">
        <v>10</v>
      </c>
      <c r="AX1045">
        <v>1</v>
      </c>
      <c r="AY1045">
        <v>5</v>
      </c>
      <c r="AZ1045">
        <v>2</v>
      </c>
      <c r="BA1045">
        <v>1</v>
      </c>
      <c r="BB1045">
        <v>1440</v>
      </c>
      <c r="BC1045">
        <v>0</v>
      </c>
      <c r="BD1045">
        <v>0</v>
      </c>
      <c r="BE1045">
        <v>14</v>
      </c>
      <c r="BF1045">
        <v>25</v>
      </c>
      <c r="BG1045">
        <v>3</v>
      </c>
      <c r="BH1045">
        <v>8</v>
      </c>
      <c r="BI1045">
        <v>3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0</v>
      </c>
      <c r="BQ1045">
        <v>60</v>
      </c>
      <c r="BR1045">
        <v>0</v>
      </c>
      <c r="BS1045">
        <v>3</v>
      </c>
      <c r="BT1045" t="s">
        <v>250</v>
      </c>
      <c r="BU1045" t="s">
        <v>273</v>
      </c>
      <c r="BV1045" t="b">
        <v>0</v>
      </c>
      <c r="BW1045" t="s">
        <v>268</v>
      </c>
    </row>
    <row r="1046" spans="1:75">
      <c r="A1046" t="s">
        <v>250</v>
      </c>
      <c r="B1046" t="s">
        <v>252</v>
      </c>
      <c r="C1046">
        <v>742</v>
      </c>
      <c r="D1046" t="s">
        <v>253</v>
      </c>
      <c r="E1046" t="s">
        <v>254</v>
      </c>
      <c r="F1046">
        <v>30</v>
      </c>
      <c r="G1046" s="13">
        <v>46268.795243055552</v>
      </c>
      <c r="H1046" s="13">
        <v>46268.795960648145</v>
      </c>
      <c r="I1046">
        <v>62</v>
      </c>
      <c r="J1046" t="s">
        <v>264</v>
      </c>
      <c r="K1046">
        <v>1</v>
      </c>
      <c r="L1046">
        <v>0.01</v>
      </c>
      <c r="M1046">
        <v>0.01</v>
      </c>
      <c r="N1046">
        <v>1</v>
      </c>
      <c r="O1046">
        <v>0.01</v>
      </c>
      <c r="P1046">
        <v>0.76</v>
      </c>
      <c r="Q1046">
        <v>1.5</v>
      </c>
      <c r="R1046">
        <v>1.25</v>
      </c>
      <c r="S1046" t="s">
        <v>256</v>
      </c>
      <c r="T1046" t="s">
        <v>257</v>
      </c>
      <c r="U1046">
        <v>10</v>
      </c>
      <c r="V1046">
        <v>5694.94</v>
      </c>
      <c r="W1046">
        <v>4999.84</v>
      </c>
      <c r="X1046">
        <v>4999.24</v>
      </c>
      <c r="Y1046">
        <v>0</v>
      </c>
      <c r="Z1046">
        <v>0</v>
      </c>
      <c r="AA1046">
        <v>35</v>
      </c>
      <c r="AB1046">
        <v>50</v>
      </c>
      <c r="AC1046">
        <v>5000</v>
      </c>
      <c r="AD1046">
        <v>0</v>
      </c>
      <c r="AE1046">
        <v>0</v>
      </c>
      <c r="AF1046">
        <v>5696.25</v>
      </c>
      <c r="AG1046">
        <v>5696.25</v>
      </c>
      <c r="AH1046" s="14">
        <v>46268</v>
      </c>
      <c r="AI1046" t="s">
        <v>272</v>
      </c>
      <c r="AJ1046" s="13">
        <v>46262.99790509259</v>
      </c>
      <c r="AK1046">
        <v>5509.79</v>
      </c>
      <c r="AL1046" t="s">
        <v>259</v>
      </c>
      <c r="AM1046" t="s">
        <v>260</v>
      </c>
      <c r="AN1046">
        <v>1400</v>
      </c>
      <c r="AO1046">
        <v>0</v>
      </c>
      <c r="AP1046">
        <v>35</v>
      </c>
      <c r="AQ1046">
        <v>85</v>
      </c>
      <c r="AR1046">
        <v>35</v>
      </c>
      <c r="AS1046">
        <v>2</v>
      </c>
      <c r="AT1046">
        <v>23</v>
      </c>
      <c r="AU1046">
        <v>1</v>
      </c>
      <c r="AV1046">
        <v>0</v>
      </c>
      <c r="AW1046">
        <v>10</v>
      </c>
      <c r="AX1046">
        <v>1</v>
      </c>
      <c r="AY1046">
        <v>5</v>
      </c>
      <c r="AZ1046">
        <v>2</v>
      </c>
      <c r="BA1046">
        <v>1</v>
      </c>
      <c r="BB1046">
        <v>1440</v>
      </c>
      <c r="BC1046">
        <v>0</v>
      </c>
      <c r="BD1046">
        <v>0</v>
      </c>
      <c r="BE1046">
        <v>14</v>
      </c>
      <c r="BF1046">
        <v>25</v>
      </c>
      <c r="BG1046">
        <v>3</v>
      </c>
      <c r="BH1046">
        <v>8</v>
      </c>
      <c r="BI1046">
        <v>3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0</v>
      </c>
      <c r="BQ1046">
        <v>60</v>
      </c>
      <c r="BR1046">
        <v>0</v>
      </c>
      <c r="BS1046">
        <v>3</v>
      </c>
      <c r="BT1046" t="s">
        <v>250</v>
      </c>
      <c r="BU1046" t="s">
        <v>273</v>
      </c>
      <c r="BV1046" t="b">
        <v>0</v>
      </c>
      <c r="BW1046" t="s">
        <v>268</v>
      </c>
    </row>
    <row r="1047" spans="1:75">
      <c r="A1047" t="s">
        <v>250</v>
      </c>
      <c r="B1047" t="s">
        <v>252</v>
      </c>
      <c r="C1047">
        <v>743</v>
      </c>
      <c r="D1047" t="s">
        <v>253</v>
      </c>
      <c r="E1047" t="s">
        <v>254</v>
      </c>
      <c r="F1047">
        <v>30</v>
      </c>
      <c r="G1047" s="13">
        <v>46268.813946759263</v>
      </c>
      <c r="H1047" s="13">
        <v>46268.814236111109</v>
      </c>
      <c r="I1047">
        <v>25</v>
      </c>
      <c r="J1047" t="s">
        <v>264</v>
      </c>
      <c r="K1047">
        <v>1</v>
      </c>
      <c r="L1047">
        <v>0.01</v>
      </c>
      <c r="M1047">
        <v>0.01</v>
      </c>
      <c r="N1047">
        <v>1</v>
      </c>
      <c r="O1047">
        <v>0.01</v>
      </c>
      <c r="P1047">
        <v>0.32</v>
      </c>
      <c r="Q1047">
        <v>2.39</v>
      </c>
      <c r="R1047">
        <v>2.1</v>
      </c>
      <c r="S1047" t="s">
        <v>256</v>
      </c>
      <c r="T1047" t="s">
        <v>257</v>
      </c>
      <c r="U1047">
        <v>11</v>
      </c>
      <c r="V1047">
        <v>5696.09</v>
      </c>
      <c r="W1047">
        <v>4999.84</v>
      </c>
      <c r="X1047">
        <v>4999.68</v>
      </c>
      <c r="Y1047">
        <v>0</v>
      </c>
      <c r="Z1047">
        <v>0</v>
      </c>
      <c r="AA1047">
        <v>35</v>
      </c>
      <c r="AB1047">
        <v>50</v>
      </c>
      <c r="AC1047">
        <v>5000</v>
      </c>
      <c r="AD1047">
        <v>0</v>
      </c>
      <c r="AE1047">
        <v>0</v>
      </c>
      <c r="AF1047">
        <v>5698.28</v>
      </c>
      <c r="AG1047">
        <v>5698.28</v>
      </c>
      <c r="AH1047" s="14">
        <v>46268</v>
      </c>
      <c r="AI1047" t="s">
        <v>272</v>
      </c>
      <c r="AJ1047" s="13">
        <v>46262.99790509259</v>
      </c>
      <c r="AK1047">
        <v>5509.79</v>
      </c>
      <c r="AL1047" t="s">
        <v>259</v>
      </c>
      <c r="AM1047" t="s">
        <v>260</v>
      </c>
      <c r="AN1047">
        <v>1400</v>
      </c>
      <c r="AO1047">
        <v>0</v>
      </c>
      <c r="AP1047">
        <v>35</v>
      </c>
      <c r="AQ1047">
        <v>85</v>
      </c>
      <c r="AR1047">
        <v>35</v>
      </c>
      <c r="AS1047">
        <v>2</v>
      </c>
      <c r="AT1047">
        <v>23</v>
      </c>
      <c r="AU1047">
        <v>1</v>
      </c>
      <c r="AV1047">
        <v>0</v>
      </c>
      <c r="AW1047">
        <v>10</v>
      </c>
      <c r="AX1047">
        <v>1</v>
      </c>
      <c r="AY1047">
        <v>5</v>
      </c>
      <c r="AZ1047">
        <v>2</v>
      </c>
      <c r="BA1047">
        <v>1</v>
      </c>
      <c r="BB1047">
        <v>1440</v>
      </c>
      <c r="BC1047">
        <v>0</v>
      </c>
      <c r="BD1047">
        <v>0</v>
      </c>
      <c r="BE1047">
        <v>14</v>
      </c>
      <c r="BF1047">
        <v>25</v>
      </c>
      <c r="BG1047">
        <v>3</v>
      </c>
      <c r="BH1047">
        <v>8</v>
      </c>
      <c r="BI1047">
        <v>3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0</v>
      </c>
      <c r="BQ1047">
        <v>60</v>
      </c>
      <c r="BR1047">
        <v>0</v>
      </c>
      <c r="BS1047">
        <v>3</v>
      </c>
      <c r="BT1047" t="s">
        <v>250</v>
      </c>
      <c r="BU1047" t="s">
        <v>273</v>
      </c>
      <c r="BV1047" t="b">
        <v>0</v>
      </c>
      <c r="BW1047" t="s">
        <v>268</v>
      </c>
    </row>
    <row r="1048" spans="1:75">
      <c r="A1048" t="s">
        <v>250</v>
      </c>
      <c r="B1048" t="s">
        <v>252</v>
      </c>
      <c r="C1048">
        <v>744</v>
      </c>
      <c r="D1048" t="s">
        <v>253</v>
      </c>
      <c r="E1048" t="s">
        <v>254</v>
      </c>
      <c r="F1048">
        <v>30</v>
      </c>
      <c r="G1048" s="13">
        <v>46268.834027777775</v>
      </c>
      <c r="H1048" s="13">
        <v>46268.879317129627</v>
      </c>
      <c r="I1048">
        <v>3913</v>
      </c>
      <c r="J1048" t="s">
        <v>264</v>
      </c>
      <c r="K1048">
        <v>3</v>
      </c>
      <c r="L1048">
        <v>0.03</v>
      </c>
      <c r="M1048">
        <v>0.01</v>
      </c>
      <c r="N1048">
        <v>3</v>
      </c>
      <c r="O1048">
        <v>0.03</v>
      </c>
      <c r="P1048">
        <v>10.83</v>
      </c>
      <c r="Q1048">
        <v>7.13</v>
      </c>
      <c r="R1048">
        <v>5</v>
      </c>
      <c r="S1048" t="s">
        <v>263</v>
      </c>
      <c r="T1048" t="s">
        <v>257</v>
      </c>
      <c r="U1048">
        <v>11</v>
      </c>
      <c r="V1048">
        <v>5698.11</v>
      </c>
      <c r="W1048">
        <v>4999.83</v>
      </c>
      <c r="X1048">
        <v>4989.17</v>
      </c>
      <c r="Y1048">
        <v>0</v>
      </c>
      <c r="Z1048">
        <v>0</v>
      </c>
      <c r="AA1048">
        <v>35</v>
      </c>
      <c r="AB1048">
        <v>50</v>
      </c>
      <c r="AC1048">
        <v>5000</v>
      </c>
      <c r="AD1048">
        <v>0</v>
      </c>
      <c r="AE1048">
        <v>0</v>
      </c>
      <c r="AF1048">
        <v>5703.18</v>
      </c>
      <c r="AG1048">
        <v>5703.18</v>
      </c>
      <c r="AH1048" s="14">
        <v>46268</v>
      </c>
      <c r="AI1048" t="s">
        <v>272</v>
      </c>
      <c r="AJ1048" s="13">
        <v>46262.99790509259</v>
      </c>
      <c r="AK1048">
        <v>5509.79</v>
      </c>
      <c r="AL1048" t="s">
        <v>259</v>
      </c>
      <c r="AM1048" t="s">
        <v>260</v>
      </c>
      <c r="AN1048">
        <v>1400</v>
      </c>
      <c r="AO1048">
        <v>0</v>
      </c>
      <c r="AP1048">
        <v>35</v>
      </c>
      <c r="AQ1048">
        <v>85</v>
      </c>
      <c r="AR1048">
        <v>35</v>
      </c>
      <c r="AS1048">
        <v>2</v>
      </c>
      <c r="AT1048">
        <v>23</v>
      </c>
      <c r="AU1048">
        <v>1</v>
      </c>
      <c r="AV1048">
        <v>0</v>
      </c>
      <c r="AW1048">
        <v>10</v>
      </c>
      <c r="AX1048">
        <v>1</v>
      </c>
      <c r="AY1048">
        <v>5</v>
      </c>
      <c r="AZ1048">
        <v>2</v>
      </c>
      <c r="BA1048">
        <v>1</v>
      </c>
      <c r="BB1048">
        <v>1440</v>
      </c>
      <c r="BC1048">
        <v>0</v>
      </c>
      <c r="BD1048">
        <v>0</v>
      </c>
      <c r="BE1048">
        <v>14</v>
      </c>
      <c r="BF1048">
        <v>25</v>
      </c>
      <c r="BG1048">
        <v>3</v>
      </c>
      <c r="BH1048">
        <v>8</v>
      </c>
      <c r="BI1048">
        <v>3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0</v>
      </c>
      <c r="BQ1048">
        <v>60</v>
      </c>
      <c r="BR1048">
        <v>0</v>
      </c>
      <c r="BS1048">
        <v>3</v>
      </c>
      <c r="BT1048" t="s">
        <v>250</v>
      </c>
      <c r="BU1048" t="s">
        <v>273</v>
      </c>
      <c r="BV1048" t="b">
        <v>0</v>
      </c>
      <c r="BW1048" t="s">
        <v>268</v>
      </c>
    </row>
    <row r="1049" spans="1:75">
      <c r="A1049" t="s">
        <v>250</v>
      </c>
      <c r="B1049" t="s">
        <v>252</v>
      </c>
      <c r="C1049">
        <v>745</v>
      </c>
      <c r="D1049" t="s">
        <v>253</v>
      </c>
      <c r="E1049" t="s">
        <v>254</v>
      </c>
      <c r="F1049">
        <v>30</v>
      </c>
      <c r="G1049" s="13">
        <v>46268.896724537037</v>
      </c>
      <c r="H1049" s="13">
        <v>46268.897175925929</v>
      </c>
      <c r="I1049">
        <v>39</v>
      </c>
      <c r="J1049" t="s">
        <v>264</v>
      </c>
      <c r="K1049">
        <v>1</v>
      </c>
      <c r="L1049">
        <v>0.01</v>
      </c>
      <c r="M1049">
        <v>0.01</v>
      </c>
      <c r="N1049">
        <v>1</v>
      </c>
      <c r="O1049">
        <v>0.01</v>
      </c>
      <c r="P1049">
        <v>0.77</v>
      </c>
      <c r="Q1049">
        <v>0.83</v>
      </c>
      <c r="R1049">
        <v>0.67</v>
      </c>
      <c r="S1049" t="s">
        <v>256</v>
      </c>
      <c r="T1049" t="s">
        <v>257</v>
      </c>
      <c r="U1049">
        <v>11</v>
      </c>
      <c r="V1049">
        <v>5703.02</v>
      </c>
      <c r="W1049">
        <v>4999.84</v>
      </c>
      <c r="X1049">
        <v>4999.2299999999996</v>
      </c>
      <c r="Y1049">
        <v>0</v>
      </c>
      <c r="Z1049">
        <v>0</v>
      </c>
      <c r="AA1049">
        <v>35</v>
      </c>
      <c r="AB1049">
        <v>50</v>
      </c>
      <c r="AC1049">
        <v>5000</v>
      </c>
      <c r="AD1049">
        <v>0</v>
      </c>
      <c r="AE1049">
        <v>0</v>
      </c>
      <c r="AF1049">
        <v>5703.66</v>
      </c>
      <c r="AG1049">
        <v>5703.66</v>
      </c>
      <c r="AH1049" s="14">
        <v>46268</v>
      </c>
      <c r="AI1049" t="s">
        <v>272</v>
      </c>
      <c r="AJ1049" s="13">
        <v>46262.99790509259</v>
      </c>
      <c r="AK1049">
        <v>5509.79</v>
      </c>
      <c r="AL1049" t="s">
        <v>259</v>
      </c>
      <c r="AM1049" t="s">
        <v>260</v>
      </c>
      <c r="AN1049">
        <v>1400</v>
      </c>
      <c r="AO1049">
        <v>0</v>
      </c>
      <c r="AP1049">
        <v>35</v>
      </c>
      <c r="AQ1049">
        <v>85</v>
      </c>
      <c r="AR1049">
        <v>35</v>
      </c>
      <c r="AS1049">
        <v>2</v>
      </c>
      <c r="AT1049">
        <v>23</v>
      </c>
      <c r="AU1049">
        <v>1</v>
      </c>
      <c r="AV1049">
        <v>0</v>
      </c>
      <c r="AW1049">
        <v>10</v>
      </c>
      <c r="AX1049">
        <v>1</v>
      </c>
      <c r="AY1049">
        <v>5</v>
      </c>
      <c r="AZ1049">
        <v>2</v>
      </c>
      <c r="BA1049">
        <v>1</v>
      </c>
      <c r="BB1049">
        <v>1440</v>
      </c>
      <c r="BC1049">
        <v>0</v>
      </c>
      <c r="BD1049">
        <v>0</v>
      </c>
      <c r="BE1049">
        <v>14</v>
      </c>
      <c r="BF1049">
        <v>25</v>
      </c>
      <c r="BG1049">
        <v>3</v>
      </c>
      <c r="BH1049">
        <v>8</v>
      </c>
      <c r="BI1049">
        <v>3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0</v>
      </c>
      <c r="BQ1049">
        <v>60</v>
      </c>
      <c r="BR1049">
        <v>0</v>
      </c>
      <c r="BS1049">
        <v>3</v>
      </c>
      <c r="BT1049" t="s">
        <v>250</v>
      </c>
      <c r="BU1049" t="s">
        <v>273</v>
      </c>
      <c r="BV1049" t="b">
        <v>0</v>
      </c>
      <c r="BW1049" t="s">
        <v>268</v>
      </c>
    </row>
    <row r="1050" spans="1:75">
      <c r="A1050" t="s">
        <v>250</v>
      </c>
      <c r="B1050" t="s">
        <v>252</v>
      </c>
      <c r="C1050">
        <v>746</v>
      </c>
      <c r="D1050" t="s">
        <v>253</v>
      </c>
      <c r="E1050" t="s">
        <v>254</v>
      </c>
      <c r="F1050">
        <v>30</v>
      </c>
      <c r="G1050" s="13">
        <v>46268.926145833335</v>
      </c>
      <c r="H1050" s="13">
        <v>46268.970925925925</v>
      </c>
      <c r="I1050">
        <v>3869</v>
      </c>
      <c r="J1050" t="s">
        <v>264</v>
      </c>
      <c r="K1050">
        <v>3</v>
      </c>
      <c r="L1050">
        <v>0.03</v>
      </c>
      <c r="M1050">
        <v>0.01</v>
      </c>
      <c r="N1050">
        <v>3</v>
      </c>
      <c r="O1050">
        <v>0.03</v>
      </c>
      <c r="P1050">
        <v>14.49</v>
      </c>
      <c r="Q1050">
        <v>7.67</v>
      </c>
      <c r="R1050">
        <v>5.0599999999999996</v>
      </c>
      <c r="S1050" t="s">
        <v>263</v>
      </c>
      <c r="T1050" t="s">
        <v>257</v>
      </c>
      <c r="U1050">
        <v>11</v>
      </c>
      <c r="V1050">
        <v>5703.49</v>
      </c>
      <c r="W1050">
        <v>4999.83</v>
      </c>
      <c r="X1050">
        <v>4985.51</v>
      </c>
      <c r="Y1050">
        <v>0</v>
      </c>
      <c r="Z1050">
        <v>0</v>
      </c>
      <c r="AA1050">
        <v>35</v>
      </c>
      <c r="AB1050">
        <v>50</v>
      </c>
      <c r="AC1050">
        <v>5000</v>
      </c>
      <c r="AD1050">
        <v>0</v>
      </c>
      <c r="AE1050">
        <v>0</v>
      </c>
      <c r="AF1050">
        <v>5708.43</v>
      </c>
      <c r="AG1050">
        <v>5708.43</v>
      </c>
      <c r="AH1050" s="14">
        <v>46268</v>
      </c>
      <c r="AI1050" t="s">
        <v>272</v>
      </c>
      <c r="AJ1050" s="13">
        <v>46262.99790509259</v>
      </c>
      <c r="AK1050">
        <v>5509.79</v>
      </c>
      <c r="AL1050" t="s">
        <v>259</v>
      </c>
      <c r="AM1050" t="s">
        <v>260</v>
      </c>
      <c r="AN1050">
        <v>1400</v>
      </c>
      <c r="AO1050">
        <v>0</v>
      </c>
      <c r="AP1050">
        <v>35</v>
      </c>
      <c r="AQ1050">
        <v>85</v>
      </c>
      <c r="AR1050">
        <v>35</v>
      </c>
      <c r="AS1050">
        <v>2</v>
      </c>
      <c r="AT1050">
        <v>23</v>
      </c>
      <c r="AU1050">
        <v>1</v>
      </c>
      <c r="AV1050">
        <v>0</v>
      </c>
      <c r="AW1050">
        <v>10</v>
      </c>
      <c r="AX1050">
        <v>1</v>
      </c>
      <c r="AY1050">
        <v>5</v>
      </c>
      <c r="AZ1050">
        <v>2</v>
      </c>
      <c r="BA1050">
        <v>1</v>
      </c>
      <c r="BB1050">
        <v>1440</v>
      </c>
      <c r="BC1050">
        <v>0</v>
      </c>
      <c r="BD1050">
        <v>0</v>
      </c>
      <c r="BE1050">
        <v>14</v>
      </c>
      <c r="BF1050">
        <v>25</v>
      </c>
      <c r="BG1050">
        <v>3</v>
      </c>
      <c r="BH1050">
        <v>8</v>
      </c>
      <c r="BI1050">
        <v>3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0</v>
      </c>
      <c r="BQ1050">
        <v>60</v>
      </c>
      <c r="BR1050">
        <v>0</v>
      </c>
      <c r="BS1050">
        <v>3</v>
      </c>
      <c r="BT1050" t="s">
        <v>250</v>
      </c>
      <c r="BU1050" t="s">
        <v>273</v>
      </c>
      <c r="BV1050" t="b">
        <v>0</v>
      </c>
      <c r="BW1050" t="s">
        <v>268</v>
      </c>
    </row>
    <row r="1051" spans="1:75">
      <c r="A1051" t="s">
        <v>250</v>
      </c>
      <c r="B1051" t="s">
        <v>252</v>
      </c>
      <c r="C1051">
        <v>747</v>
      </c>
      <c r="D1051" t="s">
        <v>253</v>
      </c>
      <c r="E1051" t="s">
        <v>254</v>
      </c>
      <c r="F1051">
        <v>30</v>
      </c>
      <c r="G1051" s="13">
        <v>46269.088136574072</v>
      </c>
      <c r="H1051" s="13">
        <v>46269.095532407409</v>
      </c>
      <c r="I1051">
        <v>639</v>
      </c>
      <c r="J1051" t="s">
        <v>264</v>
      </c>
      <c r="K1051">
        <v>1</v>
      </c>
      <c r="L1051">
        <v>0.01</v>
      </c>
      <c r="M1051">
        <v>0.01</v>
      </c>
      <c r="N1051">
        <v>1</v>
      </c>
      <c r="O1051">
        <v>0.01</v>
      </c>
      <c r="P1051">
        <v>5.03</v>
      </c>
      <c r="Q1051">
        <v>1.04</v>
      </c>
      <c r="R1051">
        <v>0.74</v>
      </c>
      <c r="S1051" t="s">
        <v>256</v>
      </c>
      <c r="T1051" t="s">
        <v>257</v>
      </c>
      <c r="U1051">
        <v>11</v>
      </c>
      <c r="V1051">
        <v>5708.26</v>
      </c>
      <c r="W1051">
        <v>4999.83</v>
      </c>
      <c r="X1051">
        <v>4994.97</v>
      </c>
      <c r="Y1051">
        <v>0</v>
      </c>
      <c r="Z1051">
        <v>0</v>
      </c>
      <c r="AA1051">
        <v>35</v>
      </c>
      <c r="AB1051">
        <v>50</v>
      </c>
      <c r="AC1051">
        <v>5000</v>
      </c>
      <c r="AD1051">
        <v>0</v>
      </c>
      <c r="AE1051">
        <v>0</v>
      </c>
      <c r="AF1051">
        <v>5709.12</v>
      </c>
      <c r="AG1051">
        <v>5709.12</v>
      </c>
      <c r="AH1051" s="14">
        <v>46269</v>
      </c>
      <c r="AI1051" t="s">
        <v>272</v>
      </c>
      <c r="AJ1051" s="13">
        <v>46262.99790509259</v>
      </c>
      <c r="AK1051">
        <v>5509.79</v>
      </c>
      <c r="AL1051" t="s">
        <v>259</v>
      </c>
      <c r="AM1051" t="s">
        <v>260</v>
      </c>
      <c r="AN1051">
        <v>1400</v>
      </c>
      <c r="AO1051">
        <v>0</v>
      </c>
      <c r="AP1051">
        <v>35</v>
      </c>
      <c r="AQ1051">
        <v>85</v>
      </c>
      <c r="AR1051">
        <v>35</v>
      </c>
      <c r="AS1051">
        <v>2</v>
      </c>
      <c r="AT1051">
        <v>23</v>
      </c>
      <c r="AU1051">
        <v>1</v>
      </c>
      <c r="AV1051">
        <v>0</v>
      </c>
      <c r="AW1051">
        <v>10</v>
      </c>
      <c r="AX1051">
        <v>1</v>
      </c>
      <c r="AY1051">
        <v>5</v>
      </c>
      <c r="AZ1051">
        <v>2</v>
      </c>
      <c r="BA1051">
        <v>1</v>
      </c>
      <c r="BB1051">
        <v>1440</v>
      </c>
      <c r="BC1051">
        <v>0</v>
      </c>
      <c r="BD1051">
        <v>0</v>
      </c>
      <c r="BE1051">
        <v>14</v>
      </c>
      <c r="BF1051">
        <v>25</v>
      </c>
      <c r="BG1051">
        <v>3</v>
      </c>
      <c r="BH1051">
        <v>8</v>
      </c>
      <c r="BI1051">
        <v>3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0</v>
      </c>
      <c r="BQ1051">
        <v>60</v>
      </c>
      <c r="BR1051">
        <v>0</v>
      </c>
      <c r="BS1051">
        <v>3</v>
      </c>
      <c r="BT1051" t="s">
        <v>250</v>
      </c>
      <c r="BU1051" t="s">
        <v>273</v>
      </c>
      <c r="BV1051" t="b">
        <v>0</v>
      </c>
      <c r="BW1051" t="s">
        <v>268</v>
      </c>
    </row>
    <row r="1052" spans="1:75">
      <c r="A1052" t="s">
        <v>250</v>
      </c>
      <c r="B1052" t="s">
        <v>252</v>
      </c>
      <c r="C1052">
        <v>748</v>
      </c>
      <c r="D1052" t="s">
        <v>253</v>
      </c>
      <c r="E1052" t="s">
        <v>254</v>
      </c>
      <c r="F1052">
        <v>30</v>
      </c>
      <c r="G1052" s="13">
        <v>46269.108807870369</v>
      </c>
      <c r="H1052" s="13">
        <v>46269.109085648146</v>
      </c>
      <c r="I1052">
        <v>24</v>
      </c>
      <c r="J1052" t="s">
        <v>255</v>
      </c>
      <c r="K1052">
        <v>1</v>
      </c>
      <c r="L1052">
        <v>0.01</v>
      </c>
      <c r="M1052">
        <v>0.01</v>
      </c>
      <c r="N1052">
        <v>1</v>
      </c>
      <c r="O1052">
        <v>0.01</v>
      </c>
      <c r="P1052">
        <v>0.3</v>
      </c>
      <c r="Q1052">
        <v>0.96</v>
      </c>
      <c r="R1052">
        <v>0.96</v>
      </c>
      <c r="S1052" t="s">
        <v>256</v>
      </c>
      <c r="T1052" t="s">
        <v>257</v>
      </c>
      <c r="U1052">
        <v>11</v>
      </c>
      <c r="V1052">
        <v>5708.95</v>
      </c>
      <c r="W1052">
        <v>4999.83</v>
      </c>
      <c r="X1052">
        <v>4999.7</v>
      </c>
      <c r="Y1052">
        <v>0</v>
      </c>
      <c r="Z1052">
        <v>0</v>
      </c>
      <c r="AA1052">
        <v>35</v>
      </c>
      <c r="AB1052">
        <v>50</v>
      </c>
      <c r="AC1052">
        <v>5000</v>
      </c>
      <c r="AD1052">
        <v>0</v>
      </c>
      <c r="AE1052">
        <v>0</v>
      </c>
      <c r="AF1052">
        <v>5709.73</v>
      </c>
      <c r="AG1052">
        <v>5709.73</v>
      </c>
      <c r="AH1052" s="14">
        <v>46269</v>
      </c>
      <c r="AI1052" t="s">
        <v>272</v>
      </c>
      <c r="AJ1052" s="13">
        <v>46262.99790509259</v>
      </c>
      <c r="AK1052">
        <v>5509.79</v>
      </c>
      <c r="AL1052" t="s">
        <v>259</v>
      </c>
      <c r="AM1052" t="s">
        <v>260</v>
      </c>
      <c r="AN1052">
        <v>1400</v>
      </c>
      <c r="AO1052">
        <v>0</v>
      </c>
      <c r="AP1052">
        <v>35</v>
      </c>
      <c r="AQ1052">
        <v>85</v>
      </c>
      <c r="AR1052">
        <v>35</v>
      </c>
      <c r="AS1052">
        <v>2</v>
      </c>
      <c r="AT1052">
        <v>23</v>
      </c>
      <c r="AU1052">
        <v>1</v>
      </c>
      <c r="AV1052">
        <v>0</v>
      </c>
      <c r="AW1052">
        <v>10</v>
      </c>
      <c r="AX1052">
        <v>1</v>
      </c>
      <c r="AY1052">
        <v>5</v>
      </c>
      <c r="AZ1052">
        <v>2</v>
      </c>
      <c r="BA1052">
        <v>1</v>
      </c>
      <c r="BB1052">
        <v>1440</v>
      </c>
      <c r="BC1052">
        <v>0</v>
      </c>
      <c r="BD1052">
        <v>0</v>
      </c>
      <c r="BE1052">
        <v>14</v>
      </c>
      <c r="BF1052">
        <v>25</v>
      </c>
      <c r="BG1052">
        <v>3</v>
      </c>
      <c r="BH1052">
        <v>8</v>
      </c>
      <c r="BI1052">
        <v>3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0</v>
      </c>
      <c r="BQ1052">
        <v>60</v>
      </c>
      <c r="BR1052">
        <v>0</v>
      </c>
      <c r="BS1052">
        <v>3</v>
      </c>
      <c r="BT1052" t="s">
        <v>250</v>
      </c>
      <c r="BU1052" t="s">
        <v>273</v>
      </c>
      <c r="BV1052" t="b">
        <v>0</v>
      </c>
      <c r="BW1052" t="s">
        <v>268</v>
      </c>
    </row>
    <row r="1053" spans="1:75">
      <c r="A1053" t="s">
        <v>250</v>
      </c>
      <c r="B1053" t="s">
        <v>252</v>
      </c>
      <c r="C1053">
        <v>749</v>
      </c>
      <c r="D1053" t="s">
        <v>253</v>
      </c>
      <c r="E1053" t="s">
        <v>254</v>
      </c>
      <c r="F1053">
        <v>30</v>
      </c>
      <c r="G1053" s="13">
        <v>46269.128483796296</v>
      </c>
      <c r="H1053" s="13">
        <v>46269.129282407404</v>
      </c>
      <c r="I1053">
        <v>69</v>
      </c>
      <c r="J1053" t="s">
        <v>255</v>
      </c>
      <c r="K1053">
        <v>1</v>
      </c>
      <c r="L1053">
        <v>0.01</v>
      </c>
      <c r="M1053">
        <v>0.01</v>
      </c>
      <c r="N1053">
        <v>1</v>
      </c>
      <c r="O1053">
        <v>0.01</v>
      </c>
      <c r="P1053">
        <v>0.18</v>
      </c>
      <c r="Q1053">
        <v>0.87</v>
      </c>
      <c r="R1053">
        <v>0.61</v>
      </c>
      <c r="S1053" t="s">
        <v>256</v>
      </c>
      <c r="T1053" t="s">
        <v>257</v>
      </c>
      <c r="U1053">
        <v>10</v>
      </c>
      <c r="V1053">
        <v>5709.56</v>
      </c>
      <c r="W1053">
        <v>4999.83</v>
      </c>
      <c r="X1053">
        <v>4999.82</v>
      </c>
      <c r="Y1053">
        <v>0</v>
      </c>
      <c r="Z1053">
        <v>0</v>
      </c>
      <c r="AA1053">
        <v>35</v>
      </c>
      <c r="AB1053">
        <v>50</v>
      </c>
      <c r="AC1053">
        <v>5000</v>
      </c>
      <c r="AD1053">
        <v>0</v>
      </c>
      <c r="AE1053">
        <v>0</v>
      </c>
      <c r="AF1053">
        <v>5710.25</v>
      </c>
      <c r="AG1053">
        <v>5710.25</v>
      </c>
      <c r="AH1053" s="14">
        <v>46269</v>
      </c>
      <c r="AI1053" t="s">
        <v>272</v>
      </c>
      <c r="AJ1053" s="13">
        <v>46262.99790509259</v>
      </c>
      <c r="AK1053">
        <v>5509.79</v>
      </c>
      <c r="AL1053" t="s">
        <v>259</v>
      </c>
      <c r="AM1053" t="s">
        <v>260</v>
      </c>
      <c r="AN1053">
        <v>1400</v>
      </c>
      <c r="AO1053">
        <v>0</v>
      </c>
      <c r="AP1053">
        <v>35</v>
      </c>
      <c r="AQ1053">
        <v>85</v>
      </c>
      <c r="AR1053">
        <v>35</v>
      </c>
      <c r="AS1053">
        <v>2</v>
      </c>
      <c r="AT1053">
        <v>23</v>
      </c>
      <c r="AU1053">
        <v>1</v>
      </c>
      <c r="AV1053">
        <v>0</v>
      </c>
      <c r="AW1053">
        <v>10</v>
      </c>
      <c r="AX1053">
        <v>1</v>
      </c>
      <c r="AY1053">
        <v>5</v>
      </c>
      <c r="AZ1053">
        <v>2</v>
      </c>
      <c r="BA1053">
        <v>1</v>
      </c>
      <c r="BB1053">
        <v>1440</v>
      </c>
      <c r="BC1053">
        <v>0</v>
      </c>
      <c r="BD1053">
        <v>0</v>
      </c>
      <c r="BE1053">
        <v>14</v>
      </c>
      <c r="BF1053">
        <v>25</v>
      </c>
      <c r="BG1053">
        <v>3</v>
      </c>
      <c r="BH1053">
        <v>8</v>
      </c>
      <c r="BI1053">
        <v>3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0</v>
      </c>
      <c r="BQ1053">
        <v>60</v>
      </c>
      <c r="BR1053">
        <v>0</v>
      </c>
      <c r="BS1053">
        <v>3</v>
      </c>
      <c r="BT1053" t="s">
        <v>250</v>
      </c>
      <c r="BU1053" t="s">
        <v>273</v>
      </c>
      <c r="BV1053" t="b">
        <v>0</v>
      </c>
      <c r="BW1053" t="s">
        <v>268</v>
      </c>
    </row>
    <row r="1054" spans="1:75">
      <c r="A1054" t="s">
        <v>250</v>
      </c>
      <c r="B1054" t="s">
        <v>252</v>
      </c>
      <c r="C1054">
        <v>750</v>
      </c>
      <c r="D1054" t="s">
        <v>253</v>
      </c>
      <c r="E1054" t="s">
        <v>254</v>
      </c>
      <c r="F1054">
        <v>30</v>
      </c>
      <c r="G1054" s="13">
        <v>46269.148622685185</v>
      </c>
      <c r="H1054" s="13">
        <v>46269.148958333331</v>
      </c>
      <c r="I1054">
        <v>29</v>
      </c>
      <c r="J1054" t="s">
        <v>255</v>
      </c>
      <c r="K1054">
        <v>1</v>
      </c>
      <c r="L1054">
        <v>0.01</v>
      </c>
      <c r="M1054">
        <v>0.01</v>
      </c>
      <c r="N1054">
        <v>1</v>
      </c>
      <c r="O1054">
        <v>0.01</v>
      </c>
      <c r="P1054">
        <v>0.17</v>
      </c>
      <c r="Q1054">
        <v>2.0699999999999998</v>
      </c>
      <c r="R1054">
        <v>1.74</v>
      </c>
      <c r="S1054" t="s">
        <v>256</v>
      </c>
      <c r="T1054" t="s">
        <v>257</v>
      </c>
      <c r="U1054">
        <v>15</v>
      </c>
      <c r="V1054">
        <v>5710.08</v>
      </c>
      <c r="W1054">
        <v>4999.83</v>
      </c>
      <c r="X1054">
        <v>4999.83</v>
      </c>
      <c r="Y1054">
        <v>0</v>
      </c>
      <c r="Z1054">
        <v>0</v>
      </c>
      <c r="AA1054">
        <v>35</v>
      </c>
      <c r="AB1054">
        <v>50</v>
      </c>
      <c r="AC1054">
        <v>5000</v>
      </c>
      <c r="AD1054">
        <v>0</v>
      </c>
      <c r="AE1054">
        <v>0</v>
      </c>
      <c r="AF1054">
        <v>5711.97</v>
      </c>
      <c r="AG1054">
        <v>5711.97</v>
      </c>
      <c r="AH1054" s="14">
        <v>46269</v>
      </c>
      <c r="AI1054" t="s">
        <v>272</v>
      </c>
      <c r="AJ1054" s="13">
        <v>46262.99790509259</v>
      </c>
      <c r="AK1054">
        <v>5509.79</v>
      </c>
      <c r="AL1054" t="s">
        <v>259</v>
      </c>
      <c r="AM1054" t="s">
        <v>260</v>
      </c>
      <c r="AN1054">
        <v>1400</v>
      </c>
      <c r="AO1054">
        <v>0</v>
      </c>
      <c r="AP1054">
        <v>35</v>
      </c>
      <c r="AQ1054">
        <v>85</v>
      </c>
      <c r="AR1054">
        <v>35</v>
      </c>
      <c r="AS1054">
        <v>2</v>
      </c>
      <c r="AT1054">
        <v>23</v>
      </c>
      <c r="AU1054">
        <v>1</v>
      </c>
      <c r="AV1054">
        <v>0</v>
      </c>
      <c r="AW1054">
        <v>10</v>
      </c>
      <c r="AX1054">
        <v>1</v>
      </c>
      <c r="AY1054">
        <v>5</v>
      </c>
      <c r="AZ1054">
        <v>2</v>
      </c>
      <c r="BA1054">
        <v>1</v>
      </c>
      <c r="BB1054">
        <v>1440</v>
      </c>
      <c r="BC1054">
        <v>0</v>
      </c>
      <c r="BD1054">
        <v>0</v>
      </c>
      <c r="BE1054">
        <v>14</v>
      </c>
      <c r="BF1054">
        <v>25</v>
      </c>
      <c r="BG1054">
        <v>3</v>
      </c>
      <c r="BH1054">
        <v>8</v>
      </c>
      <c r="BI1054">
        <v>3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0</v>
      </c>
      <c r="BQ1054">
        <v>60</v>
      </c>
      <c r="BR1054">
        <v>0</v>
      </c>
      <c r="BS1054">
        <v>3</v>
      </c>
      <c r="BT1054" t="s">
        <v>250</v>
      </c>
      <c r="BU1054" t="s">
        <v>273</v>
      </c>
      <c r="BV1054" t="b">
        <v>0</v>
      </c>
      <c r="BW1054" t="s">
        <v>268</v>
      </c>
    </row>
    <row r="1055" spans="1:75">
      <c r="A1055" t="s">
        <v>250</v>
      </c>
      <c r="B1055" t="s">
        <v>252</v>
      </c>
      <c r="C1055">
        <v>751</v>
      </c>
      <c r="D1055" t="s">
        <v>253</v>
      </c>
      <c r="E1055" t="s">
        <v>254</v>
      </c>
      <c r="F1055">
        <v>30</v>
      </c>
      <c r="G1055" s="13">
        <v>46269.167280092595</v>
      </c>
      <c r="H1055" s="13">
        <v>46269.167442129627</v>
      </c>
      <c r="I1055">
        <v>14</v>
      </c>
      <c r="J1055" t="s">
        <v>264</v>
      </c>
      <c r="K1055">
        <v>1</v>
      </c>
      <c r="L1055">
        <v>0.01</v>
      </c>
      <c r="M1055">
        <v>0.01</v>
      </c>
      <c r="N1055">
        <v>1</v>
      </c>
      <c r="O1055">
        <v>0.01</v>
      </c>
      <c r="P1055">
        <v>1.87</v>
      </c>
      <c r="Q1055">
        <v>0.85</v>
      </c>
      <c r="R1055">
        <v>0.51</v>
      </c>
      <c r="S1055" t="s">
        <v>256</v>
      </c>
      <c r="T1055" t="s">
        <v>257</v>
      </c>
      <c r="U1055">
        <v>11</v>
      </c>
      <c r="V1055">
        <v>5711.81</v>
      </c>
      <c r="W1055">
        <v>4999.84</v>
      </c>
      <c r="X1055">
        <v>4998.13</v>
      </c>
      <c r="Y1055">
        <v>0</v>
      </c>
      <c r="Z1055">
        <v>0</v>
      </c>
      <c r="AA1055">
        <v>35</v>
      </c>
      <c r="AB1055">
        <v>50</v>
      </c>
      <c r="AC1055">
        <v>5000</v>
      </c>
      <c r="AD1055">
        <v>0</v>
      </c>
      <c r="AE1055">
        <v>0</v>
      </c>
      <c r="AF1055">
        <v>5712.47</v>
      </c>
      <c r="AG1055">
        <v>5712.47</v>
      </c>
      <c r="AH1055" s="14">
        <v>46269</v>
      </c>
      <c r="AI1055" t="s">
        <v>272</v>
      </c>
      <c r="AJ1055" s="13">
        <v>46262.99790509259</v>
      </c>
      <c r="AK1055">
        <v>5509.79</v>
      </c>
      <c r="AL1055" t="s">
        <v>259</v>
      </c>
      <c r="AM1055" t="s">
        <v>260</v>
      </c>
      <c r="AN1055">
        <v>1400</v>
      </c>
      <c r="AO1055">
        <v>0</v>
      </c>
      <c r="AP1055">
        <v>35</v>
      </c>
      <c r="AQ1055">
        <v>85</v>
      </c>
      <c r="AR1055">
        <v>35</v>
      </c>
      <c r="AS1055">
        <v>2</v>
      </c>
      <c r="AT1055">
        <v>23</v>
      </c>
      <c r="AU1055">
        <v>1</v>
      </c>
      <c r="AV1055">
        <v>0</v>
      </c>
      <c r="AW1055">
        <v>10</v>
      </c>
      <c r="AX1055">
        <v>1</v>
      </c>
      <c r="AY1055">
        <v>5</v>
      </c>
      <c r="AZ1055">
        <v>2</v>
      </c>
      <c r="BA1055">
        <v>1</v>
      </c>
      <c r="BB1055">
        <v>1440</v>
      </c>
      <c r="BC1055">
        <v>0</v>
      </c>
      <c r="BD1055">
        <v>0</v>
      </c>
      <c r="BE1055">
        <v>14</v>
      </c>
      <c r="BF1055">
        <v>25</v>
      </c>
      <c r="BG1055">
        <v>3</v>
      </c>
      <c r="BH1055">
        <v>8</v>
      </c>
      <c r="BI1055">
        <v>3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0</v>
      </c>
      <c r="BQ1055">
        <v>60</v>
      </c>
      <c r="BR1055">
        <v>0</v>
      </c>
      <c r="BS1055">
        <v>3</v>
      </c>
      <c r="BT1055" t="s">
        <v>250</v>
      </c>
      <c r="BU1055" t="s">
        <v>273</v>
      </c>
      <c r="BV1055" t="b">
        <v>0</v>
      </c>
      <c r="BW1055" t="s">
        <v>268</v>
      </c>
    </row>
    <row r="1056" spans="1:75">
      <c r="A1056" t="s">
        <v>250</v>
      </c>
      <c r="B1056" t="s">
        <v>252</v>
      </c>
      <c r="C1056">
        <v>752</v>
      </c>
      <c r="D1056" t="s">
        <v>253</v>
      </c>
      <c r="E1056" t="s">
        <v>254</v>
      </c>
      <c r="F1056">
        <v>30</v>
      </c>
      <c r="G1056" s="13">
        <v>46269.189965277779</v>
      </c>
      <c r="H1056" s="13">
        <v>46269.191099537034</v>
      </c>
      <c r="I1056">
        <v>98</v>
      </c>
      <c r="J1056" t="s">
        <v>264</v>
      </c>
      <c r="K1056">
        <v>1</v>
      </c>
      <c r="L1056">
        <v>0.01</v>
      </c>
      <c r="M1056">
        <v>0.01</v>
      </c>
      <c r="N1056">
        <v>1</v>
      </c>
      <c r="O1056">
        <v>0.01</v>
      </c>
      <c r="P1056">
        <v>1.05</v>
      </c>
      <c r="Q1056">
        <v>1.23</v>
      </c>
      <c r="R1056">
        <v>0.85</v>
      </c>
      <c r="S1056" t="s">
        <v>256</v>
      </c>
      <c r="T1056" t="s">
        <v>257</v>
      </c>
      <c r="U1056">
        <v>10</v>
      </c>
      <c r="V1056">
        <v>5712.3</v>
      </c>
      <c r="W1056">
        <v>4999.83</v>
      </c>
      <c r="X1056">
        <v>4998.95</v>
      </c>
      <c r="Y1056">
        <v>0</v>
      </c>
      <c r="Z1056">
        <v>0</v>
      </c>
      <c r="AA1056">
        <v>35</v>
      </c>
      <c r="AB1056">
        <v>50</v>
      </c>
      <c r="AC1056">
        <v>5000</v>
      </c>
      <c r="AD1056">
        <v>0</v>
      </c>
      <c r="AE1056">
        <v>0</v>
      </c>
      <c r="AF1056">
        <v>5713.34</v>
      </c>
      <c r="AG1056">
        <v>5713.34</v>
      </c>
      <c r="AH1056" s="14">
        <v>46269</v>
      </c>
      <c r="AI1056" t="s">
        <v>272</v>
      </c>
      <c r="AJ1056" s="13">
        <v>46262.99790509259</v>
      </c>
      <c r="AK1056">
        <v>5509.79</v>
      </c>
      <c r="AL1056" t="s">
        <v>259</v>
      </c>
      <c r="AM1056" t="s">
        <v>260</v>
      </c>
      <c r="AN1056">
        <v>1400</v>
      </c>
      <c r="AO1056">
        <v>0</v>
      </c>
      <c r="AP1056">
        <v>35</v>
      </c>
      <c r="AQ1056">
        <v>85</v>
      </c>
      <c r="AR1056">
        <v>35</v>
      </c>
      <c r="AS1056">
        <v>2</v>
      </c>
      <c r="AT1056">
        <v>23</v>
      </c>
      <c r="AU1056">
        <v>1</v>
      </c>
      <c r="AV1056">
        <v>0</v>
      </c>
      <c r="AW1056">
        <v>10</v>
      </c>
      <c r="AX1056">
        <v>1</v>
      </c>
      <c r="AY1056">
        <v>5</v>
      </c>
      <c r="AZ1056">
        <v>2</v>
      </c>
      <c r="BA1056">
        <v>1</v>
      </c>
      <c r="BB1056">
        <v>1440</v>
      </c>
      <c r="BC1056">
        <v>0</v>
      </c>
      <c r="BD1056">
        <v>0</v>
      </c>
      <c r="BE1056">
        <v>14</v>
      </c>
      <c r="BF1056">
        <v>25</v>
      </c>
      <c r="BG1056">
        <v>3</v>
      </c>
      <c r="BH1056">
        <v>8</v>
      </c>
      <c r="BI1056">
        <v>3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0</v>
      </c>
      <c r="BQ1056">
        <v>60</v>
      </c>
      <c r="BR1056">
        <v>0</v>
      </c>
      <c r="BS1056">
        <v>3</v>
      </c>
      <c r="BT1056" t="s">
        <v>250</v>
      </c>
      <c r="BU1056" t="s">
        <v>273</v>
      </c>
      <c r="BV1056" t="b">
        <v>0</v>
      </c>
      <c r="BW1056" t="s">
        <v>268</v>
      </c>
    </row>
    <row r="1057" spans="1:75">
      <c r="A1057" t="s">
        <v>250</v>
      </c>
      <c r="B1057" t="s">
        <v>252</v>
      </c>
      <c r="C1057">
        <v>753</v>
      </c>
      <c r="D1057" t="s">
        <v>253</v>
      </c>
      <c r="E1057" t="s">
        <v>254</v>
      </c>
      <c r="F1057">
        <v>30</v>
      </c>
      <c r="G1057" s="13">
        <v>46269.210439814815</v>
      </c>
      <c r="H1057" s="13">
        <v>46269.356249999997</v>
      </c>
      <c r="I1057">
        <v>12598</v>
      </c>
      <c r="J1057" t="s">
        <v>255</v>
      </c>
      <c r="K1057">
        <v>6</v>
      </c>
      <c r="L1057">
        <v>0.06</v>
      </c>
      <c r="M1057">
        <v>0.01</v>
      </c>
      <c r="N1057">
        <v>6</v>
      </c>
      <c r="O1057">
        <v>0.06</v>
      </c>
      <c r="P1057">
        <v>38.64</v>
      </c>
      <c r="Q1057">
        <v>5.61</v>
      </c>
      <c r="R1057">
        <v>3.15</v>
      </c>
      <c r="S1057" t="s">
        <v>263</v>
      </c>
      <c r="T1057" t="s">
        <v>257</v>
      </c>
      <c r="U1057">
        <v>11</v>
      </c>
      <c r="V1057">
        <v>5713.18</v>
      </c>
      <c r="W1057">
        <v>4999.84</v>
      </c>
      <c r="X1057">
        <v>4961.3599999999997</v>
      </c>
      <c r="Y1057">
        <v>0</v>
      </c>
      <c r="Z1057">
        <v>0</v>
      </c>
      <c r="AA1057">
        <v>35</v>
      </c>
      <c r="AB1057">
        <v>50</v>
      </c>
      <c r="AC1057">
        <v>5000</v>
      </c>
      <c r="AD1057">
        <v>0</v>
      </c>
      <c r="AE1057">
        <v>0</v>
      </c>
      <c r="AF1057">
        <v>5716.5</v>
      </c>
      <c r="AG1057">
        <v>5716.5</v>
      </c>
      <c r="AH1057" s="14">
        <v>46269</v>
      </c>
      <c r="AI1057" t="s">
        <v>272</v>
      </c>
      <c r="AJ1057" s="13">
        <v>46262.99790509259</v>
      </c>
      <c r="AK1057">
        <v>5509.79</v>
      </c>
      <c r="AL1057" t="s">
        <v>259</v>
      </c>
      <c r="AM1057" t="s">
        <v>260</v>
      </c>
      <c r="AN1057">
        <v>1400</v>
      </c>
      <c r="AO1057">
        <v>0</v>
      </c>
      <c r="AP1057">
        <v>35</v>
      </c>
      <c r="AQ1057">
        <v>85</v>
      </c>
      <c r="AR1057">
        <v>35</v>
      </c>
      <c r="AS1057">
        <v>2</v>
      </c>
      <c r="AT1057">
        <v>23</v>
      </c>
      <c r="AU1057">
        <v>1</v>
      </c>
      <c r="AV1057">
        <v>0</v>
      </c>
      <c r="AW1057">
        <v>10</v>
      </c>
      <c r="AX1057">
        <v>1</v>
      </c>
      <c r="AY1057">
        <v>5</v>
      </c>
      <c r="AZ1057">
        <v>2</v>
      </c>
      <c r="BA1057">
        <v>1</v>
      </c>
      <c r="BB1057">
        <v>1440</v>
      </c>
      <c r="BC1057">
        <v>0</v>
      </c>
      <c r="BD1057">
        <v>0</v>
      </c>
      <c r="BE1057">
        <v>14</v>
      </c>
      <c r="BF1057">
        <v>25</v>
      </c>
      <c r="BG1057">
        <v>3</v>
      </c>
      <c r="BH1057">
        <v>8</v>
      </c>
      <c r="BI1057">
        <v>3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0</v>
      </c>
      <c r="BQ1057">
        <v>60</v>
      </c>
      <c r="BR1057">
        <v>0</v>
      </c>
      <c r="BS1057">
        <v>3</v>
      </c>
      <c r="BT1057" t="s">
        <v>250</v>
      </c>
      <c r="BU1057" t="s">
        <v>273</v>
      </c>
      <c r="BV1057" t="b">
        <v>0</v>
      </c>
      <c r="BW1057" t="s">
        <v>268</v>
      </c>
    </row>
    <row r="1058" spans="1:75">
      <c r="A1058" t="s">
        <v>250</v>
      </c>
      <c r="B1058" t="s">
        <v>252</v>
      </c>
      <c r="C1058">
        <v>754</v>
      </c>
      <c r="D1058" t="s">
        <v>253</v>
      </c>
      <c r="E1058" t="s">
        <v>254</v>
      </c>
      <c r="F1058">
        <v>30</v>
      </c>
      <c r="G1058" s="13">
        <v>46269.37709490741</v>
      </c>
      <c r="H1058" s="13">
        <v>46269.380659722221</v>
      </c>
      <c r="I1058">
        <v>308</v>
      </c>
      <c r="J1058" t="s">
        <v>264</v>
      </c>
      <c r="K1058">
        <v>1</v>
      </c>
      <c r="L1058">
        <v>0.01</v>
      </c>
      <c r="M1058">
        <v>0.01</v>
      </c>
      <c r="N1058">
        <v>1</v>
      </c>
      <c r="O1058">
        <v>0.01</v>
      </c>
      <c r="P1058">
        <v>2.27</v>
      </c>
      <c r="Q1058">
        <v>0.84</v>
      </c>
      <c r="R1058">
        <v>0.7</v>
      </c>
      <c r="S1058" t="s">
        <v>256</v>
      </c>
      <c r="T1058" t="s">
        <v>257</v>
      </c>
      <c r="U1058">
        <v>11</v>
      </c>
      <c r="V1058">
        <v>5716.33</v>
      </c>
      <c r="W1058">
        <v>4999.83</v>
      </c>
      <c r="X1058">
        <v>4997.7299999999996</v>
      </c>
      <c r="Y1058">
        <v>0</v>
      </c>
      <c r="Z1058">
        <v>0</v>
      </c>
      <c r="AA1058">
        <v>35</v>
      </c>
      <c r="AB1058">
        <v>50</v>
      </c>
      <c r="AC1058">
        <v>5000</v>
      </c>
      <c r="AD1058">
        <v>0</v>
      </c>
      <c r="AE1058">
        <v>0</v>
      </c>
      <c r="AF1058">
        <v>5716.99</v>
      </c>
      <c r="AG1058">
        <v>5716.99</v>
      </c>
      <c r="AH1058" s="14">
        <v>46269</v>
      </c>
      <c r="AI1058" t="s">
        <v>272</v>
      </c>
      <c r="AJ1058" s="13">
        <v>46262.99790509259</v>
      </c>
      <c r="AK1058">
        <v>5509.79</v>
      </c>
      <c r="AL1058" t="s">
        <v>259</v>
      </c>
      <c r="AM1058" t="s">
        <v>260</v>
      </c>
      <c r="AN1058">
        <v>1400</v>
      </c>
      <c r="AO1058">
        <v>0</v>
      </c>
      <c r="AP1058">
        <v>35</v>
      </c>
      <c r="AQ1058">
        <v>85</v>
      </c>
      <c r="AR1058">
        <v>35</v>
      </c>
      <c r="AS1058">
        <v>2</v>
      </c>
      <c r="AT1058">
        <v>23</v>
      </c>
      <c r="AU1058">
        <v>1</v>
      </c>
      <c r="AV1058">
        <v>0</v>
      </c>
      <c r="AW1058">
        <v>10</v>
      </c>
      <c r="AX1058">
        <v>1</v>
      </c>
      <c r="AY1058">
        <v>5</v>
      </c>
      <c r="AZ1058">
        <v>2</v>
      </c>
      <c r="BA1058">
        <v>1</v>
      </c>
      <c r="BB1058">
        <v>1440</v>
      </c>
      <c r="BC1058">
        <v>0</v>
      </c>
      <c r="BD1058">
        <v>0</v>
      </c>
      <c r="BE1058">
        <v>14</v>
      </c>
      <c r="BF1058">
        <v>25</v>
      </c>
      <c r="BG1058">
        <v>3</v>
      </c>
      <c r="BH1058">
        <v>8</v>
      </c>
      <c r="BI1058">
        <v>3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0</v>
      </c>
      <c r="BQ1058">
        <v>60</v>
      </c>
      <c r="BR1058">
        <v>0</v>
      </c>
      <c r="BS1058">
        <v>3</v>
      </c>
      <c r="BT1058" t="s">
        <v>250</v>
      </c>
      <c r="BU1058" t="s">
        <v>273</v>
      </c>
      <c r="BV1058" t="b">
        <v>0</v>
      </c>
      <c r="BW1058" t="s">
        <v>268</v>
      </c>
    </row>
    <row r="1059" spans="1:75">
      <c r="A1059" t="s">
        <v>250</v>
      </c>
      <c r="B1059" t="s">
        <v>252</v>
      </c>
      <c r="C1059">
        <v>755</v>
      </c>
      <c r="D1059" t="s">
        <v>253</v>
      </c>
      <c r="E1059" t="s">
        <v>254</v>
      </c>
      <c r="F1059">
        <v>30</v>
      </c>
      <c r="G1059" s="13">
        <v>46269.398900462962</v>
      </c>
      <c r="H1059" s="13">
        <v>46269.399305555555</v>
      </c>
      <c r="I1059">
        <v>35</v>
      </c>
      <c r="J1059" t="s">
        <v>264</v>
      </c>
      <c r="K1059">
        <v>1</v>
      </c>
      <c r="L1059">
        <v>0.01</v>
      </c>
      <c r="M1059">
        <v>0.01</v>
      </c>
      <c r="N1059">
        <v>1</v>
      </c>
      <c r="O1059">
        <v>0.01</v>
      </c>
      <c r="P1059">
        <v>0.76</v>
      </c>
      <c r="Q1059">
        <v>1.47</v>
      </c>
      <c r="R1059">
        <v>1.1599999999999999</v>
      </c>
      <c r="S1059" t="s">
        <v>256</v>
      </c>
      <c r="T1059" t="s">
        <v>257</v>
      </c>
      <c r="U1059">
        <v>10</v>
      </c>
      <c r="V1059">
        <v>5716.83</v>
      </c>
      <c r="W1059">
        <v>4999.84</v>
      </c>
      <c r="X1059">
        <v>4999.24</v>
      </c>
      <c r="Y1059">
        <v>0</v>
      </c>
      <c r="Z1059">
        <v>0</v>
      </c>
      <c r="AA1059">
        <v>35</v>
      </c>
      <c r="AB1059">
        <v>50</v>
      </c>
      <c r="AC1059">
        <v>5000</v>
      </c>
      <c r="AD1059">
        <v>0</v>
      </c>
      <c r="AE1059">
        <v>0</v>
      </c>
      <c r="AF1059">
        <v>5718.11</v>
      </c>
      <c r="AG1059">
        <v>5718.11</v>
      </c>
      <c r="AH1059" s="14">
        <v>46269</v>
      </c>
      <c r="AI1059" t="s">
        <v>272</v>
      </c>
      <c r="AJ1059" s="13">
        <v>46262.99790509259</v>
      </c>
      <c r="AK1059">
        <v>5509.79</v>
      </c>
      <c r="AL1059" t="s">
        <v>259</v>
      </c>
      <c r="AM1059" t="s">
        <v>260</v>
      </c>
      <c r="AN1059">
        <v>1400</v>
      </c>
      <c r="AO1059">
        <v>0</v>
      </c>
      <c r="AP1059">
        <v>35</v>
      </c>
      <c r="AQ1059">
        <v>85</v>
      </c>
      <c r="AR1059">
        <v>35</v>
      </c>
      <c r="AS1059">
        <v>2</v>
      </c>
      <c r="AT1059">
        <v>23</v>
      </c>
      <c r="AU1059">
        <v>1</v>
      </c>
      <c r="AV1059">
        <v>0</v>
      </c>
      <c r="AW1059">
        <v>10</v>
      </c>
      <c r="AX1059">
        <v>1</v>
      </c>
      <c r="AY1059">
        <v>5</v>
      </c>
      <c r="AZ1059">
        <v>2</v>
      </c>
      <c r="BA1059">
        <v>1</v>
      </c>
      <c r="BB1059">
        <v>1440</v>
      </c>
      <c r="BC1059">
        <v>0</v>
      </c>
      <c r="BD1059">
        <v>0</v>
      </c>
      <c r="BE1059">
        <v>14</v>
      </c>
      <c r="BF1059">
        <v>25</v>
      </c>
      <c r="BG1059">
        <v>3</v>
      </c>
      <c r="BH1059">
        <v>8</v>
      </c>
      <c r="BI1059">
        <v>3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0</v>
      </c>
      <c r="BQ1059">
        <v>60</v>
      </c>
      <c r="BR1059">
        <v>0</v>
      </c>
      <c r="BS1059">
        <v>3</v>
      </c>
      <c r="BT1059" t="s">
        <v>250</v>
      </c>
      <c r="BU1059" t="s">
        <v>273</v>
      </c>
      <c r="BV1059" t="b">
        <v>0</v>
      </c>
      <c r="BW1059" t="s">
        <v>268</v>
      </c>
    </row>
    <row r="1060" spans="1:75">
      <c r="A1060" t="s">
        <v>250</v>
      </c>
      <c r="B1060" t="s">
        <v>252</v>
      </c>
      <c r="C1060">
        <v>756</v>
      </c>
      <c r="D1060" t="s">
        <v>253</v>
      </c>
      <c r="E1060" t="s">
        <v>254</v>
      </c>
      <c r="F1060">
        <v>30</v>
      </c>
      <c r="G1060" s="13">
        <v>46269.41914351852</v>
      </c>
      <c r="H1060" s="13">
        <v>46269.419479166667</v>
      </c>
      <c r="I1060">
        <v>29</v>
      </c>
      <c r="J1060" t="s">
        <v>255</v>
      </c>
      <c r="K1060">
        <v>1</v>
      </c>
      <c r="L1060">
        <v>0.01</v>
      </c>
      <c r="M1060">
        <v>0.01</v>
      </c>
      <c r="N1060">
        <v>1</v>
      </c>
      <c r="O1060">
        <v>0.01</v>
      </c>
      <c r="P1060">
        <v>0.82</v>
      </c>
      <c r="Q1060">
        <v>0.97</v>
      </c>
      <c r="R1060">
        <v>0.76</v>
      </c>
      <c r="S1060" t="s">
        <v>256</v>
      </c>
      <c r="T1060" t="s">
        <v>257</v>
      </c>
      <c r="U1060">
        <v>11</v>
      </c>
      <c r="V1060">
        <v>5717.94</v>
      </c>
      <c r="W1060">
        <v>4999.83</v>
      </c>
      <c r="X1060">
        <v>4999.18</v>
      </c>
      <c r="Y1060">
        <v>0</v>
      </c>
      <c r="Z1060">
        <v>0</v>
      </c>
      <c r="AA1060">
        <v>35</v>
      </c>
      <c r="AB1060">
        <v>50</v>
      </c>
      <c r="AC1060">
        <v>5000</v>
      </c>
      <c r="AD1060">
        <v>0</v>
      </c>
      <c r="AE1060">
        <v>0</v>
      </c>
      <c r="AF1060">
        <v>5718.75</v>
      </c>
      <c r="AG1060">
        <v>5718.75</v>
      </c>
      <c r="AH1060" s="14">
        <v>46269</v>
      </c>
      <c r="AI1060" t="s">
        <v>272</v>
      </c>
      <c r="AJ1060" s="13">
        <v>46262.99790509259</v>
      </c>
      <c r="AK1060">
        <v>5509.79</v>
      </c>
      <c r="AL1060" t="s">
        <v>259</v>
      </c>
      <c r="AM1060" t="s">
        <v>260</v>
      </c>
      <c r="AN1060">
        <v>1400</v>
      </c>
      <c r="AO1060">
        <v>0</v>
      </c>
      <c r="AP1060">
        <v>35</v>
      </c>
      <c r="AQ1060">
        <v>85</v>
      </c>
      <c r="AR1060">
        <v>35</v>
      </c>
      <c r="AS1060">
        <v>2</v>
      </c>
      <c r="AT1060">
        <v>23</v>
      </c>
      <c r="AU1060">
        <v>1</v>
      </c>
      <c r="AV1060">
        <v>0</v>
      </c>
      <c r="AW1060">
        <v>10</v>
      </c>
      <c r="AX1060">
        <v>1</v>
      </c>
      <c r="AY1060">
        <v>5</v>
      </c>
      <c r="AZ1060">
        <v>2</v>
      </c>
      <c r="BA1060">
        <v>1</v>
      </c>
      <c r="BB1060">
        <v>1440</v>
      </c>
      <c r="BC1060">
        <v>0</v>
      </c>
      <c r="BD1060">
        <v>0</v>
      </c>
      <c r="BE1060">
        <v>14</v>
      </c>
      <c r="BF1060">
        <v>25</v>
      </c>
      <c r="BG1060">
        <v>3</v>
      </c>
      <c r="BH1060">
        <v>8</v>
      </c>
      <c r="BI1060">
        <v>3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0</v>
      </c>
      <c r="BQ1060">
        <v>60</v>
      </c>
      <c r="BR1060">
        <v>0</v>
      </c>
      <c r="BS1060">
        <v>3</v>
      </c>
      <c r="BT1060" t="s">
        <v>250</v>
      </c>
      <c r="BU1060" t="s">
        <v>273</v>
      </c>
      <c r="BV1060" t="b">
        <v>0</v>
      </c>
      <c r="BW1060" t="s">
        <v>268</v>
      </c>
    </row>
    <row r="1061" spans="1:75">
      <c r="A1061" t="s">
        <v>250</v>
      </c>
      <c r="B1061" t="s">
        <v>252</v>
      </c>
      <c r="C1061">
        <v>757</v>
      </c>
      <c r="D1061" t="s">
        <v>253</v>
      </c>
      <c r="E1061" t="s">
        <v>254</v>
      </c>
      <c r="F1061">
        <v>30</v>
      </c>
      <c r="G1061" s="13">
        <v>46269.442465277774</v>
      </c>
      <c r="H1061" s="13">
        <v>46269.445868055554</v>
      </c>
      <c r="I1061">
        <v>294</v>
      </c>
      <c r="J1061" t="s">
        <v>255</v>
      </c>
      <c r="K1061">
        <v>1</v>
      </c>
      <c r="L1061">
        <v>0.01</v>
      </c>
      <c r="M1061">
        <v>0.01</v>
      </c>
      <c r="N1061">
        <v>1</v>
      </c>
      <c r="O1061">
        <v>0.01</v>
      </c>
      <c r="P1061">
        <v>1.72</v>
      </c>
      <c r="Q1061">
        <v>1.76</v>
      </c>
      <c r="R1061">
        <v>1.68</v>
      </c>
      <c r="S1061" t="s">
        <v>256</v>
      </c>
      <c r="T1061" t="s">
        <v>257</v>
      </c>
      <c r="U1061">
        <v>10</v>
      </c>
      <c r="V1061">
        <v>5718.56</v>
      </c>
      <c r="W1061">
        <v>4999.8100000000004</v>
      </c>
      <c r="X1061">
        <v>4998.28</v>
      </c>
      <c r="Y1061">
        <v>0</v>
      </c>
      <c r="Z1061">
        <v>0</v>
      </c>
      <c r="AA1061">
        <v>35</v>
      </c>
      <c r="AB1061">
        <v>50</v>
      </c>
      <c r="AC1061">
        <v>5000</v>
      </c>
      <c r="AD1061">
        <v>0</v>
      </c>
      <c r="AE1061">
        <v>0</v>
      </c>
      <c r="AF1061">
        <v>5720.16</v>
      </c>
      <c r="AG1061">
        <v>5720.16</v>
      </c>
      <c r="AH1061" s="14">
        <v>46269</v>
      </c>
      <c r="AI1061" t="s">
        <v>272</v>
      </c>
      <c r="AJ1061" s="13">
        <v>46262.99790509259</v>
      </c>
      <c r="AK1061">
        <v>5509.79</v>
      </c>
      <c r="AL1061" t="s">
        <v>259</v>
      </c>
      <c r="AM1061" t="s">
        <v>260</v>
      </c>
      <c r="AN1061">
        <v>1400</v>
      </c>
      <c r="AO1061">
        <v>0</v>
      </c>
      <c r="AP1061">
        <v>35</v>
      </c>
      <c r="AQ1061">
        <v>85</v>
      </c>
      <c r="AR1061">
        <v>35</v>
      </c>
      <c r="AS1061">
        <v>2</v>
      </c>
      <c r="AT1061">
        <v>23</v>
      </c>
      <c r="AU1061">
        <v>1</v>
      </c>
      <c r="AV1061">
        <v>0</v>
      </c>
      <c r="AW1061">
        <v>10</v>
      </c>
      <c r="AX1061">
        <v>1</v>
      </c>
      <c r="AY1061">
        <v>5</v>
      </c>
      <c r="AZ1061">
        <v>2</v>
      </c>
      <c r="BA1061">
        <v>1</v>
      </c>
      <c r="BB1061">
        <v>1440</v>
      </c>
      <c r="BC1061">
        <v>0</v>
      </c>
      <c r="BD1061">
        <v>0</v>
      </c>
      <c r="BE1061">
        <v>14</v>
      </c>
      <c r="BF1061">
        <v>25</v>
      </c>
      <c r="BG1061">
        <v>3</v>
      </c>
      <c r="BH1061">
        <v>8</v>
      </c>
      <c r="BI1061">
        <v>3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0</v>
      </c>
      <c r="BQ1061">
        <v>60</v>
      </c>
      <c r="BR1061">
        <v>0</v>
      </c>
      <c r="BS1061">
        <v>3</v>
      </c>
      <c r="BT1061" t="s">
        <v>250</v>
      </c>
      <c r="BU1061" t="s">
        <v>273</v>
      </c>
      <c r="BV1061" t="b">
        <v>0</v>
      </c>
      <c r="BW1061" t="s">
        <v>268</v>
      </c>
    </row>
    <row r="1062" spans="1:75">
      <c r="A1062" t="s">
        <v>250</v>
      </c>
      <c r="B1062" t="s">
        <v>252</v>
      </c>
      <c r="C1062">
        <v>758</v>
      </c>
      <c r="D1062" t="s">
        <v>253</v>
      </c>
      <c r="E1062" t="s">
        <v>254</v>
      </c>
      <c r="F1062">
        <v>30</v>
      </c>
      <c r="G1062" s="13">
        <v>46269.461875000001</v>
      </c>
      <c r="H1062" s="13">
        <v>46269.462418981479</v>
      </c>
      <c r="I1062">
        <v>47</v>
      </c>
      <c r="J1062" t="s">
        <v>264</v>
      </c>
      <c r="K1062">
        <v>1</v>
      </c>
      <c r="L1062">
        <v>0.01</v>
      </c>
      <c r="M1062">
        <v>0.01</v>
      </c>
      <c r="N1062">
        <v>1</v>
      </c>
      <c r="O1062">
        <v>0.01</v>
      </c>
      <c r="P1062">
        <v>0.24</v>
      </c>
      <c r="Q1062">
        <v>1.42</v>
      </c>
      <c r="R1062">
        <v>1.08</v>
      </c>
      <c r="S1062" t="s">
        <v>256</v>
      </c>
      <c r="T1062" t="s">
        <v>257</v>
      </c>
      <c r="U1062">
        <v>11</v>
      </c>
      <c r="V1062">
        <v>5719.92</v>
      </c>
      <c r="W1062">
        <v>4999.76</v>
      </c>
      <c r="X1062">
        <v>4999.76</v>
      </c>
      <c r="Y1062">
        <v>0</v>
      </c>
      <c r="Z1062">
        <v>0</v>
      </c>
      <c r="AA1062">
        <v>35</v>
      </c>
      <c r="AB1062">
        <v>50</v>
      </c>
      <c r="AC1062">
        <v>5000</v>
      </c>
      <c r="AD1062">
        <v>0</v>
      </c>
      <c r="AE1062">
        <v>0</v>
      </c>
      <c r="AF1062">
        <v>5721.23</v>
      </c>
      <c r="AG1062">
        <v>5721.23</v>
      </c>
      <c r="AH1062" s="14">
        <v>46269</v>
      </c>
      <c r="AI1062" t="s">
        <v>272</v>
      </c>
      <c r="AJ1062" s="13">
        <v>46262.99790509259</v>
      </c>
      <c r="AK1062">
        <v>5509.79</v>
      </c>
      <c r="AL1062" t="s">
        <v>259</v>
      </c>
      <c r="AM1062" t="s">
        <v>260</v>
      </c>
      <c r="AN1062">
        <v>1400</v>
      </c>
      <c r="AO1062">
        <v>0</v>
      </c>
      <c r="AP1062">
        <v>35</v>
      </c>
      <c r="AQ1062">
        <v>85</v>
      </c>
      <c r="AR1062">
        <v>35</v>
      </c>
      <c r="AS1062">
        <v>2</v>
      </c>
      <c r="AT1062">
        <v>23</v>
      </c>
      <c r="AU1062">
        <v>1</v>
      </c>
      <c r="AV1062">
        <v>0</v>
      </c>
      <c r="AW1062">
        <v>10</v>
      </c>
      <c r="AX1062">
        <v>1</v>
      </c>
      <c r="AY1062">
        <v>5</v>
      </c>
      <c r="AZ1062">
        <v>2</v>
      </c>
      <c r="BA1062">
        <v>1</v>
      </c>
      <c r="BB1062">
        <v>1440</v>
      </c>
      <c r="BC1062">
        <v>0</v>
      </c>
      <c r="BD1062">
        <v>0</v>
      </c>
      <c r="BE1062">
        <v>14</v>
      </c>
      <c r="BF1062">
        <v>25</v>
      </c>
      <c r="BG1062">
        <v>3</v>
      </c>
      <c r="BH1062">
        <v>8</v>
      </c>
      <c r="BI1062">
        <v>3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0</v>
      </c>
      <c r="BQ1062">
        <v>60</v>
      </c>
      <c r="BR1062">
        <v>0</v>
      </c>
      <c r="BS1062">
        <v>3</v>
      </c>
      <c r="BT1062" t="s">
        <v>250</v>
      </c>
      <c r="BU1062" t="s">
        <v>273</v>
      </c>
      <c r="BV1062" t="b">
        <v>0</v>
      </c>
      <c r="BW1062" t="s">
        <v>268</v>
      </c>
    </row>
    <row r="1063" spans="1:75">
      <c r="A1063" t="s">
        <v>250</v>
      </c>
      <c r="B1063" t="s">
        <v>252</v>
      </c>
      <c r="C1063">
        <v>759</v>
      </c>
      <c r="D1063" t="s">
        <v>253</v>
      </c>
      <c r="E1063" t="s">
        <v>254</v>
      </c>
      <c r="F1063">
        <v>30</v>
      </c>
      <c r="G1063" s="13">
        <v>46269.480590277781</v>
      </c>
      <c r="H1063" s="13">
        <v>46269.484872685185</v>
      </c>
      <c r="I1063">
        <v>370</v>
      </c>
      <c r="J1063" t="s">
        <v>264</v>
      </c>
      <c r="K1063">
        <v>1</v>
      </c>
      <c r="L1063">
        <v>0.01</v>
      </c>
      <c r="M1063">
        <v>0.01</v>
      </c>
      <c r="N1063">
        <v>1</v>
      </c>
      <c r="O1063">
        <v>0.01</v>
      </c>
      <c r="P1063">
        <v>2.95</v>
      </c>
      <c r="Q1063">
        <v>0.9</v>
      </c>
      <c r="R1063">
        <v>0.6</v>
      </c>
      <c r="S1063" t="s">
        <v>256</v>
      </c>
      <c r="T1063" t="s">
        <v>257</v>
      </c>
      <c r="U1063">
        <v>10</v>
      </c>
      <c r="V1063">
        <v>5721.2</v>
      </c>
      <c r="W1063">
        <v>4999.97</v>
      </c>
      <c r="X1063">
        <v>4997.05</v>
      </c>
      <c r="Y1063">
        <v>0</v>
      </c>
      <c r="Z1063">
        <v>0</v>
      </c>
      <c r="AA1063">
        <v>35</v>
      </c>
      <c r="AB1063">
        <v>50</v>
      </c>
      <c r="AC1063">
        <v>5000</v>
      </c>
      <c r="AD1063">
        <v>0</v>
      </c>
      <c r="AE1063">
        <v>0</v>
      </c>
      <c r="AF1063">
        <v>5721.78</v>
      </c>
      <c r="AG1063">
        <v>5721.78</v>
      </c>
      <c r="AH1063" s="14">
        <v>46269</v>
      </c>
      <c r="AI1063" t="s">
        <v>272</v>
      </c>
      <c r="AJ1063" s="13">
        <v>46262.99790509259</v>
      </c>
      <c r="AK1063">
        <v>5509.79</v>
      </c>
      <c r="AL1063" t="s">
        <v>259</v>
      </c>
      <c r="AM1063" t="s">
        <v>260</v>
      </c>
      <c r="AN1063">
        <v>1400</v>
      </c>
      <c r="AO1063">
        <v>0</v>
      </c>
      <c r="AP1063">
        <v>35</v>
      </c>
      <c r="AQ1063">
        <v>85</v>
      </c>
      <c r="AR1063">
        <v>35</v>
      </c>
      <c r="AS1063">
        <v>2</v>
      </c>
      <c r="AT1063">
        <v>23</v>
      </c>
      <c r="AU1063">
        <v>1</v>
      </c>
      <c r="AV1063">
        <v>0</v>
      </c>
      <c r="AW1063">
        <v>10</v>
      </c>
      <c r="AX1063">
        <v>1</v>
      </c>
      <c r="AY1063">
        <v>5</v>
      </c>
      <c r="AZ1063">
        <v>2</v>
      </c>
      <c r="BA1063">
        <v>1</v>
      </c>
      <c r="BB1063">
        <v>1440</v>
      </c>
      <c r="BC1063">
        <v>0</v>
      </c>
      <c r="BD1063">
        <v>0</v>
      </c>
      <c r="BE1063">
        <v>14</v>
      </c>
      <c r="BF1063">
        <v>25</v>
      </c>
      <c r="BG1063">
        <v>3</v>
      </c>
      <c r="BH1063">
        <v>8</v>
      </c>
      <c r="BI1063">
        <v>3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0</v>
      </c>
      <c r="BQ1063">
        <v>60</v>
      </c>
      <c r="BR1063">
        <v>0</v>
      </c>
      <c r="BS1063">
        <v>3</v>
      </c>
      <c r="BT1063" t="s">
        <v>250</v>
      </c>
      <c r="BU1063" t="s">
        <v>273</v>
      </c>
      <c r="BV1063" t="b">
        <v>0</v>
      </c>
      <c r="BW1063" t="s">
        <v>268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showGridLines="0" workbookViewId="0"/>
  </sheetViews>
  <sheetFormatPr defaultRowHeight="14.25"/>
  <cols>
    <col min="1" max="1" width="28" customWidth="1"/>
    <col min="2" max="2" width="20" customWidth="1"/>
    <col min="3" max="3" width="100" customWidth="1"/>
  </cols>
  <sheetData>
    <row r="1" spans="1:3" ht="15">
      <c r="A1" s="1" t="s">
        <v>150</v>
      </c>
      <c r="B1" s="1" t="s">
        <v>289</v>
      </c>
      <c r="C1" s="1" t="s">
        <v>290</v>
      </c>
    </row>
    <row r="2" spans="1:3">
      <c r="A2" s="2" t="s">
        <v>291</v>
      </c>
      <c r="B2" s="2">
        <f>COUNTA(BasketDataTable[AccountNumber])</f>
        <v>1062</v>
      </c>
      <c r="C2" s="3" t="s">
        <v>292</v>
      </c>
    </row>
    <row r="3" spans="1:3">
      <c r="A3" s="2" t="s">
        <v>152</v>
      </c>
      <c r="B3" s="2" t="str">
        <f>IF(COUNT(BasketDataTable[CsvSchemaVersion])=0,"No data",IF(COUNTIF(BasketDataTable[CsvSchemaVersion],3)=COUNT(BasketDataTable[CsvSchemaVersion]),"Schema v3","Mixed or older schema"))</f>
        <v>Schema v3</v>
      </c>
      <c r="C3" s="3" t="s">
        <v>293</v>
      </c>
    </row>
    <row r="4" spans="1:3">
      <c r="A4" s="2" t="s">
        <v>294</v>
      </c>
      <c r="B4" s="2">
        <f>COUNTIF('Account Analysis'!$A$5:$A$104,"&lt;&gt;")</f>
        <v>4</v>
      </c>
      <c r="C4" s="3" t="s">
        <v>305</v>
      </c>
    </row>
    <row r="5" spans="1:3">
      <c r="A5" s="2" t="s">
        <v>153</v>
      </c>
      <c r="B5" s="2">
        <f>COUNTIF(BasketDataTable[FolderAccountMismatch],TRUE)</f>
        <v>0</v>
      </c>
      <c r="C5" s="3" t="s">
        <v>295</v>
      </c>
    </row>
    <row r="6" spans="1:3">
      <c r="A6" s="2" t="s">
        <v>154</v>
      </c>
      <c r="B6" s="2" t="s">
        <v>155</v>
      </c>
      <c r="C6" s="3" t="s">
        <v>296</v>
      </c>
    </row>
    <row r="7" spans="1:3">
      <c r="A7" s="2" t="s">
        <v>297</v>
      </c>
      <c r="B7" s="2">
        <f>COUNTA(SyncStatusTable[AccountNumber])</f>
        <v>4</v>
      </c>
      <c r="C7" s="3" t="s">
        <v>298</v>
      </c>
    </row>
    <row r="8" spans="1:3">
      <c r="A8" s="2" t="s">
        <v>299</v>
      </c>
      <c r="B8" s="2">
        <f>COUNTIF(SyncStatusTable[IsFresh],TRUE)</f>
        <v>0</v>
      </c>
      <c r="C8" s="3" t="s">
        <v>300</v>
      </c>
    </row>
    <row r="9" spans="1:3">
      <c r="A9" s="2" t="s">
        <v>156</v>
      </c>
      <c r="B9" s="2" t="s">
        <v>301</v>
      </c>
      <c r="C9" s="3" t="s">
        <v>302</v>
      </c>
    </row>
    <row r="10" spans="1:3">
      <c r="A10" t="s">
        <v>306</v>
      </c>
      <c r="B10" t="str">
        <f>IF(SUMPRODUCT((BasketDataTable[AccountNumber]&lt;&gt;"")*(COUNTIFS('Account Analysis'!$A$5:$A$104,BasketDataTable[AccountNumber],'Account Analysis'!$B$5:$B$104,BasketDataTable[RunID])=0))&gt;0,"INCOMPLETE ANALYSIS - add account/run","OK")</f>
        <v>OK</v>
      </c>
      <c r="C10" t="s">
        <v>307</v>
      </c>
    </row>
    <row r="11" spans="1:3">
      <c r="A11" t="s">
        <v>308</v>
      </c>
      <c r="B11" t="str">
        <f>IF(SUMPRODUCT(('Account Analysis'!$A$5:$A$104&lt;&gt;"")*(COUNTIFS('Account Analysis'!$A$5:$A$104,'Account Analysis'!$A$5:$A$104,'Account Analysis'!$B$5:$B$104,'Account Analysis'!$B$5:$B$104)&gt;1))&gt;0,"DUPLICATE ACCOUNT/RUN","OK")</f>
        <v>OK</v>
      </c>
      <c r="C11" t="s">
        <v>309</v>
      </c>
    </row>
    <row r="12" spans="1:3">
      <c r="A12" t="s">
        <v>310</v>
      </c>
      <c r="B12" t="s">
        <v>311</v>
      </c>
      <c r="C12" t="s">
        <v>312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4"/>
  <sheetViews>
    <sheetView showGridLines="0" zoomScale="85" zoomScaleNormal="85" workbookViewId="0">
      <selection sqref="A1:F1"/>
    </sheetView>
  </sheetViews>
  <sheetFormatPr defaultRowHeight="14.25"/>
  <cols>
    <col min="1" max="1" width="120" customWidth="1"/>
    <col min="2" max="2" width="45" customWidth="1"/>
  </cols>
  <sheetData>
    <row r="1" spans="1:6" ht="20.25">
      <c r="A1" s="24" t="s">
        <v>157</v>
      </c>
      <c r="B1" s="24"/>
      <c r="C1" s="24"/>
      <c r="D1" s="24"/>
      <c r="E1" s="24"/>
      <c r="F1" s="24"/>
    </row>
    <row r="3" spans="1:6" ht="15">
      <c r="A3" s="1" t="s">
        <v>158</v>
      </c>
      <c r="B3" s="1" t="s">
        <v>159</v>
      </c>
    </row>
    <row r="4" spans="1:6">
      <c r="A4" s="2" t="s">
        <v>160</v>
      </c>
      <c r="B4" s="12" t="s">
        <v>242</v>
      </c>
    </row>
    <row r="5" spans="1:6">
      <c r="A5" s="2" t="s">
        <v>161</v>
      </c>
      <c r="B5" s="2" t="s">
        <v>170</v>
      </c>
    </row>
    <row r="6" spans="1:6">
      <c r="A6" s="2" t="s">
        <v>171</v>
      </c>
      <c r="B6" s="2" t="s">
        <v>172</v>
      </c>
    </row>
    <row r="8" spans="1:6">
      <c r="A8" s="26" t="s">
        <v>173</v>
      </c>
      <c r="B8" s="26"/>
      <c r="C8" s="26"/>
      <c r="D8" s="26"/>
      <c r="E8" s="26"/>
      <c r="F8" s="26"/>
    </row>
    <row r="10" spans="1:6">
      <c r="A10" s="15" t="s">
        <v>174</v>
      </c>
    </row>
    <row r="11" spans="1:6">
      <c r="A11" s="15" t="s">
        <v>175</v>
      </c>
    </row>
    <row r="12" spans="1:6">
      <c r="A12" s="15" t="s">
        <v>176</v>
      </c>
    </row>
    <row r="13" spans="1:6">
      <c r="A13" s="15" t="s">
        <v>177</v>
      </c>
    </row>
    <row r="14" spans="1:6">
      <c r="A14" s="15" t="s">
        <v>178</v>
      </c>
    </row>
    <row r="15" spans="1:6">
      <c r="A15" s="15" t="s">
        <v>179</v>
      </c>
    </row>
    <row r="16" spans="1:6">
      <c r="A16" s="15" t="s">
        <v>180</v>
      </c>
    </row>
    <row r="17" spans="1:1">
      <c r="A17" s="15" t="s">
        <v>181</v>
      </c>
    </row>
    <row r="18" spans="1:1">
      <c r="A18" s="15" t="s">
        <v>182</v>
      </c>
    </row>
    <row r="19" spans="1:1">
      <c r="A19" s="15" t="s">
        <v>183</v>
      </c>
    </row>
    <row r="20" spans="1:1">
      <c r="A20" s="15" t="s">
        <v>184</v>
      </c>
    </row>
    <row r="21" spans="1:1">
      <c r="A21" s="15" t="s">
        <v>185</v>
      </c>
    </row>
    <row r="22" spans="1:1">
      <c r="A22" s="15" t="s">
        <v>186</v>
      </c>
    </row>
    <row r="23" spans="1:1">
      <c r="A23" s="15" t="s">
        <v>187</v>
      </c>
    </row>
    <row r="24" spans="1:1">
      <c r="A24" s="15" t="s">
        <v>179</v>
      </c>
    </row>
    <row r="25" spans="1:1">
      <c r="A25" s="15" t="s">
        <v>188</v>
      </c>
    </row>
    <row r="26" spans="1:1">
      <c r="A26" s="15" t="s">
        <v>189</v>
      </c>
    </row>
    <row r="27" spans="1:1">
      <c r="A27" s="15" t="s">
        <v>190</v>
      </c>
    </row>
    <row r="28" spans="1:1">
      <c r="A28" s="15" t="s">
        <v>191</v>
      </c>
    </row>
    <row r="29" spans="1:1">
      <c r="A29" s="15" t="s">
        <v>192</v>
      </c>
    </row>
    <row r="30" spans="1:1">
      <c r="A30" s="15" t="s">
        <v>193</v>
      </c>
    </row>
    <row r="31" spans="1:1">
      <c r="A31" s="15" t="s">
        <v>194</v>
      </c>
    </row>
    <row r="32" spans="1:1">
      <c r="A32" s="15" t="s">
        <v>195</v>
      </c>
    </row>
    <row r="33" spans="1:1">
      <c r="A33" s="16" t="s">
        <v>196</v>
      </c>
    </row>
    <row r="34" spans="1:1">
      <c r="A34" s="16" t="s">
        <v>197</v>
      </c>
    </row>
    <row r="35" spans="1:1">
      <c r="A35" s="16" t="s">
        <v>198</v>
      </c>
    </row>
    <row r="36" spans="1:1">
      <c r="A36" s="16" t="s">
        <v>199</v>
      </c>
    </row>
    <row r="37" spans="1:1">
      <c r="A37" s="16" t="s">
        <v>200</v>
      </c>
    </row>
    <row r="38" spans="1:1">
      <c r="A38" s="16" t="s">
        <v>201</v>
      </c>
    </row>
    <row r="39" spans="1:1">
      <c r="A39" s="16" t="s">
        <v>202</v>
      </c>
    </row>
    <row r="40" spans="1:1">
      <c r="A40" s="16" t="s">
        <v>203</v>
      </c>
    </row>
    <row r="41" spans="1:1">
      <c r="A41" s="16" t="s">
        <v>204</v>
      </c>
    </row>
    <row r="42" spans="1:1">
      <c r="A42" s="16" t="s">
        <v>205</v>
      </c>
    </row>
    <row r="43" spans="1:1">
      <c r="A43" s="16" t="s">
        <v>206</v>
      </c>
    </row>
    <row r="44" spans="1:1">
      <c r="A44" s="16" t="s">
        <v>207</v>
      </c>
    </row>
    <row r="45" spans="1:1">
      <c r="A45" s="16" t="s">
        <v>208</v>
      </c>
    </row>
    <row r="46" spans="1:1">
      <c r="A46" s="16" t="s">
        <v>209</v>
      </c>
    </row>
    <row r="47" spans="1:1">
      <c r="A47" s="16" t="s">
        <v>210</v>
      </c>
    </row>
    <row r="48" spans="1:1">
      <c r="A48" s="16" t="s">
        <v>211</v>
      </c>
    </row>
    <row r="49" spans="1:1">
      <c r="A49" s="16" t="s">
        <v>212</v>
      </c>
    </row>
    <row r="50" spans="1:1">
      <c r="A50" s="16" t="s">
        <v>213</v>
      </c>
    </row>
    <row r="51" spans="1:1">
      <c r="A51" s="16" t="s">
        <v>214</v>
      </c>
    </row>
    <row r="52" spans="1:1">
      <c r="A52" s="16" t="s">
        <v>215</v>
      </c>
    </row>
    <row r="53" spans="1:1">
      <c r="A53" s="16" t="s">
        <v>216</v>
      </c>
    </row>
    <row r="54" spans="1:1">
      <c r="A54" s="16" t="s">
        <v>217</v>
      </c>
    </row>
    <row r="55" spans="1:1">
      <c r="A55" s="16" t="s">
        <v>218</v>
      </c>
    </row>
    <row r="56" spans="1:1">
      <c r="A56" s="16" t="s">
        <v>219</v>
      </c>
    </row>
    <row r="57" spans="1:1">
      <c r="A57" s="16" t="s">
        <v>220</v>
      </c>
    </row>
    <row r="58" spans="1:1">
      <c r="A58" s="16" t="s">
        <v>221</v>
      </c>
    </row>
    <row r="59" spans="1:1">
      <c r="A59" s="16" t="s">
        <v>222</v>
      </c>
    </row>
    <row r="60" spans="1:1">
      <c r="A60" s="16" t="s">
        <v>223</v>
      </c>
    </row>
    <row r="61" spans="1:1">
      <c r="A61" s="16" t="s">
        <v>224</v>
      </c>
    </row>
    <row r="62" spans="1:1">
      <c r="A62" s="16" t="s">
        <v>225</v>
      </c>
    </row>
    <row r="63" spans="1:1">
      <c r="A63" s="16" t="s">
        <v>226</v>
      </c>
    </row>
    <row r="64" spans="1:1">
      <c r="A64" s="16" t="s">
        <v>227</v>
      </c>
    </row>
    <row r="65" spans="1:1">
      <c r="A65" s="16" t="s">
        <v>228</v>
      </c>
    </row>
    <row r="66" spans="1:1">
      <c r="A66" s="16" t="s">
        <v>229</v>
      </c>
    </row>
    <row r="68" spans="1:1">
      <c r="A68" s="16" t="s">
        <v>230</v>
      </c>
    </row>
    <row r="69" spans="1:1">
      <c r="A69" s="16" t="s">
        <v>175</v>
      </c>
    </row>
    <row r="70" spans="1:1">
      <c r="A70" s="16" t="s">
        <v>176</v>
      </c>
    </row>
    <row r="71" spans="1:1">
      <c r="A71" s="16" t="s">
        <v>231</v>
      </c>
    </row>
    <row r="72" spans="1:1">
      <c r="A72" s="16" t="s">
        <v>188</v>
      </c>
    </row>
    <row r="73" spans="1:1">
      <c r="A73" s="16" t="s">
        <v>189</v>
      </c>
    </row>
    <row r="74" spans="1:1">
      <c r="A74" s="16" t="s">
        <v>190</v>
      </c>
    </row>
    <row r="75" spans="1:1">
      <c r="A75" s="16" t="s">
        <v>191</v>
      </c>
    </row>
    <row r="76" spans="1:1">
      <c r="A76" s="16" t="s">
        <v>192</v>
      </c>
    </row>
    <row r="77" spans="1:1">
      <c r="A77" s="16" t="s">
        <v>193</v>
      </c>
    </row>
    <row r="78" spans="1:1">
      <c r="A78" s="16" t="s">
        <v>194</v>
      </c>
    </row>
    <row r="79" spans="1:1">
      <c r="A79" s="16" t="s">
        <v>195</v>
      </c>
    </row>
    <row r="80" spans="1:1">
      <c r="A80" s="16" t="s">
        <v>196</v>
      </c>
    </row>
    <row r="81" spans="1:1">
      <c r="A81" s="16" t="s">
        <v>232</v>
      </c>
    </row>
    <row r="82" spans="1:1">
      <c r="A82" s="16" t="s">
        <v>233</v>
      </c>
    </row>
    <row r="83" spans="1:1">
      <c r="A83" s="16" t="s">
        <v>199</v>
      </c>
    </row>
    <row r="84" spans="1:1">
      <c r="A84" s="16" t="s">
        <v>200</v>
      </c>
    </row>
    <row r="85" spans="1:1">
      <c r="A85" s="16" t="s">
        <v>234</v>
      </c>
    </row>
    <row r="86" spans="1:1">
      <c r="A86" s="16" t="s">
        <v>235</v>
      </c>
    </row>
    <row r="87" spans="1:1">
      <c r="A87" s="16" t="s">
        <v>236</v>
      </c>
    </row>
    <row r="88" spans="1:1">
      <c r="A88" s="16" t="s">
        <v>237</v>
      </c>
    </row>
    <row r="89" spans="1:1">
      <c r="A89" s="16" t="s">
        <v>238</v>
      </c>
    </row>
    <row r="90" spans="1:1">
      <c r="A90" s="16" t="s">
        <v>239</v>
      </c>
    </row>
    <row r="91" spans="1:1">
      <c r="A91" s="16" t="s">
        <v>240</v>
      </c>
    </row>
    <row r="92" spans="1:1">
      <c r="A92" s="16" t="s">
        <v>241</v>
      </c>
    </row>
    <row r="93" spans="1:1">
      <c r="A93" s="16" t="s">
        <v>228</v>
      </c>
    </row>
    <row r="94" spans="1:1">
      <c r="A94" s="16" t="s">
        <v>229</v>
      </c>
    </row>
  </sheetData>
  <mergeCells count="2">
    <mergeCell ref="A1:F1"/>
    <mergeCell ref="A8:F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283B49-DD63-46EA-A13D-E917E4CC1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VPS Verification</vt:lpstr>
      <vt:lpstr>Sync Status</vt:lpstr>
      <vt:lpstr>Account Analysis</vt:lpstr>
      <vt:lpstr>Manual Fields</vt:lpstr>
      <vt:lpstr>Basket Data</vt:lpstr>
      <vt:lpstr>Data Quality</vt:lpstr>
      <vt:lpstr>Power Query Setup</vt:lpstr>
      <vt:lpstr>OneDriveRoot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Yousuf Mesalm</cp:lastModifiedBy>
  <dcterms:modified xsi:type="dcterms:W3CDTF">2026-09-09T17:14:16Z</dcterms:modified>
</cp:coreProperties>
</file>