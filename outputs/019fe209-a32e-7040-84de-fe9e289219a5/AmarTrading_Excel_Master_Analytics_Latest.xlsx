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18FFA324-EF44-47D2-843B-784A9283E37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ync Status" sheetId="6" r:id="rId1"/>
    <sheet name="Account Analysis" sheetId="1" r:id="rId2"/>
    <sheet name="Manual Fields" sheetId="2" r:id="rId3"/>
    <sheet name="Basket Data" sheetId="3" r:id="rId4"/>
    <sheet name="Data Quality" sheetId="4" r:id="rId5"/>
    <sheet name="Power Query Setup" sheetId="5" r:id="rId6"/>
  </sheets>
  <definedNames>
    <definedName name="ExternalData_1" localSheetId="3" hidden="1">'Basket Data'!$A$1:$BW$2</definedName>
    <definedName name="ExternalData_1" localSheetId="0" hidden="1">'Sync Status'!$A$1:$L$2</definedName>
    <definedName name="OneDriveRoot">'Power Query Setup'!$B$4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5" i="1" l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783775-5469-4774-8248-15F522A53FEF}" keepAlive="1" name="Connection" type="5" refreshedVersion="8" refreshOnLoad="1" saveData="1">
    <dbPr connection="Provider=Microsoft.Mashup.OleDb.1;Data Source=$Workbook$;Location=MoneyMachine_Baskets;Extended Properties=&quot;&quot;" command="SELECT * FROM [MoneyMachine_Baskets]"/>
  </connection>
  <connection id="2" xr16:uid="{C67AD92F-BC41-4A54-8CEC-662EE9F9CBA2}" keepAlive="1" name="Connection1" type="5" refreshedVersion="8" refreshOnLoad="1" saveData="1">
    <dbPr connection="Provider=Microsoft.Mashup.OleDb.1;Data Source=$Workbook$;Location=MoneyMachine_SyncStatus;Extended Properties=&quot;&quot;" command="SELECT * FROM [MoneyMachine_SyncStatus]"/>
  </connection>
  <connection id="3" xr16:uid="{DC2ABD69-7E26-401D-9893-501108074BAE}" keepAlive="1" name="Connection2" type="5" refreshedVersion="8" refreshOnLoad="1" saveData="1">
    <dbPr connection="Provider=Microsoft.Mashup.OleDb.1;Data Source=$Workbook$;Location=MoneyMachine_Baskets;Extended Properties=&quot;&quot;" command="SELECT * FROM [MoneyMachine_Baskets]"/>
  </connection>
  <connection id="4" xr16:uid="{6264EBC7-3A61-472B-B968-34989C3E3AEE}" keepAlive="1" name="Connection3" type="5" refreshedVersion="8" refreshOnLoad="1" saveData="1">
    <dbPr connection="Provider=Microsoft.Mashup.OleDb.1;Data Source=$Workbook$;Location=MoneyMachine_SyncStatus;Extended Properties=&quot;&quot;" command="SELECT * FROM [MoneyMachine_SyncStatus]"/>
  </connection>
  <connection id="5" xr16:uid="{4773E1A9-E76E-4A42-B6AA-0E1A3DC74C50}" keepAlive="1" name="Connection4" type="5" refreshedVersion="8" refreshOnLoad="1" saveData="1">
    <dbPr connection="Provider=Microsoft.Mashup.OleDb.1;Data Source=$Workbook$;Location=MoneyMachine_Baskets;Extended Properties=&quot;&quot;" command="SELECT * FROM [MoneyMachine_Baskets]"/>
  </connection>
  <connection id="6" xr16:uid="{E868A47C-7130-4B3F-A0F5-C6B13CEF14E7}" keepAlive="1" name="Connection5" type="5" refreshedVersion="8" refreshOnLoad="1" saveData="1">
    <dbPr connection="Provider=Microsoft.Mashup.OleDb.1;Data Source=$Workbook$;Location=MoneyMachine_SyncStatus;Extended Properties=&quot;&quot;" command="SELECT * FROM [MoneyMachine_SyncStatus]"/>
  </connection>
</connections>
</file>

<file path=xl/sharedStrings.xml><?xml version="1.0" encoding="utf-8"?>
<sst xmlns="http://schemas.openxmlformats.org/spreadsheetml/2006/main" count="313" uniqueCount="224">
  <si>
    <t>MoneyMachine — Current Account / Run Analysis</t>
  </si>
  <si>
    <t>General Data</t>
  </si>
  <si>
    <t>Profit / Loss Run</t>
  </si>
  <si>
    <t>Basket Depth</t>
  </si>
  <si>
    <t>Ratios &amp; Controls</t>
  </si>
  <si>
    <t>Account #</t>
  </si>
  <si>
    <t>Run ID</t>
  </si>
  <si>
    <t>Name</t>
  </si>
  <si>
    <t>Date Created</t>
  </si>
  <si>
    <t>Account Type</t>
  </si>
  <si>
    <t>Liquidity</t>
  </si>
  <si>
    <t>Server / VPS</t>
  </si>
  <si>
    <t>MT4 Label</t>
  </si>
  <si>
    <t>Fixed Lots</t>
  </si>
  <si>
    <t>Pips Step</t>
  </si>
  <si>
    <t>Basket Target</t>
  </si>
  <si>
    <t>Trailing Distance</t>
  </si>
  <si>
    <t>Trailing Activation</t>
  </si>
  <si>
    <t>Max Spread</t>
  </si>
  <si>
    <t>Time Start</t>
  </si>
  <si>
    <t>Time End</t>
  </si>
  <si>
    <t>Open Time</t>
  </si>
  <si>
    <t>Speed EA</t>
  </si>
  <si>
    <t>New Basket Delay</t>
  </si>
  <si>
    <t>Basket Trailing Enabled</t>
  </si>
  <si>
    <t>Trailing Start</t>
  </si>
  <si>
    <t>Trailing Step</t>
  </si>
  <si>
    <t>Kill Switch Enabled</t>
  </si>
  <si>
    <t>Kill Equity Level</t>
  </si>
  <si>
    <t>Kill Cooldown</t>
  </si>
  <si>
    <t>Exposure Cap Order #</t>
  </si>
  <si>
    <t>Exposure Cap Lot #</t>
  </si>
  <si>
    <t>Regime Enable</t>
  </si>
  <si>
    <t>Regime Action</t>
  </si>
  <si>
    <t>Enable Recovery StepUp</t>
  </si>
  <si>
    <t>Recovery Wait</t>
  </si>
  <si>
    <t>Recovery Max Lots</t>
  </si>
  <si>
    <t>Notes</t>
  </si>
  <si>
    <t>Net Profit</t>
  </si>
  <si>
    <t>Trading Days</t>
  </si>
  <si>
    <t>Avg Daily</t>
  </si>
  <si>
    <t>Max DD</t>
  </si>
  <si>
    <t>2ND DD</t>
  </si>
  <si>
    <t>3RD DD</t>
  </si>
  <si>
    <t>Avg DD Biggest 10</t>
  </si>
  <si>
    <t>Total Baskets</t>
  </si>
  <si>
    <t>Win Baskets #</t>
  </si>
  <si>
    <t>Win Baskets $</t>
  </si>
  <si>
    <t>Loss Baskets #</t>
  </si>
  <si>
    <t>Loss Baskets $</t>
  </si>
  <si>
    <t>Avg Basket Profit</t>
  </si>
  <si>
    <t>TimesNearKill</t>
  </si>
  <si>
    <t>Kill Count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</si>
  <si>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</si>
  <si>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</si>
  <si>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</si>
  <si>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</si>
  <si>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</si>
  <si>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</si>
  <si>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</si>
  <si>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</si>
  <si>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</si>
  <si>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10+</t>
  </si>
  <si>
    <t>Reached Cap-Lot#</t>
  </si>
  <si>
    <t>R_Run</t>
  </si>
  <si>
    <t>Avg Win</t>
  </si>
  <si>
    <t>Avg Loss</t>
  </si>
  <si>
    <t>Win Rate</t>
  </si>
  <si>
    <t>Loss Rate</t>
  </si>
  <si>
    <t>Expectancy</t>
  </si>
  <si>
    <t>Daily Risk Efficiency</t>
  </si>
  <si>
    <t>Config Status</t>
  </si>
  <si>
    <t>The current account/run is formula-driven below. Copy row 5 down after Power Query supplies additional account/run keys.</t>
  </si>
  <si>
    <t>892522910</t>
  </si>
  <si>
    <t>Legacy-v2</t>
  </si>
  <si>
    <t>Run Key</t>
  </si>
  <si>
    <t>892522910|Legacy-v2</t>
  </si>
  <si>
    <t>AccountNumber</t>
  </si>
  <si>
    <t>BrokerName</t>
  </si>
  <si>
    <t>BasketID</t>
  </si>
  <si>
    <t>Symbol</t>
  </si>
  <si>
    <t>SymbolNormalized</t>
  </si>
  <si>
    <t>Timeframe</t>
  </si>
  <si>
    <t>StartTime</t>
  </si>
  <si>
    <t>EndTime</t>
  </si>
  <si>
    <t>DurationSeconds</t>
  </si>
  <si>
    <t>Direction</t>
  </si>
  <si>
    <t>OrdersCount</t>
  </si>
  <si>
    <t>TotalLots</t>
  </si>
  <si>
    <t>FixedLots</t>
  </si>
  <si>
    <t>MaxOrdersConcurrent</t>
  </si>
  <si>
    <t>MaxTotalLots</t>
  </si>
  <si>
    <t>MaxFloatingDrawdownAbs</t>
  </si>
  <si>
    <t>MaxFloatingProfit</t>
  </si>
  <si>
    <t>ClosePL</t>
  </si>
  <si>
    <t>CloseReason</t>
  </si>
  <si>
    <t>OutcomeClass</t>
  </si>
  <si>
    <t>SpreadAtEntry</t>
  </si>
  <si>
    <t>EquityAtEntry</t>
  </si>
  <si>
    <t>HeadroomAtEntry</t>
  </si>
  <si>
    <t>MinHeadroom</t>
  </si>
  <si>
    <t>ExposureBlocks</t>
  </si>
  <si>
    <t>PipsStep</t>
  </si>
  <si>
    <t>TakeProfit</t>
  </si>
  <si>
    <t>KillEquityLevel</t>
  </si>
  <si>
    <t>MaxOrdersInBasket</t>
  </si>
  <si>
    <t>MaxTotalLotsInBasket</t>
  </si>
  <si>
    <t>EquityAtExit</t>
  </si>
  <si>
    <t>BalanceAfter</t>
  </si>
  <si>
    <t>TradeDate</t>
  </si>
  <si>
    <t>RunID</t>
  </si>
  <si>
    <t>RunStartTime</t>
  </si>
  <si>
    <t>RunStartBalance</t>
  </si>
  <si>
    <t>EAName</t>
  </si>
  <si>
    <t>EAVersion</t>
  </si>
  <si>
    <t>Magic</t>
  </si>
  <si>
    <t>PointsPerPip</t>
  </si>
  <si>
    <t>Tral</t>
  </si>
  <si>
    <t>TralStart</t>
  </si>
  <si>
    <t>MaxSpread</t>
  </si>
  <si>
    <t>TimeStart</t>
  </si>
  <si>
    <t>TimeEnd</t>
  </si>
  <si>
    <t>OpenTime</t>
  </si>
  <si>
    <t>NewBasketDelaySeconds</t>
  </si>
  <si>
    <t>SpeedEA</t>
  </si>
  <si>
    <t>UseBasketTrailingTP</t>
  </si>
  <si>
    <t>TrailingStart</t>
  </si>
  <si>
    <t>TrailingStep</t>
  </si>
  <si>
    <t>KillSwitchEnable</t>
  </si>
  <si>
    <t>KillCooldownMinutes</t>
  </si>
  <si>
    <t>RegimeEnable</t>
  </si>
  <si>
    <t>RegimeAction</t>
  </si>
  <si>
    <t>RegimeADXPeriod</t>
  </si>
  <si>
    <t>RegimeADXLevel</t>
  </si>
  <si>
    <t>RegimeADXBars</t>
  </si>
  <si>
    <t>RegimeRangeBars</t>
  </si>
  <si>
    <t>RegimeRecoveryBars</t>
  </si>
  <si>
    <t>EnableTradingDaysFilter</t>
  </si>
  <si>
    <t>TradeMonday</t>
  </si>
  <si>
    <t>TradeTuesday</t>
  </si>
  <si>
    <t>TradeWednesday</t>
  </si>
  <si>
    <t>TradeThursday</t>
  </si>
  <si>
    <t>TradeFriday</t>
  </si>
  <si>
    <t>EnableRecoveryStepUp</t>
  </si>
  <si>
    <t>RecoveryWaitMinutes</t>
  </si>
  <si>
    <t>RecoveryMaxTotalLotsInBasket</t>
  </si>
  <si>
    <t>CsvSchemaVersion</t>
  </si>
  <si>
    <t>FolderAccountNumber</t>
  </si>
  <si>
    <t>RunKey</t>
  </si>
  <si>
    <t>FolderAccountMismatch</t>
  </si>
  <si>
    <t>ConfigFingerprint</t>
  </si>
  <si>
    <t>BUY</t>
  </si>
  <si>
    <t>TP</t>
  </si>
  <si>
    <t>NORMAL_PROFIT</t>
  </si>
  <si>
    <t>Check</t>
  </si>
  <si>
    <t>Status</t>
  </si>
  <si>
    <t>Detail</t>
  </si>
  <si>
    <t>Sample rows loaded</t>
  </si>
  <si>
    <t>Current sample CSV is included as the initial Basket Data baseline.</t>
  </si>
  <si>
    <t>CSV schema</t>
  </si>
  <si>
    <t>Schema v2 sample</t>
  </si>
  <si>
    <t>Liquidity and full configuration auto-populate after schema-v3 CSV is received.</t>
  </si>
  <si>
    <t>Missing sample columns</t>
  </si>
  <si>
    <t>RunID, RunStartTime, RunStartBalance, EAName, EAVersion, Magic, PointsPerPip, Tral, TralStart, MaxSpread, TimeStart, TimeEnd, OpenTime, NewBasketDelaySeconds, SpeedEA, UseBasketTrailingTP, TrailingStart, TrailingStep, KillSwitchEnable, KillCooldownMinutes, RegimeEnable, RegimeAction, RegimeADXPeriod, RegimeADXLevel, RegimeADXBars, RegimeRangeBars, RegimeRecoveryBars, EnableTradingDaysFilter, TradeMonday, TradeTuesday, TradeWednesday, TradeThursday, TradeFriday, EnableRecoveryStepUp, RecoveryWaitMinutes, RecoveryMaxTotalLotsInBasket</t>
  </si>
  <si>
    <t>Folder/account mismatches</t>
  </si>
  <si>
    <t>Power Query flags FolderAccountMismatch when a OneDrive folder does not match AccountNumber.</t>
  </si>
  <si>
    <t>Configuration changes</t>
  </si>
  <si>
    <t>Formula monitored</t>
  </si>
  <si>
    <t>Account Analysis shows 'Configuration changed during run' when input snapshots differ.</t>
  </si>
  <si>
    <t>Defined by EA</t>
  </si>
  <si>
    <t>Counts separate entries into the near-kill zone: 12% threshold above kill point, re-armed after 2% recovery hysteresis.</t>
  </si>
  <si>
    <t>Count of basket rows where CloseReason = KILL.</t>
  </si>
  <si>
    <t>Refresh setup</t>
  </si>
  <si>
    <t>Required once</t>
  </si>
  <si>
    <t>Paste the supplied M code in Excel Data &gt; Get Data &gt; From Other Sources &gt; Blank Query &gt; Advanced Editor, then load to Basket Data.</t>
  </si>
  <si>
    <t>Power Query Setup — Editable Standard Excel Import</t>
  </si>
  <si>
    <t>Setting</t>
  </si>
  <si>
    <t>Value</t>
  </si>
  <si>
    <t>OneDrive root</t>
  </si>
  <si>
    <t>C:\CHANGE_ME\OneDrive</t>
  </si>
  <si>
    <t>Expected folder</t>
  </si>
  <si>
    <t>amartrading\Account_&lt;MT4Login&gt;\Baskets.csv</t>
  </si>
  <si>
    <t>Query source file</t>
  </si>
  <si>
    <t>automation\MoneyMachineCsvSync\PowerQuery\MoneyMachine_Baskets.m</t>
  </si>
  <si>
    <t>Paste this M code into a Blank Query's Advanced Editor. Change OneDriveRoot at the top, then load the result to the Basket Data sheet/table.</t>
  </si>
  <si>
    <t>'let</t>
  </si>
  <si>
    <t>'    // Edit this path once to the local OneDrive folder that contains amartrading.</t>
  </si>
  <si>
    <t>'    OneDriveRoot = "C:\\CHANGE_ME\\OneDrive",</t>
  </si>
  <si>
    <t>'    ExpectedColumns = {</t>
  </si>
  <si>
    <t>'        "AccountNumber","BrokerName","BasketID","Symbol","SymbolNormalized","Timeframe","StartTime","EndTime","DurationSeconds","Direction","OrdersCount","TotalLots","FixedLots","MaxOrdersConcurrent","MaxTotalLots","MaxFloatingDrawdownAbs","MaxFloatingProfit","ClosePL","CloseReason","OutcomeClass","SpreadAtEntry","EquityAtEntry","HeadroomAtEntry","MinHeadroom","TimesNearKill","ExposureBlocks","PipsStep","TakeProfit","KillEquityLevel","MaxOrdersInBasket","MaxTotalLotsInBasket","EquityAtExit","BalanceAfter","TradeDate","RunID","RunStartTime","RunStartBalance","EAName","EAVersion","Magic","PointsPerPip","Tral","TralStart","MaxSpread","TimeStart","TimeEnd","OpenTime","NewBasketDelaySeconds","SpeedEA","UseBasketTrailingTP","TrailingStart","TrailingStep","KillSwitchEnable","KillCooldownMinutes","RegimeEnable","RegimeAction","RegimeADXPeriod","RegimeADXLevel","RegimeADXBars","RegimeRangeBars","RegimeRecoveryBars","EnableTradingDaysFilter","TradeMonday","TradeTuesday","TradeWednesday","TradeThursday","TradeFriday","EnableRecoveryStepUp","RecoveryWaitMinutes","RecoveryMaxTotalLotsInBasket","CsvSchemaVersion"</t>
  </si>
  <si>
    <t>'    },</t>
  </si>
  <si>
    <t>'    Files = Folder.Files(OneDriveRoot &amp; "\\MoneyMachine"),</t>
  </si>
  <si>
    <t>'    BasketFiles = Table.SelectRows(Files, each [Name] = "Baskets.csv" and Text.Contains([Folder Path], "\\Account_")),</t>
  </si>
  <si>
    <t>'    WithFolderLogin = Table.AddColumn(BasketFiles, "FolderAccountNumber", each List.Last(Text.Split(Text.TrimEnd([Folder Path], "\\"), "Account_")), type text),</t>
  </si>
  <si>
    <t>'    WithCsv = Table.AddColumn(WithFolderLogin, "Data", each Table.SelectColumns(Table.PromoteHeaders(Csv.Document([Content], [Delimiter=",", Encoding=65001, QuoteStyle=QuoteStyle.Csv]), [PromoteAllScalars=true]), ExpectedColumns, MissingField.UseNull)),</t>
  </si>
  <si>
    <t>'    Keep = Table.SelectColumns(WithCsv, {"FolderAccountNumber","Data"}),</t>
  </si>
  <si>
    <t>'    Expanded = Table.ExpandTableColumn(Keep, "Data", ExpectedColumns, ExpectedColumns),</t>
  </si>
  <si>
    <t>'    Normalized = Table.SelectColumns(Expanded, List.Combine({{"FolderAccountNumber"}, ExpectedColumns}), MissingField.UseNull),</t>
  </si>
  <si>
    <t>'    Typed = Table.TransformColumnTypes(Normalized, {</t>
  </si>
  <si>
    <t>'        {"FolderAccountNumber", type text},{"AccountNumber", type text},{"BasketID", Int64.Type},{"StartTime", type datetime},{"EndTime", type datetime},{"ClosePL", type number},{"MaxFloatingDrawdownAbs", type number},{"TimesNearKill", Int64.Type},{"RunStartTime", type datetime},{"RunStartBalance", type number},{"MaxOrdersConcurrent", Int64.Type},{"MaxTotalLots", type number},{"MaxTotalLotsInBasket", type number},{"CsvSchemaVersion", Int64.Type}</t>
  </si>
  <si>
    <t>'    }),</t>
  </si>
  <si>
    <t>'    WithLegacyRunID = Table.ReplaceValue(Typed, null, "Legacy-v2", Replacer.ReplaceValue, {"RunID"}),</t>
  </si>
  <si>
    <t>'    WithRunKey = Table.AddColumn(WithLegacyRunID, "RunKey", each [AccountNumber] &amp; "|" &amp; [RunID], type text),</t>
  </si>
  <si>
    <t>'    WithMismatch = Table.AddColumn(WithRunKey, "FolderAccountMismatch", each [FolderAccountNumber] &lt;&gt; [AccountNumber], type logical),</t>
  </si>
  <si>
    <t>'    WithConfigFingerprint = Table.AddColumn(WithMismatch, "ConfigFingerprint", each Text.Combine(List.Transform({[Magic],[PointsPerPip],[PipsStep],[TakeProfit],[Tral],[TralStart],[MaxSpread],[TimeStart],[TimeEnd],[OpenTime],[NewBasketDelaySeconds],[SpeedEA],[UseBasketTrailingTP],[TrailingStart],[TrailingStep],[KillSwitchEnable],[KillEquityLevel],[KillCooldownMinutes],[MaxOrdersInBasket],[MaxTotalLotsInBasket],[RegimeEnable],[RegimeAction],[EnableRecoveryStepUp],[RecoveryWaitMinutes],[RecoveryMaxTotalLotsInBasket]}, each if _ = null then "" else Text.From(_)), "|"), type text)</t>
  </si>
  <si>
    <t>'in</t>
  </si>
  <si>
    <t>'    WithConfigFingerprint</t>
  </si>
  <si>
    <t>FXCM</t>
  </si>
  <si>
    <t>AGOLD</t>
  </si>
  <si>
    <t>892522910_1400_AGOLD_1785121200</t>
  </si>
  <si>
    <t>AmmarTradingGoldEA</t>
  </si>
  <si>
    <t>3.00</t>
  </si>
  <si>
    <t>892522910|892522910_1400_AGOLD_1785121200</t>
  </si>
  <si>
    <t>0.1|1400|0|80|15|60|110|200|3|23|0|10|25|0|3|1.5|1|1500|1440|0|0|0|0|14|25|3|8|3|0|1|1|1|1|1|0|60|0</t>
  </si>
  <si>
    <t>RowCount</t>
  </si>
  <si>
    <t>SourceHash</t>
  </si>
  <si>
    <t>DestinationHash</t>
  </si>
  <si>
    <t>SourceLastWriteUtc</t>
  </si>
  <si>
    <t>PublishedUtc</t>
  </si>
  <si>
    <t>HeartbeatAgeHours</t>
  </si>
  <si>
    <t>IsFresh</t>
  </si>
  <si>
    <t>CloudDeliveryVerified</t>
  </si>
  <si>
    <t>Success</t>
  </si>
  <si>
    <t>965923e98d0f98d8556293b6e05f95140963b3886215d747d1da23bfa720a85f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</si>
</sst>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\$#,##0.00;[Red]\(\$#,##0.00\);\-"/>
  </numFmts>
  <fonts count="9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1"/>
      <color rgb="FF666666"/>
      <name val="Carlito"/>
    </font>
    <font>
      <sz val="11"/>
      <color rgb="FF000000"/>
      <name val="Carlito"/>
    </font>
    <font>
      <i/>
      <sz val="11"/>
      <name val="Carlito"/>
    </font>
    <font>
      <sz val="9"/>
      <name val="Consolas"/>
    </font>
    <font>
      <sz val="8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47C20"/>
      </patternFill>
    </fill>
    <fill>
      <patternFill patternType="solid">
        <fgColor rgb="FF9E3D3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2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164" fontId="5" fillId="5" borderId="2" xfId="0" applyNumberFormat="1" applyFont="1" applyFill="1" applyBorder="1" applyAlignment="1">
      <alignment wrapText="1"/>
    </xf>
    <xf numFmtId="164" fontId="0" fillId="0" borderId="2" xfId="0" applyNumberFormat="1" applyBorder="1" applyAlignment="1">
      <alignment wrapText="1"/>
    </xf>
    <xf numFmtId="165" fontId="5" fillId="5" borderId="2" xfId="0" applyNumberFormat="1" applyFont="1" applyFill="1" applyBorder="1" applyAlignment="1">
      <alignment wrapText="1"/>
    </xf>
    <xf numFmtId="165" fontId="0" fillId="0" borderId="2" xfId="0" applyNumberFormat="1" applyBorder="1" applyAlignment="1">
      <alignment wrapText="1"/>
    </xf>
    <xf numFmtId="10" fontId="5" fillId="5" borderId="2" xfId="0" applyNumberFormat="1" applyFont="1" applyFill="1" applyBorder="1" applyAlignment="1">
      <alignment wrapText="1"/>
    </xf>
    <xf numFmtId="10" fontId="0" fillId="0" borderId="2" xfId="0" applyNumberFormat="1" applyBorder="1" applyAlignment="1">
      <alignment wrapText="1"/>
    </xf>
    <xf numFmtId="0" fontId="2" fillId="6" borderId="2" xfId="0" applyFont="1" applyFill="1" applyBorder="1"/>
    <xf numFmtId="0" fontId="7" fillId="0" borderId="0" xfId="0" applyFont="1"/>
    <xf numFmtId="22" fontId="0" fillId="0" borderId="0" xfId="0" applyNumberFormat="1"/>
    <xf numFmtId="14" fontId="0" fillId="0" borderId="0" xfId="0" applyNumberFormat="1"/>
    <xf numFmtId="0" fontId="4" fillId="4" borderId="0" xfId="0" applyFont="1" applyFill="1"/>
    <xf numFmtId="0" fontId="3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wrapText="1"/>
    </xf>
    <xf numFmtId="0" fontId="0" fillId="0" borderId="0" xfId="0" applyNumberFormat="1"/>
  </cellXfs>
  <cellStyles count="1">
    <cellStyle name="Normal" xfId="0" builtinId="0"/>
  </cellStyles>
  <dxfs count="15"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6" xr16:uid="{20376D45-D7D0-4EA5-9D9F-F5CCC513E3FE}" autoFormatId="0" applyNumberFormats="0" applyBorderFormats="0" applyFontFormats="1" applyPatternFormats="1" applyAlignmentFormats="0" applyWidthHeightFormats="0">
  <queryTableRefresh nextId="13">
    <queryTableFields count="12">
      <queryTableField id="1" name="AccountNumber" tableColumnId="13"/>
      <queryTableField id="2" name="FolderAccountNumber" tableColumnId="14"/>
      <queryTableField id="3" name="FolderAccountMismatch" tableColumnId="15"/>
      <queryTableField id="4" name="Status" tableColumnId="16"/>
      <queryTableField id="5" name="RowCount" tableColumnId="17"/>
      <queryTableField id="6" name="SourceHash" tableColumnId="18"/>
      <queryTableField id="7" name="DestinationHash" tableColumnId="19"/>
      <queryTableField id="8" name="SourceLastWriteUtc" tableColumnId="20"/>
      <queryTableField id="9" name="PublishedUtc" tableColumnId="21"/>
      <queryTableField id="10" name="HeartbeatAgeHours" tableColumnId="22"/>
      <queryTableField id="11" name="IsFresh" tableColumnId="23"/>
      <queryTableField id="12" name="CloudDeliveryVerified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refreshOnLoad="1" connectionId="5" xr16:uid="{BCE9A7D9-389A-48A5-A8B9-526EC524282F}" autoFormatId="0" applyNumberFormats="0" applyBorderFormats="0" applyFontFormats="1" applyPatternFormats="1" applyAlignmentFormats="0" applyWidthHeightFormats="0">
  <queryTableRefresh nextId="76">
    <queryTableFields count="75">
      <queryTableField id="1" name="AccountNumber" tableColumnId="76"/>
      <queryTableField id="2" name="BrokerName" tableColumnId="77"/>
      <queryTableField id="3" name="BasketID" tableColumnId="78"/>
      <queryTableField id="4" name="Symbol" tableColumnId="79"/>
      <queryTableField id="5" name="SymbolNormalized" tableColumnId="80"/>
      <queryTableField id="6" name="Timeframe" tableColumnId="81"/>
      <queryTableField id="7" name="StartTime" tableColumnId="82"/>
      <queryTableField id="8" name="EndTime" tableColumnId="83"/>
      <queryTableField id="9" name="DurationSeconds" tableColumnId="84"/>
      <queryTableField id="10" name="Direction" tableColumnId="85"/>
      <queryTableField id="11" name="OrdersCount" tableColumnId="86"/>
      <queryTableField id="12" name="TotalLots" tableColumnId="87"/>
      <queryTableField id="13" name="FixedLots" tableColumnId="88"/>
      <queryTableField id="14" name="MaxOrdersConcurrent" tableColumnId="89"/>
      <queryTableField id="15" name="MaxTotalLots" tableColumnId="90"/>
      <queryTableField id="16" name="MaxFloatingDrawdownAbs" tableColumnId="91"/>
      <queryTableField id="17" name="MaxFloatingProfit" tableColumnId="92"/>
      <queryTableField id="18" name="ClosePL" tableColumnId="93"/>
      <queryTableField id="19" name="CloseReason" tableColumnId="94"/>
      <queryTableField id="20" name="OutcomeClass" tableColumnId="95"/>
      <queryTableField id="21" name="SpreadAtEntry" tableColumnId="96"/>
      <queryTableField id="22" name="EquityAtEntry" tableColumnId="97"/>
      <queryTableField id="23" name="HeadroomAtEntry" tableColumnId="98"/>
      <queryTableField id="24" name="MinHeadroom" tableColumnId="99"/>
      <queryTableField id="25" name="TimesNearKill" tableColumnId="100"/>
      <queryTableField id="26" name="ExposureBlocks" tableColumnId="101"/>
      <queryTableField id="27" name="PipsStep" tableColumnId="102"/>
      <queryTableField id="28" name="TakeProfit" tableColumnId="103"/>
      <queryTableField id="29" name="KillEquityLevel" tableColumnId="104"/>
      <queryTableField id="30" name="MaxOrdersInBasket" tableColumnId="105"/>
      <queryTableField id="31" name="MaxTotalLotsInBasket" tableColumnId="106"/>
      <queryTableField id="32" name="EquityAtExit" tableColumnId="107"/>
      <queryTableField id="33" name="BalanceAfter" tableColumnId="108"/>
      <queryTableField id="34" name="TradeDate" tableColumnId="109"/>
      <queryTableField id="35" name="RunID" tableColumnId="110"/>
      <queryTableField id="36" name="RunStartTime" tableColumnId="111"/>
      <queryTableField id="37" name="RunStartBalance" tableColumnId="112"/>
      <queryTableField id="38" name="EAName" tableColumnId="113"/>
      <queryTableField id="39" name="EAVersion" tableColumnId="114"/>
      <queryTableField id="40" name="Magic" tableColumnId="115"/>
      <queryTableField id="41" name="PointsPerPip" tableColumnId="116"/>
      <queryTableField id="42" name="Tral" tableColumnId="117"/>
      <queryTableField id="43" name="TralStart" tableColumnId="118"/>
      <queryTableField id="44" name="MaxSpread" tableColumnId="119"/>
      <queryTableField id="45" name="TimeStart" tableColumnId="120"/>
      <queryTableField id="46" name="TimeEnd" tableColumnId="121"/>
      <queryTableField id="47" name="OpenTime" tableColumnId="122"/>
      <queryTableField id="48" name="NewBasketDelaySeconds" tableColumnId="123"/>
      <queryTableField id="49" name="SpeedEA" tableColumnId="124"/>
      <queryTableField id="50" name="UseBasketTrailingTP" tableColumnId="125"/>
      <queryTableField id="51" name="TrailingStart" tableColumnId="126"/>
      <queryTableField id="52" name="TrailingStep" tableColumnId="127"/>
      <queryTableField id="53" name="KillSwitchEnable" tableColumnId="128"/>
      <queryTableField id="54" name="KillCooldownMinutes" tableColumnId="129"/>
      <queryTableField id="55" name="RegimeEnable" tableColumnId="130"/>
      <queryTableField id="56" name="RegimeAction" tableColumnId="131"/>
      <queryTableField id="57" name="RegimeADXPeriod" tableColumnId="132"/>
      <queryTableField id="58" name="RegimeADXLevel" tableColumnId="133"/>
      <queryTableField id="59" name="RegimeADXBars" tableColumnId="134"/>
      <queryTableField id="60" name="RegimeRangeBars" tableColumnId="135"/>
      <queryTableField id="61" name="RegimeRecoveryBars" tableColumnId="136"/>
      <queryTableField id="62" name="EnableTradingDaysFilter" tableColumnId="137"/>
      <queryTableField id="63" name="TradeMonday" tableColumnId="138"/>
      <queryTableField id="64" name="TradeTuesday" tableColumnId="139"/>
      <queryTableField id="65" name="TradeWednesday" tableColumnId="140"/>
      <queryTableField id="66" name="TradeThursday" tableColumnId="141"/>
      <queryTableField id="67" name="TradeFriday" tableColumnId="142"/>
      <queryTableField id="68" name="EnableRecoveryStepUp" tableColumnId="143"/>
      <queryTableField id="69" name="RecoveryWaitMinutes" tableColumnId="144"/>
      <queryTableField id="70" name="RecoveryMaxTotalLotsInBasket" tableColumnId="145"/>
      <queryTableField id="71" name="CsvSchemaVersion" tableColumnId="146"/>
      <queryTableField id="72" name="FolderAccountNumber" tableColumnId="147"/>
      <queryTableField id="73" name="RunKey" tableColumnId="148"/>
      <queryTableField id="74" name="FolderAccountMismatch" tableColumnId="149"/>
      <queryTableField id="75" name="ConfigFingerprint" tableColumnId="15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AB86E8-BE27-48FD-8530-190879AFC7B0}" name="SyncStatusTable" displayName="SyncStatusTable" ref="A1:L2" tableType="queryTable" totalsRowShown="0">
  <autoFilter ref="A1:L2" xr:uid="{06AB86E8-BE27-48FD-8530-190879AFC7B0}"/>
  <tableColumns count="12">
    <tableColumn id="13" xr3:uid="{B984CCBF-4122-49CA-AFE4-B18A4CD6172E}" uniqueName="13" name="AccountNumber" queryTableFieldId="1" dataDxfId="6"/>
    <tableColumn id="14" xr3:uid="{01FF934A-564C-47D7-A21D-D586AEF4BADF}" uniqueName="14" name="FolderAccountNumber" queryTableFieldId="2" dataDxfId="5"/>
    <tableColumn id="15" xr3:uid="{B96D9748-07CF-4CCA-8792-8DB4B6BF1AC2}" uniqueName="15" name="FolderAccountMismatch" queryTableFieldId="3"/>
    <tableColumn id="16" xr3:uid="{CA178BB8-5240-45AF-BA22-98F0DD9A5D2F}" uniqueName="16" name="Status" queryTableFieldId="4" dataDxfId="4"/>
    <tableColumn id="17" xr3:uid="{A1B55B83-C3CB-46CF-987A-70C248138826}" uniqueName="17" name="RowCount" queryTableFieldId="5"/>
    <tableColumn id="18" xr3:uid="{6E84CDCC-BD4B-40E8-AC5F-B9A1DC67F9F8}" uniqueName="18" name="SourceHash" queryTableFieldId="6" dataDxfId="3"/>
    <tableColumn id="19" xr3:uid="{B58FF8EB-8C25-40C8-AD0C-08F86EB03C44}" uniqueName="19" name="DestinationHash" queryTableFieldId="7" dataDxfId="2"/>
    <tableColumn id="20" xr3:uid="{8685EDB1-7FC6-49C8-947D-85DCEBB4FA0A}" uniqueName="20" name="SourceLastWriteUtc" queryTableFieldId="8" dataDxfId="1"/>
    <tableColumn id="21" xr3:uid="{3030E866-F4D9-4B36-BE81-1F95408F46DE}" uniqueName="21" name="PublishedUtc" queryTableFieldId="9" dataDxfId="0"/>
    <tableColumn id="22" xr3:uid="{ED6842CC-6CB0-4622-91A4-4D73AE391EC1}" uniqueName="22" name="HeartbeatAgeHours" queryTableFieldId="10"/>
    <tableColumn id="23" xr3:uid="{9C3ED454-5406-49ED-8B92-ED9784DB1CCA}" uniqueName="23" name="IsFresh" queryTableFieldId="11"/>
    <tableColumn id="24" xr3:uid="{7E3840B1-373F-47F0-8104-3D5A9B4CFC45}" uniqueName="24" name="CloudDeliveryVerified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ManualFieldsTable" displayName="ManualFieldsTable" ref="A1:H101" totalsRowShown="0">
  <tableColumns count="8">
    <tableColumn id="1" xr3:uid="{00000000-0010-0000-0000-000001000000}" name="Run Key"/>
    <tableColumn id="2" xr3:uid="{00000000-0010-0000-0000-000002000000}" name="Account #"/>
    <tableColumn id="3" xr3:uid="{00000000-0010-0000-0000-000003000000}" name="Run ID"/>
    <tableColumn id="4" xr3:uid="{00000000-0010-0000-0000-000004000000}" name="Name"/>
    <tableColumn id="5" xr3:uid="{00000000-0010-0000-0000-000005000000}" name="Account Type"/>
    <tableColumn id="6" xr3:uid="{00000000-0010-0000-0000-000006000000}" name="Server / VPS"/>
    <tableColumn id="7" xr3:uid="{00000000-0010-0000-0000-000007000000}" name="MT4 Label"/>
    <tableColumn id="8" xr3:uid="{00000000-0010-0000-00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8ECEC5-62FA-4F25-A6D4-AA1AFB47DBEA}" name="BasketDataTable" displayName="BasketDataTable" ref="A1:BW2" tableType="queryTable" totalsRowShown="0">
  <autoFilter ref="A1:BW2" xr:uid="{888ECEC5-62FA-4F25-A6D4-AA1AFB47DBEA}"/>
  <tableColumns count="75">
    <tableColumn id="76" xr3:uid="{3F5E1935-F6AA-4D84-A9AC-1F40387FC056}" uniqueName="76" name="AccountNumber" queryTableFieldId="1" dataDxfId="14"/>
    <tableColumn id="77" xr3:uid="{FD760FD7-308F-42F1-B3DC-E8E241B2E355}" uniqueName="77" name="BrokerName" queryTableFieldId="2"/>
    <tableColumn id="78" xr3:uid="{80C2EA3D-CC64-4B8B-8B16-7C824F95C807}" uniqueName="78" name="BasketID" queryTableFieldId="3"/>
    <tableColumn id="79" xr3:uid="{4F4E2CC1-6518-4868-A491-53F8CA676C7B}" uniqueName="79" name="Symbol" queryTableFieldId="4"/>
    <tableColumn id="80" xr3:uid="{624049B6-0DE4-4B6E-895F-E7C201835E38}" uniqueName="80" name="SymbolNormalized" queryTableFieldId="5"/>
    <tableColumn id="81" xr3:uid="{B02D0F41-4759-4371-BDE5-EE19F727D130}" uniqueName="81" name="Timeframe" queryTableFieldId="6"/>
    <tableColumn id="82" xr3:uid="{B723AC06-88EA-4681-AC8E-A190BC541078}" uniqueName="82" name="StartTime" queryTableFieldId="7" dataDxfId="13"/>
    <tableColumn id="83" xr3:uid="{35F61C9B-C94B-4DCA-942D-C738407C0CBD}" uniqueName="83" name="EndTime" queryTableFieldId="8" dataDxfId="12"/>
    <tableColumn id="84" xr3:uid="{F9EA18CB-0751-4E26-A294-8AB4B05F7C62}" uniqueName="84" name="DurationSeconds" queryTableFieldId="9"/>
    <tableColumn id="85" xr3:uid="{7F8917C4-FC05-4266-A637-BB91375499F4}" uniqueName="85" name="Direction" queryTableFieldId="10"/>
    <tableColumn id="86" xr3:uid="{C90207BD-9366-4F69-B2BB-16AFA968A4BB}" uniqueName="86" name="OrdersCount" queryTableFieldId="11"/>
    <tableColumn id="87" xr3:uid="{6201F5DF-3036-470A-B7E7-086B71602DF5}" uniqueName="87" name="TotalLots" queryTableFieldId="12"/>
    <tableColumn id="88" xr3:uid="{CF3D3982-8228-48A3-8E03-EA2156DE699B}" uniqueName="88" name="FixedLots" queryTableFieldId="13"/>
    <tableColumn id="89" xr3:uid="{3387E778-B443-4085-9C77-412378159591}" uniqueName="89" name="MaxOrdersConcurrent" queryTableFieldId="14"/>
    <tableColumn id="90" xr3:uid="{6EC9FAF2-4DE5-4314-A630-05E8D18D2204}" uniqueName="90" name="MaxTotalLots" queryTableFieldId="15"/>
    <tableColumn id="91" xr3:uid="{A91D9135-D4D3-4C7C-80A5-A8CC735CD7E5}" uniqueName="91" name="MaxFloatingDrawdownAbs" queryTableFieldId="16"/>
    <tableColumn id="92" xr3:uid="{B16E6456-7949-4AC6-885D-B250942F5698}" uniqueName="92" name="MaxFloatingProfit" queryTableFieldId="17"/>
    <tableColumn id="93" xr3:uid="{0B58FDF2-28AA-4237-ACA3-C18305C24F2E}" uniqueName="93" name="ClosePL" queryTableFieldId="18"/>
    <tableColumn id="94" xr3:uid="{6729480E-A796-482F-B1D4-FF1CF19BF2FB}" uniqueName="94" name="CloseReason" queryTableFieldId="19"/>
    <tableColumn id="95" xr3:uid="{26F5F5D1-0255-46D9-B23A-02B6AE40DD7A}" uniqueName="95" name="OutcomeClass" queryTableFieldId="20"/>
    <tableColumn id="96" xr3:uid="{D29669D6-CFA9-4ABA-881B-1150232167DD}" uniqueName="96" name="SpreadAtEntry" queryTableFieldId="21"/>
    <tableColumn id="97" xr3:uid="{F81466E3-1A38-459D-B60D-DA79B76EF983}" uniqueName="97" name="EquityAtEntry" queryTableFieldId="22"/>
    <tableColumn id="98" xr3:uid="{FFB53047-1182-4597-AD1A-627649462A64}" uniqueName="98" name="HeadroomAtEntry" queryTableFieldId="23"/>
    <tableColumn id="99" xr3:uid="{CAD91233-411E-4557-8A8B-1720ABB0E7FD}" uniqueName="99" name="MinHeadroom" queryTableFieldId="24"/>
    <tableColumn id="100" xr3:uid="{5F889B62-89A0-4D16-B4B2-F17317CEDE07}" uniqueName="100" name="TimesNearKill" queryTableFieldId="25"/>
    <tableColumn id="101" xr3:uid="{CE0FFAD8-03DA-4E22-A3ED-B91ED3F99918}" uniqueName="101" name="ExposureBlocks" queryTableFieldId="26"/>
    <tableColumn id="102" xr3:uid="{82BA808A-0FF8-4FA8-BAB3-5708717FCD19}" uniqueName="102" name="PipsStep" queryTableFieldId="27"/>
    <tableColumn id="103" xr3:uid="{576F2A0B-0E47-40D6-994E-53F0F9258F1B}" uniqueName="103" name="TakeProfit" queryTableFieldId="28"/>
    <tableColumn id="104" xr3:uid="{8A5CC67E-AF0B-4B0A-A016-E5C214ED38BC}" uniqueName="104" name="KillEquityLevel" queryTableFieldId="29"/>
    <tableColumn id="105" xr3:uid="{B25F9E0C-D7AE-4082-9249-C87AD9D79842}" uniqueName="105" name="MaxOrdersInBasket" queryTableFieldId="30"/>
    <tableColumn id="106" xr3:uid="{37CA52C1-144B-4F70-A697-02515D1711ED}" uniqueName="106" name="MaxTotalLotsInBasket" queryTableFieldId="31"/>
    <tableColumn id="107" xr3:uid="{535F3623-F65B-4573-8B4F-0A2F6CCB8B0A}" uniqueName="107" name="EquityAtExit" queryTableFieldId="32"/>
    <tableColumn id="108" xr3:uid="{E85B4776-80C9-449F-BB64-218E80A8BC0C}" uniqueName="108" name="BalanceAfter" queryTableFieldId="33"/>
    <tableColumn id="109" xr3:uid="{755381A0-5C4E-4B66-9423-9EF48E22B719}" uniqueName="109" name="TradeDate" queryTableFieldId="34" dataDxfId="11"/>
    <tableColumn id="110" xr3:uid="{519111EC-51EB-4950-8030-FCB7E2C2BBCD}" uniqueName="110" name="RunID" queryTableFieldId="35"/>
    <tableColumn id="111" xr3:uid="{16071FC4-5698-46F7-8CE0-7AA3E371F8FF}" uniqueName="111" name="RunStartTime" queryTableFieldId="36" dataDxfId="10"/>
    <tableColumn id="112" xr3:uid="{90C42C09-7F3D-4001-BF0C-57E913926074}" uniqueName="112" name="RunStartBalance" queryTableFieldId="37"/>
    <tableColumn id="113" xr3:uid="{AC19E50A-A6DE-493D-A1D9-7C8D9BAA773D}" uniqueName="113" name="EAName" queryTableFieldId="38"/>
    <tableColumn id="114" xr3:uid="{94166F3A-7292-41DE-B3E3-93515C405887}" uniqueName="114" name="EAVersion" queryTableFieldId="39"/>
    <tableColumn id="115" xr3:uid="{3BAD011F-246E-462B-8921-9FA019495335}" uniqueName="115" name="Magic" queryTableFieldId="40"/>
    <tableColumn id="116" xr3:uid="{311E7007-B9D0-439F-AA83-83C8AA6C1270}" uniqueName="116" name="PointsPerPip" queryTableFieldId="41"/>
    <tableColumn id="117" xr3:uid="{5764318E-2E7D-41FF-9566-CE19D3B10A26}" uniqueName="117" name="Tral" queryTableFieldId="42"/>
    <tableColumn id="118" xr3:uid="{243F7D90-5F18-4D9F-B266-E20001FF8A37}" uniqueName="118" name="TralStart" queryTableFieldId="43"/>
    <tableColumn id="119" xr3:uid="{DB13793F-2180-4E86-9935-2A7DAD714F07}" uniqueName="119" name="MaxSpread" queryTableFieldId="44"/>
    <tableColumn id="120" xr3:uid="{95BCBB05-9906-49A4-A86C-3B4D64112B7A}" uniqueName="120" name="TimeStart" queryTableFieldId="45"/>
    <tableColumn id="121" xr3:uid="{E185A66E-BBE1-42DE-8F2C-6CCAEF5EB721}" uniqueName="121" name="TimeEnd" queryTableFieldId="46"/>
    <tableColumn id="122" xr3:uid="{FE5A335A-E2C5-408A-ADD1-FDBE77D3C592}" uniqueName="122" name="OpenTime" queryTableFieldId="47"/>
    <tableColumn id="123" xr3:uid="{5111A95C-D2EF-438F-AEEB-B3067C443B9C}" uniqueName="123" name="NewBasketDelaySeconds" queryTableFieldId="48"/>
    <tableColumn id="124" xr3:uid="{99D59FE0-7736-4F2B-BF6E-AB90FF60E7A0}" uniqueName="124" name="SpeedEA" queryTableFieldId="49"/>
    <tableColumn id="125" xr3:uid="{FE521646-A3EB-4E3F-BF56-FBAB663592B9}" uniqueName="125" name="UseBasketTrailingTP" queryTableFieldId="50"/>
    <tableColumn id="126" xr3:uid="{CEDC4EE2-23B2-4351-ADD5-901D161AE596}" uniqueName="126" name="TrailingStart" queryTableFieldId="51"/>
    <tableColumn id="127" xr3:uid="{468D272D-6E64-42D1-B3A4-AA6EB62A6FB1}" uniqueName="127" name="TrailingStep" queryTableFieldId="52"/>
    <tableColumn id="128" xr3:uid="{A2B2CF8D-171E-44A5-873D-B47DFE72BDB0}" uniqueName="128" name="KillSwitchEnable" queryTableFieldId="53"/>
    <tableColumn id="129" xr3:uid="{87FE2DFF-3906-4440-A305-BAA9AD27B41A}" uniqueName="129" name="KillCooldownMinutes" queryTableFieldId="54"/>
    <tableColumn id="130" xr3:uid="{71E4EBDD-C022-4AA4-A049-6CBE703DCAD6}" uniqueName="130" name="RegimeEnable" queryTableFieldId="55"/>
    <tableColumn id="131" xr3:uid="{87E63B69-F067-4600-B837-519E8101932E}" uniqueName="131" name="RegimeAction" queryTableFieldId="56"/>
    <tableColumn id="132" xr3:uid="{45A2475C-227A-4230-A805-A95A96BF537B}" uniqueName="132" name="RegimeADXPeriod" queryTableFieldId="57"/>
    <tableColumn id="133" xr3:uid="{C88FEDCE-31F1-4E65-A6D7-F0C3B2AA026B}" uniqueName="133" name="RegimeADXLevel" queryTableFieldId="58"/>
    <tableColumn id="134" xr3:uid="{EA0F8249-1B56-44BB-B4A1-147B058FAB8D}" uniqueName="134" name="RegimeADXBars" queryTableFieldId="59"/>
    <tableColumn id="135" xr3:uid="{B373D5D2-B927-48F3-8AAB-7B5B78A910D5}" uniqueName="135" name="RegimeRangeBars" queryTableFieldId="60"/>
    <tableColumn id="136" xr3:uid="{7DE3ED1E-033D-4BE1-BD70-B35E10337D17}" uniqueName="136" name="RegimeRecoveryBars" queryTableFieldId="61"/>
    <tableColumn id="137" xr3:uid="{27741990-6DB4-4B54-A6B9-D068408B5EEC}" uniqueName="137" name="EnableTradingDaysFilter" queryTableFieldId="62"/>
    <tableColumn id="138" xr3:uid="{CDF407B6-E19D-4845-BE22-52406290F16B}" uniqueName="138" name="TradeMonday" queryTableFieldId="63"/>
    <tableColumn id="139" xr3:uid="{AC50ACC4-9AE1-4F21-A5FE-D78A7DC1065E}" uniqueName="139" name="TradeTuesday" queryTableFieldId="64"/>
    <tableColumn id="140" xr3:uid="{800AEDB6-FD45-43EC-9858-0E0D704229C2}" uniqueName="140" name="TradeWednesday" queryTableFieldId="65"/>
    <tableColumn id="141" xr3:uid="{FCE919B4-7839-48E4-811B-246129948DAB}" uniqueName="141" name="TradeThursday" queryTableFieldId="66"/>
    <tableColumn id="142" xr3:uid="{63FF036A-AA25-4098-BCC4-8A862018B8F9}" uniqueName="142" name="TradeFriday" queryTableFieldId="67"/>
    <tableColumn id="143" xr3:uid="{EB5A267A-1B7A-4B7B-8272-D5D3C358087F}" uniqueName="143" name="EnableRecoveryStepUp" queryTableFieldId="68"/>
    <tableColumn id="144" xr3:uid="{DD93B724-6A06-4DF0-90A4-6BACFCCF5EE5}" uniqueName="144" name="RecoveryWaitMinutes" queryTableFieldId="69"/>
    <tableColumn id="145" xr3:uid="{CF0F41D3-59C9-40FA-9B1E-13E82B99E0B8}" uniqueName="145" name="RecoveryMaxTotalLotsInBasket" queryTableFieldId="70"/>
    <tableColumn id="146" xr3:uid="{47099743-4C90-4F29-A71A-46D1E15CF699}" uniqueName="146" name="CsvSchemaVersion" queryTableFieldId="71"/>
    <tableColumn id="147" xr3:uid="{CBE1DD23-12DE-43CB-8D9E-304CEBA45BD9}" uniqueName="147" name="FolderAccountNumber" queryTableFieldId="72" dataDxfId="9"/>
    <tableColumn id="148" xr3:uid="{9CDE7926-0562-411C-8935-D5E71B02402E}" uniqueName="148" name="RunKey" queryTableFieldId="73" dataDxfId="8"/>
    <tableColumn id="149" xr3:uid="{DB1D8EF9-F01E-4FE9-90ED-6C96AA082276}" uniqueName="149" name="FolderAccountMismatch" queryTableFieldId="74"/>
    <tableColumn id="150" xr3:uid="{66DD5ED3-3888-4B89-9ED7-D9843157F186}" uniqueName="150" name="ConfigFingerprint" queryTableFieldId="75" dataDxf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F7FC-A30E-4261-B206-32FDB4042ABF}">
  <dimension ref="A1:L2"/>
  <sheetViews>
    <sheetView tabSelected="1" workbookViewId="0"/>
  </sheetViews>
  <sheetFormatPr defaultRowHeight="14.25"/>
  <cols>
    <col min="1" max="1" width="17.125" bestFit="1" customWidth="1"/>
    <col min="2" max="2" width="23" bestFit="1" customWidth="1"/>
    <col min="3" max="3" width="24.5" bestFit="1" customWidth="1"/>
    <col min="4" max="4" width="8.5" bestFit="1" customWidth="1"/>
    <col min="5" max="5" width="12.125" bestFit="1" customWidth="1"/>
    <col min="6" max="7" width="64.5" bestFit="1" customWidth="1"/>
    <col min="8" max="8" width="20.875" bestFit="1" customWidth="1"/>
    <col min="9" max="9" width="14.75" bestFit="1" customWidth="1"/>
    <col min="10" max="10" width="20.625" bestFit="1" customWidth="1"/>
    <col min="11" max="11" width="9.5" bestFit="1" customWidth="1"/>
    <col min="12" max="12" width="22.625" bestFit="1" customWidth="1"/>
  </cols>
  <sheetData>
    <row r="1" spans="1:12">
      <c r="A1" t="s">
        <v>77</v>
      </c>
      <c r="B1" t="s">
        <v>147</v>
      </c>
      <c r="C1" t="s">
        <v>149</v>
      </c>
      <c r="D1" t="s">
        <v>155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</row>
    <row r="2" spans="1:12">
      <c r="A2" s="20" t="s">
        <v>73</v>
      </c>
      <c r="B2" s="20" t="s">
        <v>73</v>
      </c>
      <c r="C2" t="b">
        <v>0</v>
      </c>
      <c r="D2" s="20" t="s">
        <v>222</v>
      </c>
      <c r="E2">
        <v>1</v>
      </c>
      <c r="F2" s="20" t="s">
        <v>223</v>
      </c>
      <c r="G2" s="20" t="s">
        <v>223</v>
      </c>
      <c r="H2" s="14">
        <v>46257.522447696756</v>
      </c>
      <c r="I2" s="14">
        <v>46257.522447754629</v>
      </c>
      <c r="J2">
        <v>0.24542512986111109</v>
      </c>
      <c r="K2" t="b">
        <v>1</v>
      </c>
      <c r="L2" t="b">
        <v>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04"/>
  <sheetViews>
    <sheetView showGridLines="0" workbookViewId="0">
      <selection sqref="A1:BO1"/>
    </sheetView>
  </sheetViews>
  <sheetFormatPr defaultRowHeight="14.25"/>
  <cols>
    <col min="1" max="2" width="12" customWidth="1"/>
    <col min="3" max="3" width="22" customWidth="1"/>
    <col min="4" max="12" width="12" customWidth="1"/>
    <col min="13" max="13" width="16" customWidth="1"/>
    <col min="14" max="19" width="12" customWidth="1"/>
    <col min="20" max="20" width="16" customWidth="1"/>
    <col min="21" max="22" width="12" customWidth="1"/>
    <col min="23" max="23" width="16" customWidth="1"/>
    <col min="24" max="25" width="12" customWidth="1"/>
    <col min="26" max="26" width="16" customWidth="1"/>
    <col min="27" max="29" width="12" customWidth="1"/>
    <col min="30" max="30" width="16" customWidth="1"/>
    <col min="31" max="32" width="12" customWidth="1"/>
    <col min="33" max="33" width="32" customWidth="1"/>
    <col min="34" max="65" width="12" customWidth="1"/>
    <col min="66" max="66" width="16" customWidth="1"/>
    <col min="67" max="67" width="26" customWidth="1"/>
  </cols>
  <sheetData>
    <row r="1" spans="1:67" ht="27.9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</row>
    <row r="2" spans="1:67" ht="15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 t="s">
        <v>2</v>
      </c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 t="s">
        <v>3</v>
      </c>
      <c r="AX2" s="18"/>
      <c r="AY2" s="18"/>
      <c r="AZ2" s="18"/>
      <c r="BA2" s="18"/>
      <c r="BB2" s="18"/>
      <c r="BC2" s="18"/>
      <c r="BD2" s="18"/>
      <c r="BE2" s="18"/>
      <c r="BF2" s="18"/>
      <c r="BG2" s="18" t="s">
        <v>4</v>
      </c>
      <c r="BH2" s="18"/>
      <c r="BI2" s="18"/>
      <c r="BJ2" s="18"/>
      <c r="BK2" s="18"/>
      <c r="BL2" s="18"/>
      <c r="BM2" s="18"/>
      <c r="BN2" s="18"/>
      <c r="BO2" s="18"/>
    </row>
    <row r="3" spans="1:67" ht="4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1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1" t="s">
        <v>32</v>
      </c>
      <c r="AC3" s="1" t="s">
        <v>33</v>
      </c>
      <c r="AD3" s="1" t="s">
        <v>34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41</v>
      </c>
      <c r="AL3" s="1" t="s">
        <v>42</v>
      </c>
      <c r="AM3" s="1" t="s">
        <v>43</v>
      </c>
      <c r="AN3" s="1" t="s">
        <v>44</v>
      </c>
      <c r="AO3" s="1" t="s">
        <v>45</v>
      </c>
      <c r="AP3" s="1" t="s">
        <v>46</v>
      </c>
      <c r="AQ3" s="1" t="s">
        <v>47</v>
      </c>
      <c r="AR3" s="1" t="s">
        <v>48</v>
      </c>
      <c r="AS3" s="1" t="s">
        <v>49</v>
      </c>
      <c r="AT3" s="1" t="s">
        <v>50</v>
      </c>
      <c r="AU3" s="1" t="s">
        <v>51</v>
      </c>
      <c r="AV3" s="1" t="s">
        <v>52</v>
      </c>
      <c r="AW3" s="1" t="s">
        <v>53</v>
      </c>
      <c r="AX3" s="1" t="s">
        <v>54</v>
      </c>
      <c r="AY3" s="1" t="s">
        <v>55</v>
      </c>
      <c r="AZ3" s="1" t="s">
        <v>56</v>
      </c>
      <c r="BA3" s="1" t="s">
        <v>57</v>
      </c>
      <c r="BB3" s="1" t="s">
        <v>58</v>
      </c>
      <c r="BC3" s="1" t="s">
        <v>59</v>
      </c>
      <c r="BD3" s="1" t="s">
        <v>60</v>
      </c>
      <c r="BE3" s="1" t="s">
        <v>61</v>
      </c>
      <c r="BF3" s="1" t="s">
        <v>62</v>
      </c>
      <c r="BG3" s="1" t="s">
        <v>63</v>
      </c>
      <c r="BH3" s="1" t="s">
        <v>64</v>
      </c>
      <c r="BI3" s="1" t="s">
        <v>65</v>
      </c>
      <c r="BJ3" s="1" t="s">
        <v>66</v>
      </c>
      <c r="BK3" s="1" t="s">
        <v>67</v>
      </c>
      <c r="BL3" s="1" t="s">
        <v>68</v>
      </c>
      <c r="BM3" s="1" t="s">
        <v>69</v>
      </c>
      <c r="BN3" s="1" t="s">
        <v>70</v>
      </c>
      <c r="BO3" s="1" t="s">
        <v>71</v>
      </c>
    </row>
    <row r="4" spans="1:67">
      <c r="A4" s="16" t="s">
        <v>72</v>
      </c>
      <c r="B4" s="16" t="s">
        <v>72</v>
      </c>
      <c r="C4" s="16" t="s">
        <v>72</v>
      </c>
      <c r="D4" s="16" t="s">
        <v>72</v>
      </c>
      <c r="E4" s="16" t="s">
        <v>72</v>
      </c>
      <c r="F4" s="16" t="s">
        <v>72</v>
      </c>
      <c r="G4" s="16" t="s">
        <v>72</v>
      </c>
      <c r="H4" s="16" t="s">
        <v>72</v>
      </c>
      <c r="I4" s="16" t="s">
        <v>72</v>
      </c>
      <c r="J4" s="16" t="s">
        <v>72</v>
      </c>
      <c r="K4" s="16" t="s">
        <v>72</v>
      </c>
      <c r="L4" s="16" t="s">
        <v>72</v>
      </c>
      <c r="M4" s="16" t="s">
        <v>72</v>
      </c>
      <c r="N4" s="16" t="s">
        <v>72</v>
      </c>
      <c r="O4" s="16" t="s">
        <v>72</v>
      </c>
      <c r="P4" s="16" t="s">
        <v>72</v>
      </c>
      <c r="Q4" s="16" t="s">
        <v>72</v>
      </c>
      <c r="R4" s="16" t="s">
        <v>72</v>
      </c>
      <c r="S4" s="16" t="s">
        <v>72</v>
      </c>
      <c r="T4" s="16" t="s">
        <v>72</v>
      </c>
      <c r="U4" s="16" t="s">
        <v>72</v>
      </c>
      <c r="V4" s="16" t="s">
        <v>72</v>
      </c>
      <c r="W4" s="16" t="s">
        <v>72</v>
      </c>
      <c r="X4" s="16" t="s">
        <v>72</v>
      </c>
      <c r="Y4" s="16" t="s">
        <v>72</v>
      </c>
      <c r="Z4" s="16" t="s">
        <v>72</v>
      </c>
      <c r="AA4" s="16" t="s">
        <v>72</v>
      </c>
      <c r="AB4" s="16" t="s">
        <v>72</v>
      </c>
      <c r="AC4" s="16" t="s">
        <v>72</v>
      </c>
      <c r="AD4" s="16" t="s">
        <v>72</v>
      </c>
      <c r="AE4" s="16" t="s">
        <v>72</v>
      </c>
      <c r="AF4" s="16" t="s">
        <v>72</v>
      </c>
      <c r="AG4" s="16" t="s">
        <v>72</v>
      </c>
      <c r="AH4" s="16" t="s">
        <v>72</v>
      </c>
      <c r="AI4" s="16" t="s">
        <v>72</v>
      </c>
      <c r="AJ4" s="16" t="s">
        <v>72</v>
      </c>
      <c r="AK4" s="16" t="s">
        <v>72</v>
      </c>
      <c r="AL4" s="16" t="s">
        <v>72</v>
      </c>
      <c r="AM4" s="16" t="s">
        <v>72</v>
      </c>
      <c r="AN4" s="16" t="s">
        <v>72</v>
      </c>
      <c r="AO4" s="16" t="s">
        <v>72</v>
      </c>
      <c r="AP4" s="16" t="s">
        <v>72</v>
      </c>
      <c r="AQ4" s="16" t="s">
        <v>72</v>
      </c>
      <c r="AR4" s="16" t="s">
        <v>72</v>
      </c>
      <c r="AS4" s="16" t="s">
        <v>72</v>
      </c>
      <c r="AT4" s="16" t="s">
        <v>72</v>
      </c>
      <c r="AU4" s="16" t="s">
        <v>72</v>
      </c>
      <c r="AV4" s="16" t="s">
        <v>72</v>
      </c>
      <c r="AW4" s="16" t="s">
        <v>72</v>
      </c>
      <c r="AX4" s="16" t="s">
        <v>72</v>
      </c>
      <c r="AY4" s="16" t="s">
        <v>72</v>
      </c>
      <c r="AZ4" s="16" t="s">
        <v>72</v>
      </c>
      <c r="BA4" s="16" t="s">
        <v>72</v>
      </c>
      <c r="BB4" s="16" t="s">
        <v>72</v>
      </c>
      <c r="BC4" s="16" t="s">
        <v>72</v>
      </c>
      <c r="BD4" s="16" t="s">
        <v>72</v>
      </c>
      <c r="BE4" s="16" t="s">
        <v>72</v>
      </c>
      <c r="BF4" s="16" t="s">
        <v>72</v>
      </c>
      <c r="BG4" s="16" t="s">
        <v>72</v>
      </c>
      <c r="BH4" s="16" t="s">
        <v>72</v>
      </c>
      <c r="BI4" s="16" t="s">
        <v>72</v>
      </c>
      <c r="BJ4" s="16" t="s">
        <v>72</v>
      </c>
      <c r="BK4" s="16" t="s">
        <v>72</v>
      </c>
      <c r="BL4" s="16" t="s">
        <v>72</v>
      </c>
      <c r="BM4" s="16" t="s">
        <v>72</v>
      </c>
      <c r="BN4" s="16" t="s">
        <v>72</v>
      </c>
      <c r="BO4" s="16" t="s">
        <v>72</v>
      </c>
    </row>
    <row r="5" spans="1:67">
      <c r="A5" s="5" t="s">
        <v>73</v>
      </c>
      <c r="B5" s="5" t="s">
        <v>74</v>
      </c>
      <c r="C5" s="5">
        <f>IFERROR(VLOOKUP($A5&amp;"|"&amp;$B5,'Manual Fields'!$A$2:$H$101,4,FALSE),"")</f>
        <v>0</v>
      </c>
      <c r="D5" s="6" t="str">
        <f>IFERROR(INDEX(_xlfn._xlws.FILTER('Basket Data'!$G$2:$G$2000,('Basket Data'!$A$2:$A$2000=$A5)*('Basket Data'!$AI$2:$AI$2000=$B5)),1),"")</f>
        <v/>
      </c>
      <c r="E5" s="5">
        <f>IFERROR(VLOOKUP($A5&amp;"|"&amp;$B5,'Manual Fields'!$A$2:$H$101,5,FALSE),"")</f>
        <v>0</v>
      </c>
      <c r="F5" s="8">
        <f>IFERROR(LOOKUP(2,1/('Basket Data'!$A$2:$A$2000=$A5)*('Basket Data'!$AI$2:$AI$2000=$B5),'Basket Data'!$AK$2:$AK$2000),"")</f>
        <v>1500</v>
      </c>
      <c r="G5" s="5">
        <f>IFERROR(VLOOKUP($A5&amp;"|"&amp;$B5,'Manual Fields'!$A$2:$H$101,6,FALSE),"")</f>
        <v>0</v>
      </c>
      <c r="H5" s="5">
        <f>IFERROR(VLOOKUP($A5&amp;"|"&amp;$B5,'Manual Fields'!$A$2:$H$101,7,FALSE),"")</f>
        <v>0</v>
      </c>
      <c r="I5" s="5">
        <f>IFERROR(LOOKUP(2,1/('Basket Data'!$A$2:$A$2000=$A5)*('Basket Data'!$AI$2:$AI$2000=$B5),'Basket Data'!$M$2:$M$2000),"")</f>
        <v>0.1</v>
      </c>
      <c r="J5" s="5">
        <f>IFERROR(LOOKUP(2,1/('Basket Data'!$A$2:$A$2000=$A5)*('Basket Data'!$AI$2:$AI$2000=$B5),'Basket Data'!$AA$2:$AA$2000),"")</f>
        <v>80</v>
      </c>
      <c r="K5" s="8">
        <f>IFERROR(LOOKUP(2,1/('Basket Data'!$A$2:$A$2000=$A5)*('Basket Data'!$AI$2:$AI$2000=$B5),'Basket Data'!$AB$2:$AB$2000),"")</f>
        <v>15</v>
      </c>
      <c r="L5" s="5">
        <f>IFERROR(LOOKUP(2,1/('Basket Data'!$A$2:$A$2000=$A5)*('Basket Data'!$AI$2:$AI$2000=$B5),'Basket Data'!$AP$2:$AP$2000),"")</f>
        <v>60</v>
      </c>
      <c r="M5" s="5">
        <f>IFERROR(LOOKUP(2,1/('Basket Data'!$A$2:$A$2000=$A5)*('Basket Data'!$AI$2:$AI$2000=$B5),'Basket Data'!$AQ$2:$AQ$2000),"")</f>
        <v>110</v>
      </c>
      <c r="N5" s="5">
        <f>IFERROR(LOOKUP(2,1/('Basket Data'!$A$2:$A$2000=$A5)*('Basket Data'!$AI$2:$AI$2000=$B5),'Basket Data'!$AR$2:$AR$2000),"")</f>
        <v>200</v>
      </c>
      <c r="O5" s="5">
        <f>IFERROR(LOOKUP(2,1/('Basket Data'!$A$2:$A$2000=$A5)*('Basket Data'!$AI$2:$AI$2000=$B5),'Basket Data'!$AS$2:$AS$2000),"")</f>
        <v>3</v>
      </c>
      <c r="P5" s="5">
        <f>IFERROR(LOOKUP(2,1/('Basket Data'!$A$2:$A$2000=$A5)*('Basket Data'!$AI$2:$AI$2000=$B5),'Basket Data'!$AT$2:$AT$2000),"")</f>
        <v>23</v>
      </c>
      <c r="Q5" s="5">
        <f>IFERROR(LOOKUP(2,1/('Basket Data'!$A$2:$A$2000=$A5)*('Basket Data'!$AI$2:$AI$2000=$B5),'Basket Data'!$AU$2:$AU$2000),"")</f>
        <v>0</v>
      </c>
      <c r="R5" s="5">
        <f>IFERROR(LOOKUP(2,1/('Basket Data'!$A$2:$A$2000=$A5)*('Basket Data'!$AI$2:$AI$2000=$B5),'Basket Data'!$AW$2:$AW$2000),"")</f>
        <v>25</v>
      </c>
      <c r="S5" s="5">
        <f>IFERROR(LOOKUP(2,1/('Basket Data'!$A$2:$A$2000=$A5)*('Basket Data'!$AI$2:$AI$2000=$B5),'Basket Data'!$AV$2:$AV$2000),"")</f>
        <v>10</v>
      </c>
      <c r="T5" s="5">
        <f>IFERROR(LOOKUP(2,1/('Basket Data'!$A$2:$A$2000=$A5)*('Basket Data'!$AI$2:$AI$2000=$B5),'Basket Data'!$AX$2:$AX$2000),"")</f>
        <v>0</v>
      </c>
      <c r="U5" s="8">
        <f>IFERROR(LOOKUP(2,1/('Basket Data'!$A$2:$A$2000=$A5)*('Basket Data'!$AI$2:$AI$2000=$B5),'Basket Data'!$AY$2:$AY$2000),"")</f>
        <v>3</v>
      </c>
      <c r="V5" s="8">
        <f>IFERROR(LOOKUP(2,1/('Basket Data'!$A$2:$A$2000=$A5)*('Basket Data'!$AI$2:$AI$2000=$B5),'Basket Data'!$AZ$2:$AZ$2000),"")</f>
        <v>1.5</v>
      </c>
      <c r="W5" s="5">
        <f>IFERROR(LOOKUP(2,1/('Basket Data'!$A$2:$A$2000=$A5)*('Basket Data'!$AI$2:$AI$2000=$B5),'Basket Data'!$BA$2:$BA$2000),"")</f>
        <v>1</v>
      </c>
      <c r="X5" s="8">
        <f>IFERROR(LOOKUP(2,1/('Basket Data'!$A$2:$A$2000=$A5)*('Basket Data'!$AI$2:$AI$2000=$B5),'Basket Data'!$AC$2:$AC$2000),"")</f>
        <v>1500</v>
      </c>
      <c r="Y5" s="5">
        <f>IFERROR(LOOKUP(2,1/('Basket Data'!$A$2:$A$2000=$A5)*('Basket Data'!$AI$2:$AI$2000=$B5),'Basket Data'!$BB$2:$BB$2000),"")</f>
        <v>1440</v>
      </c>
      <c r="Z5" s="5">
        <f>IFERROR(LOOKUP(2,1/('Basket Data'!$A$2:$A$2000=$A5)*('Basket Data'!$AI$2:$AI$2000=$B5),'Basket Data'!$AD$2:$AD$2000),"")</f>
        <v>0</v>
      </c>
      <c r="AA5" s="8">
        <f>IFERROR(LOOKUP(2,1/('Basket Data'!$A$2:$A$2000=$A5)*('Basket Data'!$AI$2:$AI$2000=$B5),'Basket Data'!$AE$2:$AE$2000),"")</f>
        <v>0</v>
      </c>
      <c r="AB5" s="5">
        <f>IFERROR(LOOKUP(2,1/('Basket Data'!$A$2:$A$2000=$A5)*('Basket Data'!$AI$2:$AI$2000=$B5),'Basket Data'!$BC$2:$BC$2000),"")</f>
        <v>0</v>
      </c>
      <c r="AC5" s="5">
        <f>IFERROR(LOOKUP(2,1/('Basket Data'!$A$2:$A$2000=$A5)*('Basket Data'!$AI$2:$AI$2000=$B5),'Basket Data'!$BD$2:$BD$2000),"")</f>
        <v>0</v>
      </c>
      <c r="AD5" s="5">
        <f>IFERROR(LOOKUP(2,1/('Basket Data'!$A$2:$A$2000=$A5)*('Basket Data'!$AI$2:$AI$2000=$B5),'Basket Data'!$BP$2:$BP$2000),"")</f>
        <v>0</v>
      </c>
      <c r="AE5" s="5">
        <f>IFERROR(LOOKUP(2,1/('Basket Data'!$A$2:$A$2000=$A5)*('Basket Data'!$AI$2:$AI$2000=$B5),'Basket Data'!$BQ$2:$BQ$2000),"")</f>
        <v>60</v>
      </c>
      <c r="AF5" s="8">
        <f>IFERROR(LOOKUP(2,1/('Basket Data'!$A$2:$A$2000=$A5)*('Basket Data'!$AI$2:$AI$2000=$B5),'Basket Data'!$BR$2:$BR$2000),"")</f>
        <v>0</v>
      </c>
      <c r="AG5" s="5">
        <f>IFERROR(VLOOKUP($A5&amp;"|"&amp;$B5,'Manual Fields'!$A$2:$H$101,8,FALSE),"")</f>
        <v>0</v>
      </c>
      <c r="AH5" s="8">
        <f>IFERROR(SUMIFS('Basket Data'!$R$2:$R$2000,'Basket Data'!$A$2:$A$2000,$A5,'Basket Data'!$AI$2:$AI$2000,$B5),0)</f>
        <v>0</v>
      </c>
      <c r="AI5" s="5">
        <f>IFERROR(COUNTA(_xlfn.UNIQUE(_xlfn._xlws.FILTER('Basket Data'!$AH$2:$AH$2000,('Basket Data'!$A$2:$A$2000=$A5)*('Basket Data'!$AI$2:$AI$2000=$B5)))),0)</f>
        <v>1</v>
      </c>
      <c r="AJ5" s="8">
        <f>IFERROR(AH5/AI5,0)</f>
        <v>0</v>
      </c>
      <c r="AK5" s="8">
        <f>IFERROR(LARGE(_xlfn._xlws.FILTER('Basket Data'!$P$2:$P$2000,('Basket Data'!$A$2:$A$2000=$A5)*('Basket Data'!$AI$2:$AI$2000=$B5)),1),0)</f>
        <v>0</v>
      </c>
      <c r="AL5" s="8">
        <f>IFERROR(LARGE(_xlfn._xlws.FILTER('Basket Data'!$P$2:$P$2000,('Basket Data'!$A$2:$A$2000=$A5)*('Basket Data'!$AI$2:$AI$2000=$B5)),2),0)</f>
        <v>0</v>
      </c>
      <c r="AM5" s="8">
        <f>IFERROR(LARGE(_xlfn._xlws.FILTER('Basket Data'!$P$2:$P$2000,('Basket Data'!$A$2:$A$2000=$A5)*('Basket Data'!$AI$2:$AI$2000=$B5)),3),0)</f>
        <v>0</v>
      </c>
      <c r="AN5" s="8">
        <f>IFERROR((LARGE(_xlfn._xlws.FILTER('Basket Data'!$P$2:$P$2000,('Basket Data'!$A$2:$A$2000=$A5)*('Basket Data'!$AI$2:$AI$2000=$B5)),1)+LARGE(_xlfn._xlws.FILTER('Basket Data'!$P$2:$P$2000,('Basket Data'!$A$2:$A$2000=$A5)*('Basket Data'!$AI$2:$AI$2000=$B5)),2)+LARGE(_xlfn._xlws.FILTER('Basket Data'!$P$2:$P$2000,('Basket Data'!$A$2:$A$2000=$A5)*('Basket Data'!$AI$2:$AI$2000=$B5)),3)+LARGE(_xlfn._xlws.FILTER('Basket Data'!$P$2:$P$2000,('Basket Data'!$A$2:$A$2000=$A5)*('Basket Data'!$AI$2:$AI$2000=$B5)),4)+LARGE(_xlfn._xlws.FILTER('Basket Data'!$P$2:$P$2000,('Basket Data'!$A$2:$A$2000=$A5)*('Basket Data'!$AI$2:$AI$2000=$B5)),5)+LARGE(_xlfn._xlws.FILTER('Basket Data'!$P$2:$P$2000,('Basket Data'!$A$2:$A$2000=$A5)*('Basket Data'!$AI$2:$AI$2000=$B5)),6)+LARGE(_xlfn._xlws.FILTER('Basket Data'!$P$2:$P$2000,('Basket Data'!$A$2:$A$2000=$A5)*('Basket Data'!$AI$2:$AI$2000=$B5)),7)+LARGE(_xlfn._xlws.FILTER('Basket Data'!$P$2:$P$2000,('Basket Data'!$A$2:$A$2000=$A5)*('Basket Data'!$AI$2:$AI$2000=$B5)),8)+LARGE(_xlfn._xlws.FILTER('Basket Data'!$P$2:$P$2000,('Basket Data'!$A$2:$A$2000=$A5)*('Basket Data'!$AI$2:$AI$2000=$B5)),9)+LARGE(_xlfn._xlws.FILTER('Basket Data'!$P$2:$P$2000,('Basket Data'!$A$2:$A$2000=$A5)*('Basket Data'!$AI$2:$AI$2000=$B5)),10))/MIN(10,AO5),0)</f>
        <v>0</v>
      </c>
      <c r="AO5" s="5">
        <f>COUNTIFS('Basket Data'!$A$2:$A$2000,$A5,'Basket Data'!$AI$2:$AI$2000,$B5)</f>
        <v>0</v>
      </c>
      <c r="AP5" s="5">
        <f>COUNTIFS('Basket Data'!$A$2:$A$2000,$A5,'Basket Data'!$AI$2:$AI$2000,$B5,'Basket Data'!$R$2:$R$2000,"&gt;0")</f>
        <v>0</v>
      </c>
      <c r="AQ5" s="8">
        <f>SUMIFS('Basket Data'!$R$2:$R$2000,'Basket Data'!$A$2:$A$2000,$A5,'Basket Data'!$AI$2:$AI$2000,$B5,'Basket Data'!$R$2:$R$2000,"&gt;0")</f>
        <v>0</v>
      </c>
      <c r="AR5" s="5">
        <f>COUNTIFS('Basket Data'!$A$2:$A$2000,$A5,'Basket Data'!$AI$2:$AI$2000,$B5,'Basket Data'!$R$2:$R$2000,"&lt;0")</f>
        <v>0</v>
      </c>
      <c r="AS5" s="8">
        <f>-SUMIFS('Basket Data'!$R$2:$R$2000,'Basket Data'!$A$2:$A$2000,$A5,'Basket Data'!$AI$2:$AI$2000,$B5,'Basket Data'!$R$2:$R$2000,"&lt;0")</f>
        <v>0</v>
      </c>
      <c r="AT5" s="8">
        <f>IFERROR(AH5/AO5,0)</f>
        <v>0</v>
      </c>
      <c r="AU5" s="5">
        <f>SUMIFS('Basket Data'!$Y$2:$Y$2000,'Basket Data'!$A$2:$A$2000,$A5,'Basket Data'!$AI$2:$AI$2000,$B5)</f>
        <v>0</v>
      </c>
      <c r="AV5" s="5">
        <f>COUNTIFS('Basket Data'!$A$2:$A$2000,$A5,'Basket Data'!$AI$2:$AI$2000,$B5,'Basket Data'!$S$2:$S$2000,"KILL")</f>
        <v>0</v>
      </c>
      <c r="AW5" s="5">
        <f>COUNTIFS('Basket Data'!$A$2:$A$2000,$A5,'Basket Data'!$AI$2:$AI$2000,$B5,'Basket Data'!$N$2:$N$2000,"&gt;=1")</f>
        <v>0</v>
      </c>
      <c r="AX5" s="5">
        <f>COUNTIFS('Basket Data'!$A$2:$A$2000,$A5,'Basket Data'!$AI$2:$AI$2000,$B5,'Basket Data'!$N$2:$N$2000,"&gt;=2")</f>
        <v>0</v>
      </c>
      <c r="AY5" s="5">
        <f>COUNTIFS('Basket Data'!$A$2:$A$2000,$A5,'Basket Data'!$AI$2:$AI$2000,$B5,'Basket Data'!$N$2:$N$2000,"&gt;=3")</f>
        <v>0</v>
      </c>
      <c r="AZ5" s="5">
        <f>COUNTIFS('Basket Data'!$A$2:$A$2000,$A5,'Basket Data'!$AI$2:$AI$2000,$B5,'Basket Data'!$N$2:$N$2000,"&gt;=4")</f>
        <v>0</v>
      </c>
      <c r="BA5" s="5">
        <f>COUNTIFS('Basket Data'!$A$2:$A$2000,$A5,'Basket Data'!$AI$2:$AI$2000,$B5,'Basket Data'!$N$2:$N$2000,"&gt;=5")</f>
        <v>0</v>
      </c>
      <c r="BB5" s="5">
        <f>COUNTIFS('Basket Data'!$A$2:$A$2000,$A5,'Basket Data'!$AI$2:$AI$2000,$B5,'Basket Data'!$N$2:$N$2000,"&gt;=6")</f>
        <v>0</v>
      </c>
      <c r="BC5" s="5">
        <f>COUNTIFS('Basket Data'!$A$2:$A$2000,$A5,'Basket Data'!$AI$2:$AI$2000,$B5,'Basket Data'!$N$2:$N$2000,"&gt;=7")</f>
        <v>0</v>
      </c>
      <c r="BD5" s="5">
        <f>COUNTIFS('Basket Data'!$A$2:$A$2000,$A5,'Basket Data'!$AI$2:$AI$2000,$B5,'Basket Data'!$N$2:$N$2000,"&gt;=8")</f>
        <v>0</v>
      </c>
      <c r="BE5" s="5">
        <f>COUNTIFS('Basket Data'!$A$2:$A$2000,$A5,'Basket Data'!$AI$2:$AI$2000,$B5,'Basket Data'!$N$2:$N$2000,"&gt;=9")</f>
        <v>0</v>
      </c>
      <c r="BF5" s="5">
        <f>COUNTIFS('Basket Data'!$A$2:$A$2000,$A5,'Basket Data'!$AI$2:$AI$2000,$B5,'Basket Data'!$N$2:$N$2000,"&gt;=10")</f>
        <v>0</v>
      </c>
      <c r="BG5" s="5">
        <f>SUMPRODUCT(('Basket Data'!$A$2:$A$2000=$A5)*('Basket Data'!$AI$2:$AI$2000=$B5)*('Basket Data'!$AE$2:$AE$2000&gt;0)*('Basket Data'!$O$2:$O$2000&gt;='Basket Data'!$AE$2:$AE$2000))</f>
        <v>0</v>
      </c>
      <c r="BH5" s="8">
        <f>IFERROR(AH5/AN5,0)</f>
        <v>0</v>
      </c>
      <c r="BI5" s="8">
        <f>IFERROR(AQ5/AP5,0)</f>
        <v>0</v>
      </c>
      <c r="BJ5" s="8">
        <f>IFERROR(AS5/AR5,0)</f>
        <v>0</v>
      </c>
      <c r="BK5" s="10">
        <f>IFERROR(AP5/AO5,0)</f>
        <v>0</v>
      </c>
      <c r="BL5" s="10">
        <f>IFERROR(AR5/AO5,0)</f>
        <v>0</v>
      </c>
      <c r="BM5" s="8">
        <f>(BI5*BK5)-(BJ5*BL5)</f>
        <v>0</v>
      </c>
      <c r="BN5" s="8">
        <f>IFERROR(AJ5/AN5,0)</f>
        <v>0</v>
      </c>
      <c r="BO5" s="5" t="str">
        <f>IF(AO5=0,"No basket data",IF(COUNTA(_xlfn.UNIQUE(_xlfn._xlws.FILTER('Basket Data'!$BW$2:$BW$2000,('Basket Data'!$A$2:$A$2000=$A5)*('Basket Data'!$AI$2:$AI$2000=$B5))))&gt;1,"Configuration changed during run","OK"))</f>
        <v>No basket data</v>
      </c>
    </row>
    <row r="6" spans="1:67">
      <c r="A6" s="3"/>
      <c r="B6" s="3"/>
      <c r="C6" s="4"/>
      <c r="D6" s="7"/>
      <c r="E6" s="4"/>
      <c r="F6" s="9"/>
      <c r="G6" s="4"/>
      <c r="H6" s="4"/>
      <c r="I6" s="3"/>
      <c r="J6" s="3"/>
      <c r="K6" s="9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3"/>
      <c r="X6" s="9"/>
      <c r="Y6" s="3"/>
      <c r="Z6" s="3"/>
      <c r="AA6" s="9"/>
      <c r="AB6" s="3"/>
      <c r="AC6" s="3"/>
      <c r="AD6" s="3"/>
      <c r="AE6" s="3"/>
      <c r="AF6" s="9"/>
      <c r="AG6" s="4"/>
      <c r="AH6" s="9"/>
      <c r="AI6" s="3"/>
      <c r="AJ6" s="9"/>
      <c r="AK6" s="9"/>
      <c r="AL6" s="9"/>
      <c r="AM6" s="9"/>
      <c r="AN6" s="9"/>
      <c r="AO6" s="3"/>
      <c r="AP6" s="3"/>
      <c r="AQ6" s="9"/>
      <c r="AR6" s="3"/>
      <c r="AS6" s="9"/>
      <c r="AT6" s="9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9"/>
      <c r="BI6" s="9"/>
      <c r="BJ6" s="9"/>
      <c r="BK6" s="11"/>
      <c r="BL6" s="11"/>
      <c r="BM6" s="9"/>
      <c r="BN6" s="9"/>
      <c r="BO6" s="3"/>
    </row>
    <row r="7" spans="1:67">
      <c r="A7" s="3"/>
      <c r="B7" s="3"/>
      <c r="C7" s="4"/>
      <c r="D7" s="7"/>
      <c r="E7" s="4"/>
      <c r="F7" s="9"/>
      <c r="G7" s="4"/>
      <c r="H7" s="4"/>
      <c r="I7" s="3"/>
      <c r="J7" s="3"/>
      <c r="K7" s="9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3"/>
      <c r="X7" s="9"/>
      <c r="Y7" s="3"/>
      <c r="Z7" s="3"/>
      <c r="AA7" s="9"/>
      <c r="AB7" s="3"/>
      <c r="AC7" s="3"/>
      <c r="AD7" s="3"/>
      <c r="AE7" s="3"/>
      <c r="AF7" s="9"/>
      <c r="AG7" s="4"/>
      <c r="AH7" s="9"/>
      <c r="AI7" s="3"/>
      <c r="AJ7" s="9"/>
      <c r="AK7" s="9"/>
      <c r="AL7" s="9"/>
      <c r="AM7" s="9"/>
      <c r="AN7" s="9"/>
      <c r="AO7" s="3"/>
      <c r="AP7" s="3"/>
      <c r="AQ7" s="9"/>
      <c r="AR7" s="3"/>
      <c r="AS7" s="9"/>
      <c r="AT7" s="9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9"/>
      <c r="BI7" s="9"/>
      <c r="BJ7" s="9"/>
      <c r="BK7" s="11"/>
      <c r="BL7" s="11"/>
      <c r="BM7" s="9"/>
      <c r="BN7" s="9"/>
      <c r="BO7" s="3"/>
    </row>
    <row r="8" spans="1:67">
      <c r="A8" s="3"/>
      <c r="B8" s="3"/>
      <c r="C8" s="4"/>
      <c r="D8" s="7"/>
      <c r="E8" s="4"/>
      <c r="F8" s="9"/>
      <c r="G8" s="4"/>
      <c r="H8" s="4"/>
      <c r="I8" s="3"/>
      <c r="J8" s="3"/>
      <c r="K8" s="9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3"/>
      <c r="X8" s="9"/>
      <c r="Y8" s="3"/>
      <c r="Z8" s="3"/>
      <c r="AA8" s="9"/>
      <c r="AB8" s="3"/>
      <c r="AC8" s="3"/>
      <c r="AD8" s="3"/>
      <c r="AE8" s="3"/>
      <c r="AF8" s="9"/>
      <c r="AG8" s="4"/>
      <c r="AH8" s="9"/>
      <c r="AI8" s="3"/>
      <c r="AJ8" s="9"/>
      <c r="AK8" s="9"/>
      <c r="AL8" s="9"/>
      <c r="AM8" s="9"/>
      <c r="AN8" s="9"/>
      <c r="AO8" s="3"/>
      <c r="AP8" s="3"/>
      <c r="AQ8" s="9"/>
      <c r="AR8" s="3"/>
      <c r="AS8" s="9"/>
      <c r="AT8" s="9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9"/>
      <c r="BI8" s="9"/>
      <c r="BJ8" s="9"/>
      <c r="BK8" s="11"/>
      <c r="BL8" s="11"/>
      <c r="BM8" s="9"/>
      <c r="BN8" s="9"/>
      <c r="BO8" s="3"/>
    </row>
    <row r="9" spans="1:67">
      <c r="A9" s="3"/>
      <c r="B9" s="3"/>
      <c r="C9" s="4"/>
      <c r="D9" s="7"/>
      <c r="E9" s="4"/>
      <c r="F9" s="9"/>
      <c r="G9" s="4"/>
      <c r="H9" s="4"/>
      <c r="I9" s="3"/>
      <c r="J9" s="3"/>
      <c r="K9" s="9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3"/>
      <c r="X9" s="9"/>
      <c r="Y9" s="3"/>
      <c r="Z9" s="3"/>
      <c r="AA9" s="9"/>
      <c r="AB9" s="3"/>
      <c r="AC9" s="3"/>
      <c r="AD9" s="3"/>
      <c r="AE9" s="3"/>
      <c r="AF9" s="9"/>
      <c r="AG9" s="4"/>
      <c r="AH9" s="9"/>
      <c r="AI9" s="3"/>
      <c r="AJ9" s="9"/>
      <c r="AK9" s="9"/>
      <c r="AL9" s="9"/>
      <c r="AM9" s="9"/>
      <c r="AN9" s="9"/>
      <c r="AO9" s="3"/>
      <c r="AP9" s="3"/>
      <c r="AQ9" s="9"/>
      <c r="AR9" s="3"/>
      <c r="AS9" s="9"/>
      <c r="AT9" s="9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9"/>
      <c r="BI9" s="9"/>
      <c r="BJ9" s="9"/>
      <c r="BK9" s="11"/>
      <c r="BL9" s="11"/>
      <c r="BM9" s="9"/>
      <c r="BN9" s="9"/>
      <c r="BO9" s="3"/>
    </row>
    <row r="10" spans="1:67">
      <c r="A10" s="3"/>
      <c r="B10" s="3"/>
      <c r="C10" s="4"/>
      <c r="D10" s="7"/>
      <c r="E10" s="4"/>
      <c r="F10" s="9"/>
      <c r="G10" s="4"/>
      <c r="H10" s="4"/>
      <c r="I10" s="3"/>
      <c r="J10" s="3"/>
      <c r="K10" s="9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3"/>
      <c r="X10" s="9"/>
      <c r="Y10" s="3"/>
      <c r="Z10" s="3"/>
      <c r="AA10" s="9"/>
      <c r="AB10" s="3"/>
      <c r="AC10" s="3"/>
      <c r="AD10" s="3"/>
      <c r="AE10" s="3"/>
      <c r="AF10" s="9"/>
      <c r="AG10" s="4"/>
      <c r="AH10" s="9"/>
      <c r="AI10" s="3"/>
      <c r="AJ10" s="9"/>
      <c r="AK10" s="9"/>
      <c r="AL10" s="9"/>
      <c r="AM10" s="9"/>
      <c r="AN10" s="9"/>
      <c r="AO10" s="3"/>
      <c r="AP10" s="3"/>
      <c r="AQ10" s="9"/>
      <c r="AR10" s="3"/>
      <c r="AS10" s="9"/>
      <c r="AT10" s="9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9"/>
      <c r="BI10" s="9"/>
      <c r="BJ10" s="9"/>
      <c r="BK10" s="11"/>
      <c r="BL10" s="11"/>
      <c r="BM10" s="9"/>
      <c r="BN10" s="9"/>
      <c r="BO10" s="3"/>
    </row>
    <row r="11" spans="1:67">
      <c r="A11" s="3"/>
      <c r="B11" s="3"/>
      <c r="C11" s="4"/>
      <c r="D11" s="7"/>
      <c r="E11" s="4"/>
      <c r="F11" s="9"/>
      <c r="G11" s="4"/>
      <c r="H11" s="4"/>
      <c r="I11" s="3"/>
      <c r="J11" s="3"/>
      <c r="K11" s="9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3"/>
      <c r="X11" s="9"/>
      <c r="Y11" s="3"/>
      <c r="Z11" s="3"/>
      <c r="AA11" s="9"/>
      <c r="AB11" s="3"/>
      <c r="AC11" s="3"/>
      <c r="AD11" s="3"/>
      <c r="AE11" s="3"/>
      <c r="AF11" s="9"/>
      <c r="AG11" s="4"/>
      <c r="AH11" s="9"/>
      <c r="AI11" s="3"/>
      <c r="AJ11" s="9"/>
      <c r="AK11" s="9"/>
      <c r="AL11" s="9"/>
      <c r="AM11" s="9"/>
      <c r="AN11" s="9"/>
      <c r="AO11" s="3"/>
      <c r="AP11" s="3"/>
      <c r="AQ11" s="9"/>
      <c r="AR11" s="3"/>
      <c r="AS11" s="9"/>
      <c r="AT11" s="9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9"/>
      <c r="BI11" s="9"/>
      <c r="BJ11" s="9"/>
      <c r="BK11" s="11"/>
      <c r="BL11" s="11"/>
      <c r="BM11" s="9"/>
      <c r="BN11" s="9"/>
      <c r="BO11" s="3"/>
    </row>
    <row r="12" spans="1:67">
      <c r="A12" s="3"/>
      <c r="B12" s="3"/>
      <c r="C12" s="4"/>
      <c r="D12" s="7"/>
      <c r="E12" s="4"/>
      <c r="F12" s="9"/>
      <c r="G12" s="4"/>
      <c r="H12" s="4"/>
      <c r="I12" s="3"/>
      <c r="J12" s="3"/>
      <c r="K12" s="9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3"/>
      <c r="X12" s="9"/>
      <c r="Y12" s="3"/>
      <c r="Z12" s="3"/>
      <c r="AA12" s="9"/>
      <c r="AB12" s="3"/>
      <c r="AC12" s="3"/>
      <c r="AD12" s="3"/>
      <c r="AE12" s="3"/>
      <c r="AF12" s="9"/>
      <c r="AG12" s="4"/>
      <c r="AH12" s="9"/>
      <c r="AI12" s="3"/>
      <c r="AJ12" s="9"/>
      <c r="AK12" s="9"/>
      <c r="AL12" s="9"/>
      <c r="AM12" s="9"/>
      <c r="AN12" s="9"/>
      <c r="AO12" s="3"/>
      <c r="AP12" s="3"/>
      <c r="AQ12" s="9"/>
      <c r="AR12" s="3"/>
      <c r="AS12" s="9"/>
      <c r="AT12" s="9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9"/>
      <c r="BI12" s="9"/>
      <c r="BJ12" s="9"/>
      <c r="BK12" s="11"/>
      <c r="BL12" s="11"/>
      <c r="BM12" s="9"/>
      <c r="BN12" s="9"/>
      <c r="BO12" s="3"/>
    </row>
    <row r="13" spans="1:67">
      <c r="A13" s="3"/>
      <c r="B13" s="3"/>
      <c r="C13" s="4"/>
      <c r="D13" s="7"/>
      <c r="E13" s="4"/>
      <c r="F13" s="9"/>
      <c r="G13" s="4"/>
      <c r="H13" s="4"/>
      <c r="I13" s="3"/>
      <c r="J13" s="3"/>
      <c r="K13" s="9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3"/>
      <c r="X13" s="9"/>
      <c r="Y13" s="3"/>
      <c r="Z13" s="3"/>
      <c r="AA13" s="9"/>
      <c r="AB13" s="3"/>
      <c r="AC13" s="3"/>
      <c r="AD13" s="3"/>
      <c r="AE13" s="3"/>
      <c r="AF13" s="9"/>
      <c r="AG13" s="4"/>
      <c r="AH13" s="9"/>
      <c r="AI13" s="3"/>
      <c r="AJ13" s="9"/>
      <c r="AK13" s="9"/>
      <c r="AL13" s="9"/>
      <c r="AM13" s="9"/>
      <c r="AN13" s="9"/>
      <c r="AO13" s="3"/>
      <c r="AP13" s="3"/>
      <c r="AQ13" s="9"/>
      <c r="AR13" s="3"/>
      <c r="AS13" s="9"/>
      <c r="AT13" s="9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9"/>
      <c r="BI13" s="9"/>
      <c r="BJ13" s="9"/>
      <c r="BK13" s="11"/>
      <c r="BL13" s="11"/>
      <c r="BM13" s="9"/>
      <c r="BN13" s="9"/>
      <c r="BO13" s="3"/>
    </row>
    <row r="14" spans="1:67">
      <c r="A14" s="3"/>
      <c r="B14" s="3"/>
      <c r="C14" s="4"/>
      <c r="D14" s="7"/>
      <c r="E14" s="4"/>
      <c r="F14" s="9"/>
      <c r="G14" s="4"/>
      <c r="H14" s="4"/>
      <c r="I14" s="3"/>
      <c r="J14" s="3"/>
      <c r="K14" s="9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3"/>
      <c r="X14" s="9"/>
      <c r="Y14" s="3"/>
      <c r="Z14" s="3"/>
      <c r="AA14" s="9"/>
      <c r="AB14" s="3"/>
      <c r="AC14" s="3"/>
      <c r="AD14" s="3"/>
      <c r="AE14" s="3"/>
      <c r="AF14" s="9"/>
      <c r="AG14" s="4"/>
      <c r="AH14" s="9"/>
      <c r="AI14" s="3"/>
      <c r="AJ14" s="9"/>
      <c r="AK14" s="9"/>
      <c r="AL14" s="9"/>
      <c r="AM14" s="9"/>
      <c r="AN14" s="9"/>
      <c r="AO14" s="3"/>
      <c r="AP14" s="3"/>
      <c r="AQ14" s="9"/>
      <c r="AR14" s="3"/>
      <c r="AS14" s="9"/>
      <c r="AT14" s="9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9"/>
      <c r="BI14" s="9"/>
      <c r="BJ14" s="9"/>
      <c r="BK14" s="11"/>
      <c r="BL14" s="11"/>
      <c r="BM14" s="9"/>
      <c r="BN14" s="9"/>
      <c r="BO14" s="3"/>
    </row>
    <row r="15" spans="1:67">
      <c r="A15" s="3"/>
      <c r="B15" s="3"/>
      <c r="C15" s="4"/>
      <c r="D15" s="7"/>
      <c r="E15" s="4"/>
      <c r="F15" s="9"/>
      <c r="G15" s="4"/>
      <c r="H15" s="4"/>
      <c r="I15" s="3"/>
      <c r="J15" s="3"/>
      <c r="K15" s="9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3"/>
      <c r="X15" s="9"/>
      <c r="Y15" s="3"/>
      <c r="Z15" s="3"/>
      <c r="AA15" s="9"/>
      <c r="AB15" s="3"/>
      <c r="AC15" s="3"/>
      <c r="AD15" s="3"/>
      <c r="AE15" s="3"/>
      <c r="AF15" s="9"/>
      <c r="AG15" s="4"/>
      <c r="AH15" s="9"/>
      <c r="AI15" s="3"/>
      <c r="AJ15" s="9"/>
      <c r="AK15" s="9"/>
      <c r="AL15" s="9"/>
      <c r="AM15" s="9"/>
      <c r="AN15" s="9"/>
      <c r="AO15" s="3"/>
      <c r="AP15" s="3"/>
      <c r="AQ15" s="9"/>
      <c r="AR15" s="3"/>
      <c r="AS15" s="9"/>
      <c r="AT15" s="9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9"/>
      <c r="BI15" s="9"/>
      <c r="BJ15" s="9"/>
      <c r="BK15" s="11"/>
      <c r="BL15" s="11"/>
      <c r="BM15" s="9"/>
      <c r="BN15" s="9"/>
      <c r="BO15" s="3"/>
    </row>
    <row r="16" spans="1:67">
      <c r="A16" s="3"/>
      <c r="B16" s="3"/>
      <c r="C16" s="4"/>
      <c r="D16" s="7"/>
      <c r="E16" s="4"/>
      <c r="F16" s="9"/>
      <c r="G16" s="4"/>
      <c r="H16" s="4"/>
      <c r="I16" s="3"/>
      <c r="J16" s="3"/>
      <c r="K16" s="9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3"/>
      <c r="X16" s="9"/>
      <c r="Y16" s="3"/>
      <c r="Z16" s="3"/>
      <c r="AA16" s="9"/>
      <c r="AB16" s="3"/>
      <c r="AC16" s="3"/>
      <c r="AD16" s="3"/>
      <c r="AE16" s="3"/>
      <c r="AF16" s="9"/>
      <c r="AG16" s="4"/>
      <c r="AH16" s="9"/>
      <c r="AI16" s="3"/>
      <c r="AJ16" s="9"/>
      <c r="AK16" s="9"/>
      <c r="AL16" s="9"/>
      <c r="AM16" s="9"/>
      <c r="AN16" s="9"/>
      <c r="AO16" s="3"/>
      <c r="AP16" s="3"/>
      <c r="AQ16" s="9"/>
      <c r="AR16" s="3"/>
      <c r="AS16" s="9"/>
      <c r="AT16" s="9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9"/>
      <c r="BI16" s="9"/>
      <c r="BJ16" s="9"/>
      <c r="BK16" s="11"/>
      <c r="BL16" s="11"/>
      <c r="BM16" s="9"/>
      <c r="BN16" s="9"/>
      <c r="BO16" s="3"/>
    </row>
    <row r="17" spans="1:67">
      <c r="A17" s="3"/>
      <c r="B17" s="3"/>
      <c r="C17" s="4"/>
      <c r="D17" s="7"/>
      <c r="E17" s="4"/>
      <c r="F17" s="9"/>
      <c r="G17" s="4"/>
      <c r="H17" s="4"/>
      <c r="I17" s="3"/>
      <c r="J17" s="3"/>
      <c r="K17" s="9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3"/>
      <c r="X17" s="9"/>
      <c r="Y17" s="3"/>
      <c r="Z17" s="3"/>
      <c r="AA17" s="9"/>
      <c r="AB17" s="3"/>
      <c r="AC17" s="3"/>
      <c r="AD17" s="3"/>
      <c r="AE17" s="3"/>
      <c r="AF17" s="9"/>
      <c r="AG17" s="4"/>
      <c r="AH17" s="9"/>
      <c r="AI17" s="3"/>
      <c r="AJ17" s="9"/>
      <c r="AK17" s="9"/>
      <c r="AL17" s="9"/>
      <c r="AM17" s="9"/>
      <c r="AN17" s="9"/>
      <c r="AO17" s="3"/>
      <c r="AP17" s="3"/>
      <c r="AQ17" s="9"/>
      <c r="AR17" s="3"/>
      <c r="AS17" s="9"/>
      <c r="AT17" s="9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9"/>
      <c r="BI17" s="9"/>
      <c r="BJ17" s="9"/>
      <c r="BK17" s="11"/>
      <c r="BL17" s="11"/>
      <c r="BM17" s="9"/>
      <c r="BN17" s="9"/>
      <c r="BO17" s="3"/>
    </row>
    <row r="18" spans="1:67">
      <c r="A18" s="3"/>
      <c r="B18" s="3"/>
      <c r="C18" s="4"/>
      <c r="D18" s="7"/>
      <c r="E18" s="4"/>
      <c r="F18" s="9"/>
      <c r="G18" s="4"/>
      <c r="H18" s="4"/>
      <c r="I18" s="3"/>
      <c r="J18" s="3"/>
      <c r="K18" s="9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3"/>
      <c r="X18" s="9"/>
      <c r="Y18" s="3"/>
      <c r="Z18" s="3"/>
      <c r="AA18" s="9"/>
      <c r="AB18" s="3"/>
      <c r="AC18" s="3"/>
      <c r="AD18" s="3"/>
      <c r="AE18" s="3"/>
      <c r="AF18" s="9"/>
      <c r="AG18" s="4"/>
      <c r="AH18" s="9"/>
      <c r="AI18" s="3"/>
      <c r="AJ18" s="9"/>
      <c r="AK18" s="9"/>
      <c r="AL18" s="9"/>
      <c r="AM18" s="9"/>
      <c r="AN18" s="9"/>
      <c r="AO18" s="3"/>
      <c r="AP18" s="3"/>
      <c r="AQ18" s="9"/>
      <c r="AR18" s="3"/>
      <c r="AS18" s="9"/>
      <c r="AT18" s="9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9"/>
      <c r="BI18" s="9"/>
      <c r="BJ18" s="9"/>
      <c r="BK18" s="11"/>
      <c r="BL18" s="11"/>
      <c r="BM18" s="9"/>
      <c r="BN18" s="9"/>
      <c r="BO18" s="3"/>
    </row>
    <row r="19" spans="1:67">
      <c r="A19" s="3"/>
      <c r="B19" s="3"/>
      <c r="C19" s="4"/>
      <c r="D19" s="7"/>
      <c r="E19" s="4"/>
      <c r="F19" s="9"/>
      <c r="G19" s="4"/>
      <c r="H19" s="4"/>
      <c r="I19" s="3"/>
      <c r="J19" s="3"/>
      <c r="K19" s="9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3"/>
      <c r="X19" s="9"/>
      <c r="Y19" s="3"/>
      <c r="Z19" s="3"/>
      <c r="AA19" s="9"/>
      <c r="AB19" s="3"/>
      <c r="AC19" s="3"/>
      <c r="AD19" s="3"/>
      <c r="AE19" s="3"/>
      <c r="AF19" s="9"/>
      <c r="AG19" s="4"/>
      <c r="AH19" s="9"/>
      <c r="AI19" s="3"/>
      <c r="AJ19" s="9"/>
      <c r="AK19" s="9"/>
      <c r="AL19" s="9"/>
      <c r="AM19" s="9"/>
      <c r="AN19" s="9"/>
      <c r="AO19" s="3"/>
      <c r="AP19" s="3"/>
      <c r="AQ19" s="9"/>
      <c r="AR19" s="3"/>
      <c r="AS19" s="9"/>
      <c r="AT19" s="9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9"/>
      <c r="BI19" s="9"/>
      <c r="BJ19" s="9"/>
      <c r="BK19" s="11"/>
      <c r="BL19" s="11"/>
      <c r="BM19" s="9"/>
      <c r="BN19" s="9"/>
      <c r="BO19" s="3"/>
    </row>
    <row r="20" spans="1:67">
      <c r="A20" s="3"/>
      <c r="B20" s="3"/>
      <c r="C20" s="4"/>
      <c r="D20" s="7"/>
      <c r="E20" s="4"/>
      <c r="F20" s="9"/>
      <c r="G20" s="4"/>
      <c r="H20" s="4"/>
      <c r="I20" s="3"/>
      <c r="J20" s="3"/>
      <c r="K20" s="9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3"/>
      <c r="X20" s="9"/>
      <c r="Y20" s="3"/>
      <c r="Z20" s="3"/>
      <c r="AA20" s="9"/>
      <c r="AB20" s="3"/>
      <c r="AC20" s="3"/>
      <c r="AD20" s="3"/>
      <c r="AE20" s="3"/>
      <c r="AF20" s="9"/>
      <c r="AG20" s="4"/>
      <c r="AH20" s="9"/>
      <c r="AI20" s="3"/>
      <c r="AJ20" s="9"/>
      <c r="AK20" s="9"/>
      <c r="AL20" s="9"/>
      <c r="AM20" s="9"/>
      <c r="AN20" s="9"/>
      <c r="AO20" s="3"/>
      <c r="AP20" s="3"/>
      <c r="AQ20" s="9"/>
      <c r="AR20" s="3"/>
      <c r="AS20" s="9"/>
      <c r="AT20" s="9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9"/>
      <c r="BI20" s="9"/>
      <c r="BJ20" s="9"/>
      <c r="BK20" s="11"/>
      <c r="BL20" s="11"/>
      <c r="BM20" s="9"/>
      <c r="BN20" s="9"/>
      <c r="BO20" s="3"/>
    </row>
    <row r="21" spans="1:67">
      <c r="A21" s="3"/>
      <c r="B21" s="3"/>
      <c r="C21" s="4"/>
      <c r="D21" s="7"/>
      <c r="E21" s="4"/>
      <c r="F21" s="9"/>
      <c r="G21" s="4"/>
      <c r="H21" s="4"/>
      <c r="I21" s="3"/>
      <c r="J21" s="3"/>
      <c r="K21" s="9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3"/>
      <c r="X21" s="9"/>
      <c r="Y21" s="3"/>
      <c r="Z21" s="3"/>
      <c r="AA21" s="9"/>
      <c r="AB21" s="3"/>
      <c r="AC21" s="3"/>
      <c r="AD21" s="3"/>
      <c r="AE21" s="3"/>
      <c r="AF21" s="9"/>
      <c r="AG21" s="4"/>
      <c r="AH21" s="9"/>
      <c r="AI21" s="3"/>
      <c r="AJ21" s="9"/>
      <c r="AK21" s="9"/>
      <c r="AL21" s="9"/>
      <c r="AM21" s="9"/>
      <c r="AN21" s="9"/>
      <c r="AO21" s="3"/>
      <c r="AP21" s="3"/>
      <c r="AQ21" s="9"/>
      <c r="AR21" s="3"/>
      <c r="AS21" s="9"/>
      <c r="AT21" s="9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9"/>
      <c r="BI21" s="9"/>
      <c r="BJ21" s="9"/>
      <c r="BK21" s="11"/>
      <c r="BL21" s="11"/>
      <c r="BM21" s="9"/>
      <c r="BN21" s="9"/>
      <c r="BO21" s="3"/>
    </row>
    <row r="22" spans="1:67">
      <c r="A22" s="3"/>
      <c r="B22" s="3"/>
      <c r="C22" s="4"/>
      <c r="D22" s="7"/>
      <c r="E22" s="4"/>
      <c r="F22" s="9"/>
      <c r="G22" s="4"/>
      <c r="H22" s="4"/>
      <c r="I22" s="3"/>
      <c r="J22" s="3"/>
      <c r="K22" s="9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3"/>
      <c r="X22" s="9"/>
      <c r="Y22" s="3"/>
      <c r="Z22" s="3"/>
      <c r="AA22" s="9"/>
      <c r="AB22" s="3"/>
      <c r="AC22" s="3"/>
      <c r="AD22" s="3"/>
      <c r="AE22" s="3"/>
      <c r="AF22" s="9"/>
      <c r="AG22" s="4"/>
      <c r="AH22" s="9"/>
      <c r="AI22" s="3"/>
      <c r="AJ22" s="9"/>
      <c r="AK22" s="9"/>
      <c r="AL22" s="9"/>
      <c r="AM22" s="9"/>
      <c r="AN22" s="9"/>
      <c r="AO22" s="3"/>
      <c r="AP22" s="3"/>
      <c r="AQ22" s="9"/>
      <c r="AR22" s="3"/>
      <c r="AS22" s="9"/>
      <c r="AT22" s="9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9"/>
      <c r="BI22" s="9"/>
      <c r="BJ22" s="9"/>
      <c r="BK22" s="11"/>
      <c r="BL22" s="11"/>
      <c r="BM22" s="9"/>
      <c r="BN22" s="9"/>
      <c r="BO22" s="3"/>
    </row>
    <row r="23" spans="1:67">
      <c r="A23" s="3"/>
      <c r="B23" s="3"/>
      <c r="C23" s="4"/>
      <c r="D23" s="7"/>
      <c r="E23" s="4"/>
      <c r="F23" s="9"/>
      <c r="G23" s="4"/>
      <c r="H23" s="4"/>
      <c r="I23" s="3"/>
      <c r="J23" s="3"/>
      <c r="K23" s="9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3"/>
      <c r="X23" s="9"/>
      <c r="Y23" s="3"/>
      <c r="Z23" s="3"/>
      <c r="AA23" s="9"/>
      <c r="AB23" s="3"/>
      <c r="AC23" s="3"/>
      <c r="AD23" s="3"/>
      <c r="AE23" s="3"/>
      <c r="AF23" s="9"/>
      <c r="AG23" s="4"/>
      <c r="AH23" s="9"/>
      <c r="AI23" s="3"/>
      <c r="AJ23" s="9"/>
      <c r="AK23" s="9"/>
      <c r="AL23" s="9"/>
      <c r="AM23" s="9"/>
      <c r="AN23" s="9"/>
      <c r="AO23" s="3"/>
      <c r="AP23" s="3"/>
      <c r="AQ23" s="9"/>
      <c r="AR23" s="3"/>
      <c r="AS23" s="9"/>
      <c r="AT23" s="9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9"/>
      <c r="BI23" s="9"/>
      <c r="BJ23" s="9"/>
      <c r="BK23" s="11"/>
      <c r="BL23" s="11"/>
      <c r="BM23" s="9"/>
      <c r="BN23" s="9"/>
      <c r="BO23" s="3"/>
    </row>
    <row r="24" spans="1:67">
      <c r="A24" s="3"/>
      <c r="B24" s="3"/>
      <c r="C24" s="4"/>
      <c r="D24" s="7"/>
      <c r="E24" s="4"/>
      <c r="F24" s="9"/>
      <c r="G24" s="4"/>
      <c r="H24" s="4"/>
      <c r="I24" s="3"/>
      <c r="J24" s="3"/>
      <c r="K24" s="9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3"/>
      <c r="X24" s="9"/>
      <c r="Y24" s="3"/>
      <c r="Z24" s="3"/>
      <c r="AA24" s="9"/>
      <c r="AB24" s="3"/>
      <c r="AC24" s="3"/>
      <c r="AD24" s="3"/>
      <c r="AE24" s="3"/>
      <c r="AF24" s="9"/>
      <c r="AG24" s="4"/>
      <c r="AH24" s="9"/>
      <c r="AI24" s="3"/>
      <c r="AJ24" s="9"/>
      <c r="AK24" s="9"/>
      <c r="AL24" s="9"/>
      <c r="AM24" s="9"/>
      <c r="AN24" s="9"/>
      <c r="AO24" s="3"/>
      <c r="AP24" s="3"/>
      <c r="AQ24" s="9"/>
      <c r="AR24" s="3"/>
      <c r="AS24" s="9"/>
      <c r="AT24" s="9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9"/>
      <c r="BI24" s="9"/>
      <c r="BJ24" s="9"/>
      <c r="BK24" s="11"/>
      <c r="BL24" s="11"/>
      <c r="BM24" s="9"/>
      <c r="BN24" s="9"/>
      <c r="BO24" s="3"/>
    </row>
    <row r="25" spans="1:67">
      <c r="A25" s="3"/>
      <c r="B25" s="3"/>
      <c r="C25" s="4"/>
      <c r="D25" s="7"/>
      <c r="E25" s="4"/>
      <c r="F25" s="9"/>
      <c r="G25" s="4"/>
      <c r="H25" s="4"/>
      <c r="I25" s="3"/>
      <c r="J25" s="3"/>
      <c r="K25" s="9"/>
      <c r="L25" s="3"/>
      <c r="M25" s="3"/>
      <c r="N25" s="3"/>
      <c r="O25" s="3"/>
      <c r="P25" s="3"/>
      <c r="Q25" s="3"/>
      <c r="R25" s="3"/>
      <c r="S25" s="3"/>
      <c r="T25" s="3"/>
      <c r="U25" s="9"/>
      <c r="V25" s="9"/>
      <c r="W25" s="3"/>
      <c r="X25" s="9"/>
      <c r="Y25" s="3"/>
      <c r="Z25" s="3"/>
      <c r="AA25" s="9"/>
      <c r="AB25" s="3"/>
      <c r="AC25" s="3"/>
      <c r="AD25" s="3"/>
      <c r="AE25" s="3"/>
      <c r="AF25" s="9"/>
      <c r="AG25" s="4"/>
      <c r="AH25" s="9"/>
      <c r="AI25" s="3"/>
      <c r="AJ25" s="9"/>
      <c r="AK25" s="9"/>
      <c r="AL25" s="9"/>
      <c r="AM25" s="9"/>
      <c r="AN25" s="9"/>
      <c r="AO25" s="3"/>
      <c r="AP25" s="3"/>
      <c r="AQ25" s="9"/>
      <c r="AR25" s="3"/>
      <c r="AS25" s="9"/>
      <c r="AT25" s="9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9"/>
      <c r="BI25" s="9"/>
      <c r="BJ25" s="9"/>
      <c r="BK25" s="11"/>
      <c r="BL25" s="11"/>
      <c r="BM25" s="9"/>
      <c r="BN25" s="9"/>
      <c r="BO25" s="3"/>
    </row>
    <row r="26" spans="1:67">
      <c r="A26" s="3"/>
      <c r="B26" s="3"/>
      <c r="C26" s="4"/>
      <c r="D26" s="7"/>
      <c r="E26" s="4"/>
      <c r="F26" s="9"/>
      <c r="G26" s="4"/>
      <c r="H26" s="4"/>
      <c r="I26" s="3"/>
      <c r="J26" s="3"/>
      <c r="K26" s="9"/>
      <c r="L26" s="3"/>
      <c r="M26" s="3"/>
      <c r="N26" s="3"/>
      <c r="O26" s="3"/>
      <c r="P26" s="3"/>
      <c r="Q26" s="3"/>
      <c r="R26" s="3"/>
      <c r="S26" s="3"/>
      <c r="T26" s="3"/>
      <c r="U26" s="9"/>
      <c r="V26" s="9"/>
      <c r="W26" s="3"/>
      <c r="X26" s="9"/>
      <c r="Y26" s="3"/>
      <c r="Z26" s="3"/>
      <c r="AA26" s="9"/>
      <c r="AB26" s="3"/>
      <c r="AC26" s="3"/>
      <c r="AD26" s="3"/>
      <c r="AE26" s="3"/>
      <c r="AF26" s="9"/>
      <c r="AG26" s="4"/>
      <c r="AH26" s="9"/>
      <c r="AI26" s="3"/>
      <c r="AJ26" s="9"/>
      <c r="AK26" s="9"/>
      <c r="AL26" s="9"/>
      <c r="AM26" s="9"/>
      <c r="AN26" s="9"/>
      <c r="AO26" s="3"/>
      <c r="AP26" s="3"/>
      <c r="AQ26" s="9"/>
      <c r="AR26" s="3"/>
      <c r="AS26" s="9"/>
      <c r="AT26" s="9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9"/>
      <c r="BI26" s="9"/>
      <c r="BJ26" s="9"/>
      <c r="BK26" s="11"/>
      <c r="BL26" s="11"/>
      <c r="BM26" s="9"/>
      <c r="BN26" s="9"/>
      <c r="BO26" s="3"/>
    </row>
    <row r="27" spans="1:67">
      <c r="A27" s="3"/>
      <c r="B27" s="3"/>
      <c r="C27" s="4"/>
      <c r="D27" s="7"/>
      <c r="E27" s="4"/>
      <c r="F27" s="9"/>
      <c r="G27" s="4"/>
      <c r="H27" s="4"/>
      <c r="I27" s="3"/>
      <c r="J27" s="3"/>
      <c r="K27" s="9"/>
      <c r="L27" s="3"/>
      <c r="M27" s="3"/>
      <c r="N27" s="3"/>
      <c r="O27" s="3"/>
      <c r="P27" s="3"/>
      <c r="Q27" s="3"/>
      <c r="R27" s="3"/>
      <c r="S27" s="3"/>
      <c r="T27" s="3"/>
      <c r="U27" s="9"/>
      <c r="V27" s="9"/>
      <c r="W27" s="3"/>
      <c r="X27" s="9"/>
      <c r="Y27" s="3"/>
      <c r="Z27" s="3"/>
      <c r="AA27" s="9"/>
      <c r="AB27" s="3"/>
      <c r="AC27" s="3"/>
      <c r="AD27" s="3"/>
      <c r="AE27" s="3"/>
      <c r="AF27" s="9"/>
      <c r="AG27" s="4"/>
      <c r="AH27" s="9"/>
      <c r="AI27" s="3"/>
      <c r="AJ27" s="9"/>
      <c r="AK27" s="9"/>
      <c r="AL27" s="9"/>
      <c r="AM27" s="9"/>
      <c r="AN27" s="9"/>
      <c r="AO27" s="3"/>
      <c r="AP27" s="3"/>
      <c r="AQ27" s="9"/>
      <c r="AR27" s="3"/>
      <c r="AS27" s="9"/>
      <c r="AT27" s="9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9"/>
      <c r="BI27" s="9"/>
      <c r="BJ27" s="9"/>
      <c r="BK27" s="11"/>
      <c r="BL27" s="11"/>
      <c r="BM27" s="9"/>
      <c r="BN27" s="9"/>
      <c r="BO27" s="3"/>
    </row>
    <row r="28" spans="1:67">
      <c r="A28" s="3"/>
      <c r="B28" s="3"/>
      <c r="C28" s="4"/>
      <c r="D28" s="7"/>
      <c r="E28" s="4"/>
      <c r="F28" s="9"/>
      <c r="G28" s="4"/>
      <c r="H28" s="4"/>
      <c r="I28" s="3"/>
      <c r="J28" s="3"/>
      <c r="K28" s="9"/>
      <c r="L28" s="3"/>
      <c r="M28" s="3"/>
      <c r="N28" s="3"/>
      <c r="O28" s="3"/>
      <c r="P28" s="3"/>
      <c r="Q28" s="3"/>
      <c r="R28" s="3"/>
      <c r="S28" s="3"/>
      <c r="T28" s="3"/>
      <c r="U28" s="9"/>
      <c r="V28" s="9"/>
      <c r="W28" s="3"/>
      <c r="X28" s="9"/>
      <c r="Y28" s="3"/>
      <c r="Z28" s="3"/>
      <c r="AA28" s="9"/>
      <c r="AB28" s="3"/>
      <c r="AC28" s="3"/>
      <c r="AD28" s="3"/>
      <c r="AE28" s="3"/>
      <c r="AF28" s="9"/>
      <c r="AG28" s="4"/>
      <c r="AH28" s="9"/>
      <c r="AI28" s="3"/>
      <c r="AJ28" s="9"/>
      <c r="AK28" s="9"/>
      <c r="AL28" s="9"/>
      <c r="AM28" s="9"/>
      <c r="AN28" s="9"/>
      <c r="AO28" s="3"/>
      <c r="AP28" s="3"/>
      <c r="AQ28" s="9"/>
      <c r="AR28" s="3"/>
      <c r="AS28" s="9"/>
      <c r="AT28" s="9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9"/>
      <c r="BI28" s="9"/>
      <c r="BJ28" s="9"/>
      <c r="BK28" s="11"/>
      <c r="BL28" s="11"/>
      <c r="BM28" s="9"/>
      <c r="BN28" s="9"/>
      <c r="BO28" s="3"/>
    </row>
    <row r="29" spans="1:67">
      <c r="A29" s="3"/>
      <c r="B29" s="3"/>
      <c r="C29" s="4"/>
      <c r="D29" s="7"/>
      <c r="E29" s="4"/>
      <c r="F29" s="9"/>
      <c r="G29" s="4"/>
      <c r="H29" s="4"/>
      <c r="I29" s="3"/>
      <c r="J29" s="3"/>
      <c r="K29" s="9"/>
      <c r="L29" s="3"/>
      <c r="M29" s="3"/>
      <c r="N29" s="3"/>
      <c r="O29" s="3"/>
      <c r="P29" s="3"/>
      <c r="Q29" s="3"/>
      <c r="R29" s="3"/>
      <c r="S29" s="3"/>
      <c r="T29" s="3"/>
      <c r="U29" s="9"/>
      <c r="V29" s="9"/>
      <c r="W29" s="3"/>
      <c r="X29" s="9"/>
      <c r="Y29" s="3"/>
      <c r="Z29" s="3"/>
      <c r="AA29" s="9"/>
      <c r="AB29" s="3"/>
      <c r="AC29" s="3"/>
      <c r="AD29" s="3"/>
      <c r="AE29" s="3"/>
      <c r="AF29" s="9"/>
      <c r="AG29" s="4"/>
      <c r="AH29" s="9"/>
      <c r="AI29" s="3"/>
      <c r="AJ29" s="9"/>
      <c r="AK29" s="9"/>
      <c r="AL29" s="9"/>
      <c r="AM29" s="9"/>
      <c r="AN29" s="9"/>
      <c r="AO29" s="3"/>
      <c r="AP29" s="3"/>
      <c r="AQ29" s="9"/>
      <c r="AR29" s="3"/>
      <c r="AS29" s="9"/>
      <c r="AT29" s="9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9"/>
      <c r="BI29" s="9"/>
      <c r="BJ29" s="9"/>
      <c r="BK29" s="11"/>
      <c r="BL29" s="11"/>
      <c r="BM29" s="9"/>
      <c r="BN29" s="9"/>
      <c r="BO29" s="3"/>
    </row>
    <row r="30" spans="1:67">
      <c r="A30" s="3"/>
      <c r="B30" s="3"/>
      <c r="C30" s="4"/>
      <c r="D30" s="7"/>
      <c r="E30" s="4"/>
      <c r="F30" s="9"/>
      <c r="G30" s="4"/>
      <c r="H30" s="4"/>
      <c r="I30" s="3"/>
      <c r="J30" s="3"/>
      <c r="K30" s="9"/>
      <c r="L30" s="3"/>
      <c r="M30" s="3"/>
      <c r="N30" s="3"/>
      <c r="O30" s="3"/>
      <c r="P30" s="3"/>
      <c r="Q30" s="3"/>
      <c r="R30" s="3"/>
      <c r="S30" s="3"/>
      <c r="T30" s="3"/>
      <c r="U30" s="9"/>
      <c r="V30" s="9"/>
      <c r="W30" s="3"/>
      <c r="X30" s="9"/>
      <c r="Y30" s="3"/>
      <c r="Z30" s="3"/>
      <c r="AA30" s="9"/>
      <c r="AB30" s="3"/>
      <c r="AC30" s="3"/>
      <c r="AD30" s="3"/>
      <c r="AE30" s="3"/>
      <c r="AF30" s="9"/>
      <c r="AG30" s="4"/>
      <c r="AH30" s="9"/>
      <c r="AI30" s="3"/>
      <c r="AJ30" s="9"/>
      <c r="AK30" s="9"/>
      <c r="AL30" s="9"/>
      <c r="AM30" s="9"/>
      <c r="AN30" s="9"/>
      <c r="AO30" s="3"/>
      <c r="AP30" s="3"/>
      <c r="AQ30" s="9"/>
      <c r="AR30" s="3"/>
      <c r="AS30" s="9"/>
      <c r="AT30" s="9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9"/>
      <c r="BI30" s="9"/>
      <c r="BJ30" s="9"/>
      <c r="BK30" s="11"/>
      <c r="BL30" s="11"/>
      <c r="BM30" s="9"/>
      <c r="BN30" s="9"/>
      <c r="BO30" s="3"/>
    </row>
    <row r="31" spans="1:67">
      <c r="A31" s="3"/>
      <c r="B31" s="3"/>
      <c r="C31" s="4"/>
      <c r="D31" s="7"/>
      <c r="E31" s="4"/>
      <c r="F31" s="9"/>
      <c r="G31" s="4"/>
      <c r="H31" s="4"/>
      <c r="I31" s="3"/>
      <c r="J31" s="3"/>
      <c r="K31" s="9"/>
      <c r="L31" s="3"/>
      <c r="M31" s="3"/>
      <c r="N31" s="3"/>
      <c r="O31" s="3"/>
      <c r="P31" s="3"/>
      <c r="Q31" s="3"/>
      <c r="R31" s="3"/>
      <c r="S31" s="3"/>
      <c r="T31" s="3"/>
      <c r="U31" s="9"/>
      <c r="V31" s="9"/>
      <c r="W31" s="3"/>
      <c r="X31" s="9"/>
      <c r="Y31" s="3"/>
      <c r="Z31" s="3"/>
      <c r="AA31" s="9"/>
      <c r="AB31" s="3"/>
      <c r="AC31" s="3"/>
      <c r="AD31" s="3"/>
      <c r="AE31" s="3"/>
      <c r="AF31" s="9"/>
      <c r="AG31" s="4"/>
      <c r="AH31" s="9"/>
      <c r="AI31" s="3"/>
      <c r="AJ31" s="9"/>
      <c r="AK31" s="9"/>
      <c r="AL31" s="9"/>
      <c r="AM31" s="9"/>
      <c r="AN31" s="9"/>
      <c r="AO31" s="3"/>
      <c r="AP31" s="3"/>
      <c r="AQ31" s="9"/>
      <c r="AR31" s="3"/>
      <c r="AS31" s="9"/>
      <c r="AT31" s="9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9"/>
      <c r="BI31" s="9"/>
      <c r="BJ31" s="9"/>
      <c r="BK31" s="11"/>
      <c r="BL31" s="11"/>
      <c r="BM31" s="9"/>
      <c r="BN31" s="9"/>
      <c r="BO31" s="3"/>
    </row>
    <row r="32" spans="1:67">
      <c r="A32" s="3"/>
      <c r="B32" s="3"/>
      <c r="C32" s="4"/>
      <c r="D32" s="7"/>
      <c r="E32" s="4"/>
      <c r="F32" s="9"/>
      <c r="G32" s="4"/>
      <c r="H32" s="4"/>
      <c r="I32" s="3"/>
      <c r="J32" s="3"/>
      <c r="K32" s="9"/>
      <c r="L32" s="3"/>
      <c r="M32" s="3"/>
      <c r="N32" s="3"/>
      <c r="O32" s="3"/>
      <c r="P32" s="3"/>
      <c r="Q32" s="3"/>
      <c r="R32" s="3"/>
      <c r="S32" s="3"/>
      <c r="T32" s="3"/>
      <c r="U32" s="9"/>
      <c r="V32" s="9"/>
      <c r="W32" s="3"/>
      <c r="X32" s="9"/>
      <c r="Y32" s="3"/>
      <c r="Z32" s="3"/>
      <c r="AA32" s="9"/>
      <c r="AB32" s="3"/>
      <c r="AC32" s="3"/>
      <c r="AD32" s="3"/>
      <c r="AE32" s="3"/>
      <c r="AF32" s="9"/>
      <c r="AG32" s="4"/>
      <c r="AH32" s="9"/>
      <c r="AI32" s="3"/>
      <c r="AJ32" s="9"/>
      <c r="AK32" s="9"/>
      <c r="AL32" s="9"/>
      <c r="AM32" s="9"/>
      <c r="AN32" s="9"/>
      <c r="AO32" s="3"/>
      <c r="AP32" s="3"/>
      <c r="AQ32" s="9"/>
      <c r="AR32" s="3"/>
      <c r="AS32" s="9"/>
      <c r="AT32" s="9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9"/>
      <c r="BI32" s="9"/>
      <c r="BJ32" s="9"/>
      <c r="BK32" s="11"/>
      <c r="BL32" s="11"/>
      <c r="BM32" s="9"/>
      <c r="BN32" s="9"/>
      <c r="BO32" s="3"/>
    </row>
    <row r="33" spans="1:67">
      <c r="A33" s="3"/>
      <c r="B33" s="3"/>
      <c r="C33" s="4"/>
      <c r="D33" s="7"/>
      <c r="E33" s="4"/>
      <c r="F33" s="9"/>
      <c r="G33" s="4"/>
      <c r="H33" s="4"/>
      <c r="I33" s="3"/>
      <c r="J33" s="3"/>
      <c r="K33" s="9"/>
      <c r="L33" s="3"/>
      <c r="M33" s="3"/>
      <c r="N33" s="3"/>
      <c r="O33" s="3"/>
      <c r="P33" s="3"/>
      <c r="Q33" s="3"/>
      <c r="R33" s="3"/>
      <c r="S33" s="3"/>
      <c r="T33" s="3"/>
      <c r="U33" s="9"/>
      <c r="V33" s="9"/>
      <c r="W33" s="3"/>
      <c r="X33" s="9"/>
      <c r="Y33" s="3"/>
      <c r="Z33" s="3"/>
      <c r="AA33" s="9"/>
      <c r="AB33" s="3"/>
      <c r="AC33" s="3"/>
      <c r="AD33" s="3"/>
      <c r="AE33" s="3"/>
      <c r="AF33" s="9"/>
      <c r="AG33" s="4"/>
      <c r="AH33" s="9"/>
      <c r="AI33" s="3"/>
      <c r="AJ33" s="9"/>
      <c r="AK33" s="9"/>
      <c r="AL33" s="9"/>
      <c r="AM33" s="9"/>
      <c r="AN33" s="9"/>
      <c r="AO33" s="3"/>
      <c r="AP33" s="3"/>
      <c r="AQ33" s="9"/>
      <c r="AR33" s="3"/>
      <c r="AS33" s="9"/>
      <c r="AT33" s="9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9"/>
      <c r="BI33" s="9"/>
      <c r="BJ33" s="9"/>
      <c r="BK33" s="11"/>
      <c r="BL33" s="11"/>
      <c r="BM33" s="9"/>
      <c r="BN33" s="9"/>
      <c r="BO33" s="3"/>
    </row>
    <row r="34" spans="1:67">
      <c r="A34" s="3"/>
      <c r="B34" s="3"/>
      <c r="C34" s="4"/>
      <c r="D34" s="7"/>
      <c r="E34" s="4"/>
      <c r="F34" s="9"/>
      <c r="G34" s="4"/>
      <c r="H34" s="4"/>
      <c r="I34" s="3"/>
      <c r="J34" s="3"/>
      <c r="K34" s="9"/>
      <c r="L34" s="3"/>
      <c r="M34" s="3"/>
      <c r="N34" s="3"/>
      <c r="O34" s="3"/>
      <c r="P34" s="3"/>
      <c r="Q34" s="3"/>
      <c r="R34" s="3"/>
      <c r="S34" s="3"/>
      <c r="T34" s="3"/>
      <c r="U34" s="9"/>
      <c r="V34" s="9"/>
      <c r="W34" s="3"/>
      <c r="X34" s="9"/>
      <c r="Y34" s="3"/>
      <c r="Z34" s="3"/>
      <c r="AA34" s="9"/>
      <c r="AB34" s="3"/>
      <c r="AC34" s="3"/>
      <c r="AD34" s="3"/>
      <c r="AE34" s="3"/>
      <c r="AF34" s="9"/>
      <c r="AG34" s="4"/>
      <c r="AH34" s="9"/>
      <c r="AI34" s="3"/>
      <c r="AJ34" s="9"/>
      <c r="AK34" s="9"/>
      <c r="AL34" s="9"/>
      <c r="AM34" s="9"/>
      <c r="AN34" s="9"/>
      <c r="AO34" s="3"/>
      <c r="AP34" s="3"/>
      <c r="AQ34" s="9"/>
      <c r="AR34" s="3"/>
      <c r="AS34" s="9"/>
      <c r="AT34" s="9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9"/>
      <c r="BI34" s="9"/>
      <c r="BJ34" s="9"/>
      <c r="BK34" s="11"/>
      <c r="BL34" s="11"/>
      <c r="BM34" s="9"/>
      <c r="BN34" s="9"/>
      <c r="BO34" s="3"/>
    </row>
    <row r="35" spans="1:67">
      <c r="A35" s="3"/>
      <c r="B35" s="3"/>
      <c r="C35" s="4"/>
      <c r="D35" s="7"/>
      <c r="E35" s="4"/>
      <c r="F35" s="9"/>
      <c r="G35" s="4"/>
      <c r="H35" s="4"/>
      <c r="I35" s="3"/>
      <c r="J35" s="3"/>
      <c r="K35" s="9"/>
      <c r="L35" s="3"/>
      <c r="M35" s="3"/>
      <c r="N35" s="3"/>
      <c r="O35" s="3"/>
      <c r="P35" s="3"/>
      <c r="Q35" s="3"/>
      <c r="R35" s="3"/>
      <c r="S35" s="3"/>
      <c r="T35" s="3"/>
      <c r="U35" s="9"/>
      <c r="V35" s="9"/>
      <c r="W35" s="3"/>
      <c r="X35" s="9"/>
      <c r="Y35" s="3"/>
      <c r="Z35" s="3"/>
      <c r="AA35" s="9"/>
      <c r="AB35" s="3"/>
      <c r="AC35" s="3"/>
      <c r="AD35" s="3"/>
      <c r="AE35" s="3"/>
      <c r="AF35" s="9"/>
      <c r="AG35" s="4"/>
      <c r="AH35" s="9"/>
      <c r="AI35" s="3"/>
      <c r="AJ35" s="9"/>
      <c r="AK35" s="9"/>
      <c r="AL35" s="9"/>
      <c r="AM35" s="9"/>
      <c r="AN35" s="9"/>
      <c r="AO35" s="3"/>
      <c r="AP35" s="3"/>
      <c r="AQ35" s="9"/>
      <c r="AR35" s="3"/>
      <c r="AS35" s="9"/>
      <c r="AT35" s="9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9"/>
      <c r="BI35" s="9"/>
      <c r="BJ35" s="9"/>
      <c r="BK35" s="11"/>
      <c r="BL35" s="11"/>
      <c r="BM35" s="9"/>
      <c r="BN35" s="9"/>
      <c r="BO35" s="3"/>
    </row>
    <row r="36" spans="1:67">
      <c r="A36" s="3"/>
      <c r="B36" s="3"/>
      <c r="C36" s="4"/>
      <c r="D36" s="7"/>
      <c r="E36" s="4"/>
      <c r="F36" s="9"/>
      <c r="G36" s="4"/>
      <c r="H36" s="4"/>
      <c r="I36" s="3"/>
      <c r="J36" s="3"/>
      <c r="K36" s="9"/>
      <c r="L36" s="3"/>
      <c r="M36" s="3"/>
      <c r="N36" s="3"/>
      <c r="O36" s="3"/>
      <c r="P36" s="3"/>
      <c r="Q36" s="3"/>
      <c r="R36" s="3"/>
      <c r="S36" s="3"/>
      <c r="T36" s="3"/>
      <c r="U36" s="9"/>
      <c r="V36" s="9"/>
      <c r="W36" s="3"/>
      <c r="X36" s="9"/>
      <c r="Y36" s="3"/>
      <c r="Z36" s="3"/>
      <c r="AA36" s="9"/>
      <c r="AB36" s="3"/>
      <c r="AC36" s="3"/>
      <c r="AD36" s="3"/>
      <c r="AE36" s="3"/>
      <c r="AF36" s="9"/>
      <c r="AG36" s="4"/>
      <c r="AH36" s="9"/>
      <c r="AI36" s="3"/>
      <c r="AJ36" s="9"/>
      <c r="AK36" s="9"/>
      <c r="AL36" s="9"/>
      <c r="AM36" s="9"/>
      <c r="AN36" s="9"/>
      <c r="AO36" s="3"/>
      <c r="AP36" s="3"/>
      <c r="AQ36" s="9"/>
      <c r="AR36" s="3"/>
      <c r="AS36" s="9"/>
      <c r="AT36" s="9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9"/>
      <c r="BI36" s="9"/>
      <c r="BJ36" s="9"/>
      <c r="BK36" s="11"/>
      <c r="BL36" s="11"/>
      <c r="BM36" s="9"/>
      <c r="BN36" s="9"/>
      <c r="BO36" s="3"/>
    </row>
    <row r="37" spans="1:67">
      <c r="A37" s="3"/>
      <c r="B37" s="3"/>
      <c r="C37" s="4"/>
      <c r="D37" s="7"/>
      <c r="E37" s="4"/>
      <c r="F37" s="9"/>
      <c r="G37" s="4"/>
      <c r="H37" s="4"/>
      <c r="I37" s="3"/>
      <c r="J37" s="3"/>
      <c r="K37" s="9"/>
      <c r="L37" s="3"/>
      <c r="M37" s="3"/>
      <c r="N37" s="3"/>
      <c r="O37" s="3"/>
      <c r="P37" s="3"/>
      <c r="Q37" s="3"/>
      <c r="R37" s="3"/>
      <c r="S37" s="3"/>
      <c r="T37" s="3"/>
      <c r="U37" s="9"/>
      <c r="V37" s="9"/>
      <c r="W37" s="3"/>
      <c r="X37" s="9"/>
      <c r="Y37" s="3"/>
      <c r="Z37" s="3"/>
      <c r="AA37" s="9"/>
      <c r="AB37" s="3"/>
      <c r="AC37" s="3"/>
      <c r="AD37" s="3"/>
      <c r="AE37" s="3"/>
      <c r="AF37" s="9"/>
      <c r="AG37" s="4"/>
      <c r="AH37" s="9"/>
      <c r="AI37" s="3"/>
      <c r="AJ37" s="9"/>
      <c r="AK37" s="9"/>
      <c r="AL37" s="9"/>
      <c r="AM37" s="9"/>
      <c r="AN37" s="9"/>
      <c r="AO37" s="3"/>
      <c r="AP37" s="3"/>
      <c r="AQ37" s="9"/>
      <c r="AR37" s="3"/>
      <c r="AS37" s="9"/>
      <c r="AT37" s="9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9"/>
      <c r="BI37" s="9"/>
      <c r="BJ37" s="9"/>
      <c r="BK37" s="11"/>
      <c r="BL37" s="11"/>
      <c r="BM37" s="9"/>
      <c r="BN37" s="9"/>
      <c r="BO37" s="3"/>
    </row>
    <row r="38" spans="1:67">
      <c r="A38" s="3"/>
      <c r="B38" s="3"/>
      <c r="C38" s="4"/>
      <c r="D38" s="7"/>
      <c r="E38" s="4"/>
      <c r="F38" s="9"/>
      <c r="G38" s="4"/>
      <c r="H38" s="4"/>
      <c r="I38" s="3"/>
      <c r="J38" s="3"/>
      <c r="K38" s="9"/>
      <c r="L38" s="3"/>
      <c r="M38" s="3"/>
      <c r="N38" s="3"/>
      <c r="O38" s="3"/>
      <c r="P38" s="3"/>
      <c r="Q38" s="3"/>
      <c r="R38" s="3"/>
      <c r="S38" s="3"/>
      <c r="T38" s="3"/>
      <c r="U38" s="9"/>
      <c r="V38" s="9"/>
      <c r="W38" s="3"/>
      <c r="X38" s="9"/>
      <c r="Y38" s="3"/>
      <c r="Z38" s="3"/>
      <c r="AA38" s="9"/>
      <c r="AB38" s="3"/>
      <c r="AC38" s="3"/>
      <c r="AD38" s="3"/>
      <c r="AE38" s="3"/>
      <c r="AF38" s="9"/>
      <c r="AG38" s="4"/>
      <c r="AH38" s="9"/>
      <c r="AI38" s="3"/>
      <c r="AJ38" s="9"/>
      <c r="AK38" s="9"/>
      <c r="AL38" s="9"/>
      <c r="AM38" s="9"/>
      <c r="AN38" s="9"/>
      <c r="AO38" s="3"/>
      <c r="AP38" s="3"/>
      <c r="AQ38" s="9"/>
      <c r="AR38" s="3"/>
      <c r="AS38" s="9"/>
      <c r="AT38" s="9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9"/>
      <c r="BI38" s="9"/>
      <c r="BJ38" s="9"/>
      <c r="BK38" s="11"/>
      <c r="BL38" s="11"/>
      <c r="BM38" s="9"/>
      <c r="BN38" s="9"/>
      <c r="BO38" s="3"/>
    </row>
    <row r="39" spans="1:67">
      <c r="A39" s="3"/>
      <c r="B39" s="3"/>
      <c r="C39" s="4"/>
      <c r="D39" s="7"/>
      <c r="E39" s="4"/>
      <c r="F39" s="9"/>
      <c r="G39" s="4"/>
      <c r="H39" s="4"/>
      <c r="I39" s="3"/>
      <c r="J39" s="3"/>
      <c r="K39" s="9"/>
      <c r="L39" s="3"/>
      <c r="M39" s="3"/>
      <c r="N39" s="3"/>
      <c r="O39" s="3"/>
      <c r="P39" s="3"/>
      <c r="Q39" s="3"/>
      <c r="R39" s="3"/>
      <c r="S39" s="3"/>
      <c r="T39" s="3"/>
      <c r="U39" s="9"/>
      <c r="V39" s="9"/>
      <c r="W39" s="3"/>
      <c r="X39" s="9"/>
      <c r="Y39" s="3"/>
      <c r="Z39" s="3"/>
      <c r="AA39" s="9"/>
      <c r="AB39" s="3"/>
      <c r="AC39" s="3"/>
      <c r="AD39" s="3"/>
      <c r="AE39" s="3"/>
      <c r="AF39" s="9"/>
      <c r="AG39" s="4"/>
      <c r="AH39" s="9"/>
      <c r="AI39" s="3"/>
      <c r="AJ39" s="9"/>
      <c r="AK39" s="9"/>
      <c r="AL39" s="9"/>
      <c r="AM39" s="9"/>
      <c r="AN39" s="9"/>
      <c r="AO39" s="3"/>
      <c r="AP39" s="3"/>
      <c r="AQ39" s="9"/>
      <c r="AR39" s="3"/>
      <c r="AS39" s="9"/>
      <c r="AT39" s="9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9"/>
      <c r="BI39" s="9"/>
      <c r="BJ39" s="9"/>
      <c r="BK39" s="11"/>
      <c r="BL39" s="11"/>
      <c r="BM39" s="9"/>
      <c r="BN39" s="9"/>
      <c r="BO39" s="3"/>
    </row>
    <row r="40" spans="1:67">
      <c r="A40" s="3"/>
      <c r="B40" s="3"/>
      <c r="C40" s="4"/>
      <c r="D40" s="7"/>
      <c r="E40" s="4"/>
      <c r="F40" s="9"/>
      <c r="G40" s="4"/>
      <c r="H40" s="4"/>
      <c r="I40" s="3"/>
      <c r="J40" s="3"/>
      <c r="K40" s="9"/>
      <c r="L40" s="3"/>
      <c r="M40" s="3"/>
      <c r="N40" s="3"/>
      <c r="O40" s="3"/>
      <c r="P40" s="3"/>
      <c r="Q40" s="3"/>
      <c r="R40" s="3"/>
      <c r="S40" s="3"/>
      <c r="T40" s="3"/>
      <c r="U40" s="9"/>
      <c r="V40" s="9"/>
      <c r="W40" s="3"/>
      <c r="X40" s="9"/>
      <c r="Y40" s="3"/>
      <c r="Z40" s="3"/>
      <c r="AA40" s="9"/>
      <c r="AB40" s="3"/>
      <c r="AC40" s="3"/>
      <c r="AD40" s="3"/>
      <c r="AE40" s="3"/>
      <c r="AF40" s="9"/>
      <c r="AG40" s="4"/>
      <c r="AH40" s="9"/>
      <c r="AI40" s="3"/>
      <c r="AJ40" s="9"/>
      <c r="AK40" s="9"/>
      <c r="AL40" s="9"/>
      <c r="AM40" s="9"/>
      <c r="AN40" s="9"/>
      <c r="AO40" s="3"/>
      <c r="AP40" s="3"/>
      <c r="AQ40" s="9"/>
      <c r="AR40" s="3"/>
      <c r="AS40" s="9"/>
      <c r="AT40" s="9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9"/>
      <c r="BI40" s="9"/>
      <c r="BJ40" s="9"/>
      <c r="BK40" s="11"/>
      <c r="BL40" s="11"/>
      <c r="BM40" s="9"/>
      <c r="BN40" s="9"/>
      <c r="BO40" s="3"/>
    </row>
    <row r="41" spans="1:67">
      <c r="A41" s="3"/>
      <c r="B41" s="3"/>
      <c r="C41" s="4"/>
      <c r="D41" s="7"/>
      <c r="E41" s="4"/>
      <c r="F41" s="9"/>
      <c r="G41" s="4"/>
      <c r="H41" s="4"/>
      <c r="I41" s="3"/>
      <c r="J41" s="3"/>
      <c r="K41" s="9"/>
      <c r="L41" s="3"/>
      <c r="M41" s="3"/>
      <c r="N41" s="3"/>
      <c r="O41" s="3"/>
      <c r="P41" s="3"/>
      <c r="Q41" s="3"/>
      <c r="R41" s="3"/>
      <c r="S41" s="3"/>
      <c r="T41" s="3"/>
      <c r="U41" s="9"/>
      <c r="V41" s="9"/>
      <c r="W41" s="3"/>
      <c r="X41" s="9"/>
      <c r="Y41" s="3"/>
      <c r="Z41" s="3"/>
      <c r="AA41" s="9"/>
      <c r="AB41" s="3"/>
      <c r="AC41" s="3"/>
      <c r="AD41" s="3"/>
      <c r="AE41" s="3"/>
      <c r="AF41" s="9"/>
      <c r="AG41" s="4"/>
      <c r="AH41" s="9"/>
      <c r="AI41" s="3"/>
      <c r="AJ41" s="9"/>
      <c r="AK41" s="9"/>
      <c r="AL41" s="9"/>
      <c r="AM41" s="9"/>
      <c r="AN41" s="9"/>
      <c r="AO41" s="3"/>
      <c r="AP41" s="3"/>
      <c r="AQ41" s="9"/>
      <c r="AR41" s="3"/>
      <c r="AS41" s="9"/>
      <c r="AT41" s="9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9"/>
      <c r="BI41" s="9"/>
      <c r="BJ41" s="9"/>
      <c r="BK41" s="11"/>
      <c r="BL41" s="11"/>
      <c r="BM41" s="9"/>
      <c r="BN41" s="9"/>
      <c r="BO41" s="3"/>
    </row>
    <row r="42" spans="1:67">
      <c r="A42" s="3"/>
      <c r="B42" s="3"/>
      <c r="C42" s="4"/>
      <c r="D42" s="7"/>
      <c r="E42" s="4"/>
      <c r="F42" s="9"/>
      <c r="G42" s="4"/>
      <c r="H42" s="4"/>
      <c r="I42" s="3"/>
      <c r="J42" s="3"/>
      <c r="K42" s="9"/>
      <c r="L42" s="3"/>
      <c r="M42" s="3"/>
      <c r="N42" s="3"/>
      <c r="O42" s="3"/>
      <c r="P42" s="3"/>
      <c r="Q42" s="3"/>
      <c r="R42" s="3"/>
      <c r="S42" s="3"/>
      <c r="T42" s="3"/>
      <c r="U42" s="9"/>
      <c r="V42" s="9"/>
      <c r="W42" s="3"/>
      <c r="X42" s="9"/>
      <c r="Y42" s="3"/>
      <c r="Z42" s="3"/>
      <c r="AA42" s="9"/>
      <c r="AB42" s="3"/>
      <c r="AC42" s="3"/>
      <c r="AD42" s="3"/>
      <c r="AE42" s="3"/>
      <c r="AF42" s="9"/>
      <c r="AG42" s="4"/>
      <c r="AH42" s="9"/>
      <c r="AI42" s="3"/>
      <c r="AJ42" s="9"/>
      <c r="AK42" s="9"/>
      <c r="AL42" s="9"/>
      <c r="AM42" s="9"/>
      <c r="AN42" s="9"/>
      <c r="AO42" s="3"/>
      <c r="AP42" s="3"/>
      <c r="AQ42" s="9"/>
      <c r="AR42" s="3"/>
      <c r="AS42" s="9"/>
      <c r="AT42" s="9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9"/>
      <c r="BI42" s="9"/>
      <c r="BJ42" s="9"/>
      <c r="BK42" s="11"/>
      <c r="BL42" s="11"/>
      <c r="BM42" s="9"/>
      <c r="BN42" s="9"/>
      <c r="BO42" s="3"/>
    </row>
    <row r="43" spans="1:67">
      <c r="A43" s="3"/>
      <c r="B43" s="3"/>
      <c r="C43" s="4"/>
      <c r="D43" s="7"/>
      <c r="E43" s="4"/>
      <c r="F43" s="9"/>
      <c r="G43" s="4"/>
      <c r="H43" s="4"/>
      <c r="I43" s="3"/>
      <c r="J43" s="3"/>
      <c r="K43" s="9"/>
      <c r="L43" s="3"/>
      <c r="M43" s="3"/>
      <c r="N43" s="3"/>
      <c r="O43" s="3"/>
      <c r="P43" s="3"/>
      <c r="Q43" s="3"/>
      <c r="R43" s="3"/>
      <c r="S43" s="3"/>
      <c r="T43" s="3"/>
      <c r="U43" s="9"/>
      <c r="V43" s="9"/>
      <c r="W43" s="3"/>
      <c r="X43" s="9"/>
      <c r="Y43" s="3"/>
      <c r="Z43" s="3"/>
      <c r="AA43" s="9"/>
      <c r="AB43" s="3"/>
      <c r="AC43" s="3"/>
      <c r="AD43" s="3"/>
      <c r="AE43" s="3"/>
      <c r="AF43" s="9"/>
      <c r="AG43" s="4"/>
      <c r="AH43" s="9"/>
      <c r="AI43" s="3"/>
      <c r="AJ43" s="9"/>
      <c r="AK43" s="9"/>
      <c r="AL43" s="9"/>
      <c r="AM43" s="9"/>
      <c r="AN43" s="9"/>
      <c r="AO43" s="3"/>
      <c r="AP43" s="3"/>
      <c r="AQ43" s="9"/>
      <c r="AR43" s="3"/>
      <c r="AS43" s="9"/>
      <c r="AT43" s="9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9"/>
      <c r="BI43" s="9"/>
      <c r="BJ43" s="9"/>
      <c r="BK43" s="11"/>
      <c r="BL43" s="11"/>
      <c r="BM43" s="9"/>
      <c r="BN43" s="9"/>
      <c r="BO43" s="3"/>
    </row>
    <row r="44" spans="1:67">
      <c r="A44" s="3"/>
      <c r="B44" s="3"/>
      <c r="C44" s="4"/>
      <c r="D44" s="7"/>
      <c r="E44" s="4"/>
      <c r="F44" s="9"/>
      <c r="G44" s="4"/>
      <c r="H44" s="4"/>
      <c r="I44" s="3"/>
      <c r="J44" s="3"/>
      <c r="K44" s="9"/>
      <c r="L44" s="3"/>
      <c r="M44" s="3"/>
      <c r="N44" s="3"/>
      <c r="O44" s="3"/>
      <c r="P44" s="3"/>
      <c r="Q44" s="3"/>
      <c r="R44" s="3"/>
      <c r="S44" s="3"/>
      <c r="T44" s="3"/>
      <c r="U44" s="9"/>
      <c r="V44" s="9"/>
      <c r="W44" s="3"/>
      <c r="X44" s="9"/>
      <c r="Y44" s="3"/>
      <c r="Z44" s="3"/>
      <c r="AA44" s="9"/>
      <c r="AB44" s="3"/>
      <c r="AC44" s="3"/>
      <c r="AD44" s="3"/>
      <c r="AE44" s="3"/>
      <c r="AF44" s="9"/>
      <c r="AG44" s="4"/>
      <c r="AH44" s="9"/>
      <c r="AI44" s="3"/>
      <c r="AJ44" s="9"/>
      <c r="AK44" s="9"/>
      <c r="AL44" s="9"/>
      <c r="AM44" s="9"/>
      <c r="AN44" s="9"/>
      <c r="AO44" s="3"/>
      <c r="AP44" s="3"/>
      <c r="AQ44" s="9"/>
      <c r="AR44" s="3"/>
      <c r="AS44" s="9"/>
      <c r="AT44" s="9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9"/>
      <c r="BI44" s="9"/>
      <c r="BJ44" s="9"/>
      <c r="BK44" s="11"/>
      <c r="BL44" s="11"/>
      <c r="BM44" s="9"/>
      <c r="BN44" s="9"/>
      <c r="BO44" s="3"/>
    </row>
    <row r="45" spans="1:67">
      <c r="A45" s="3"/>
      <c r="B45" s="3"/>
      <c r="C45" s="4"/>
      <c r="D45" s="7"/>
      <c r="E45" s="4"/>
      <c r="F45" s="9"/>
      <c r="G45" s="4"/>
      <c r="H45" s="4"/>
      <c r="I45" s="3"/>
      <c r="J45" s="3"/>
      <c r="K45" s="9"/>
      <c r="L45" s="3"/>
      <c r="M45" s="3"/>
      <c r="N45" s="3"/>
      <c r="O45" s="3"/>
      <c r="P45" s="3"/>
      <c r="Q45" s="3"/>
      <c r="R45" s="3"/>
      <c r="S45" s="3"/>
      <c r="T45" s="3"/>
      <c r="U45" s="9"/>
      <c r="V45" s="9"/>
      <c r="W45" s="3"/>
      <c r="X45" s="9"/>
      <c r="Y45" s="3"/>
      <c r="Z45" s="3"/>
      <c r="AA45" s="9"/>
      <c r="AB45" s="3"/>
      <c r="AC45" s="3"/>
      <c r="AD45" s="3"/>
      <c r="AE45" s="3"/>
      <c r="AF45" s="9"/>
      <c r="AG45" s="4"/>
      <c r="AH45" s="9"/>
      <c r="AI45" s="3"/>
      <c r="AJ45" s="9"/>
      <c r="AK45" s="9"/>
      <c r="AL45" s="9"/>
      <c r="AM45" s="9"/>
      <c r="AN45" s="9"/>
      <c r="AO45" s="3"/>
      <c r="AP45" s="3"/>
      <c r="AQ45" s="9"/>
      <c r="AR45" s="3"/>
      <c r="AS45" s="9"/>
      <c r="AT45" s="9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9"/>
      <c r="BI45" s="9"/>
      <c r="BJ45" s="9"/>
      <c r="BK45" s="11"/>
      <c r="BL45" s="11"/>
      <c r="BM45" s="9"/>
      <c r="BN45" s="9"/>
      <c r="BO45" s="3"/>
    </row>
    <row r="46" spans="1:67">
      <c r="A46" s="3"/>
      <c r="B46" s="3"/>
      <c r="C46" s="4"/>
      <c r="D46" s="7"/>
      <c r="E46" s="4"/>
      <c r="F46" s="9"/>
      <c r="G46" s="4"/>
      <c r="H46" s="4"/>
      <c r="I46" s="3"/>
      <c r="J46" s="3"/>
      <c r="K46" s="9"/>
      <c r="L46" s="3"/>
      <c r="M46" s="3"/>
      <c r="N46" s="3"/>
      <c r="O46" s="3"/>
      <c r="P46" s="3"/>
      <c r="Q46" s="3"/>
      <c r="R46" s="3"/>
      <c r="S46" s="3"/>
      <c r="T46" s="3"/>
      <c r="U46" s="9"/>
      <c r="V46" s="9"/>
      <c r="W46" s="3"/>
      <c r="X46" s="9"/>
      <c r="Y46" s="3"/>
      <c r="Z46" s="3"/>
      <c r="AA46" s="9"/>
      <c r="AB46" s="3"/>
      <c r="AC46" s="3"/>
      <c r="AD46" s="3"/>
      <c r="AE46" s="3"/>
      <c r="AF46" s="9"/>
      <c r="AG46" s="4"/>
      <c r="AH46" s="9"/>
      <c r="AI46" s="3"/>
      <c r="AJ46" s="9"/>
      <c r="AK46" s="9"/>
      <c r="AL46" s="9"/>
      <c r="AM46" s="9"/>
      <c r="AN46" s="9"/>
      <c r="AO46" s="3"/>
      <c r="AP46" s="3"/>
      <c r="AQ46" s="9"/>
      <c r="AR46" s="3"/>
      <c r="AS46" s="9"/>
      <c r="AT46" s="9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9"/>
      <c r="BI46" s="9"/>
      <c r="BJ46" s="9"/>
      <c r="BK46" s="11"/>
      <c r="BL46" s="11"/>
      <c r="BM46" s="9"/>
      <c r="BN46" s="9"/>
      <c r="BO46" s="3"/>
    </row>
    <row r="47" spans="1:67">
      <c r="A47" s="3"/>
      <c r="B47" s="3"/>
      <c r="C47" s="4"/>
      <c r="D47" s="7"/>
      <c r="E47" s="4"/>
      <c r="F47" s="9"/>
      <c r="G47" s="4"/>
      <c r="H47" s="4"/>
      <c r="I47" s="3"/>
      <c r="J47" s="3"/>
      <c r="K47" s="9"/>
      <c r="L47" s="3"/>
      <c r="M47" s="3"/>
      <c r="N47" s="3"/>
      <c r="O47" s="3"/>
      <c r="P47" s="3"/>
      <c r="Q47" s="3"/>
      <c r="R47" s="3"/>
      <c r="S47" s="3"/>
      <c r="T47" s="3"/>
      <c r="U47" s="9"/>
      <c r="V47" s="9"/>
      <c r="W47" s="3"/>
      <c r="X47" s="9"/>
      <c r="Y47" s="3"/>
      <c r="Z47" s="3"/>
      <c r="AA47" s="9"/>
      <c r="AB47" s="3"/>
      <c r="AC47" s="3"/>
      <c r="AD47" s="3"/>
      <c r="AE47" s="3"/>
      <c r="AF47" s="9"/>
      <c r="AG47" s="4"/>
      <c r="AH47" s="9"/>
      <c r="AI47" s="3"/>
      <c r="AJ47" s="9"/>
      <c r="AK47" s="9"/>
      <c r="AL47" s="9"/>
      <c r="AM47" s="9"/>
      <c r="AN47" s="9"/>
      <c r="AO47" s="3"/>
      <c r="AP47" s="3"/>
      <c r="AQ47" s="9"/>
      <c r="AR47" s="3"/>
      <c r="AS47" s="9"/>
      <c r="AT47" s="9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9"/>
      <c r="BI47" s="9"/>
      <c r="BJ47" s="9"/>
      <c r="BK47" s="11"/>
      <c r="BL47" s="11"/>
      <c r="BM47" s="9"/>
      <c r="BN47" s="9"/>
      <c r="BO47" s="3"/>
    </row>
    <row r="48" spans="1:67">
      <c r="A48" s="3"/>
      <c r="B48" s="3"/>
      <c r="C48" s="4"/>
      <c r="D48" s="7"/>
      <c r="E48" s="4"/>
      <c r="F48" s="9"/>
      <c r="G48" s="4"/>
      <c r="H48" s="4"/>
      <c r="I48" s="3"/>
      <c r="J48" s="3"/>
      <c r="K48" s="9"/>
      <c r="L48" s="3"/>
      <c r="M48" s="3"/>
      <c r="N48" s="3"/>
      <c r="O48" s="3"/>
      <c r="P48" s="3"/>
      <c r="Q48" s="3"/>
      <c r="R48" s="3"/>
      <c r="S48" s="3"/>
      <c r="T48" s="3"/>
      <c r="U48" s="9"/>
      <c r="V48" s="9"/>
      <c r="W48" s="3"/>
      <c r="X48" s="9"/>
      <c r="Y48" s="3"/>
      <c r="Z48" s="3"/>
      <c r="AA48" s="9"/>
      <c r="AB48" s="3"/>
      <c r="AC48" s="3"/>
      <c r="AD48" s="3"/>
      <c r="AE48" s="3"/>
      <c r="AF48" s="9"/>
      <c r="AG48" s="4"/>
      <c r="AH48" s="9"/>
      <c r="AI48" s="3"/>
      <c r="AJ48" s="9"/>
      <c r="AK48" s="9"/>
      <c r="AL48" s="9"/>
      <c r="AM48" s="9"/>
      <c r="AN48" s="9"/>
      <c r="AO48" s="3"/>
      <c r="AP48" s="3"/>
      <c r="AQ48" s="9"/>
      <c r="AR48" s="3"/>
      <c r="AS48" s="9"/>
      <c r="AT48" s="9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9"/>
      <c r="BI48" s="9"/>
      <c r="BJ48" s="9"/>
      <c r="BK48" s="11"/>
      <c r="BL48" s="11"/>
      <c r="BM48" s="9"/>
      <c r="BN48" s="9"/>
      <c r="BO48" s="3"/>
    </row>
    <row r="49" spans="1:67">
      <c r="A49" s="3"/>
      <c r="B49" s="3"/>
      <c r="C49" s="4"/>
      <c r="D49" s="7"/>
      <c r="E49" s="4"/>
      <c r="F49" s="9"/>
      <c r="G49" s="4"/>
      <c r="H49" s="4"/>
      <c r="I49" s="3"/>
      <c r="J49" s="3"/>
      <c r="K49" s="9"/>
      <c r="L49" s="3"/>
      <c r="M49" s="3"/>
      <c r="N49" s="3"/>
      <c r="O49" s="3"/>
      <c r="P49" s="3"/>
      <c r="Q49" s="3"/>
      <c r="R49" s="3"/>
      <c r="S49" s="3"/>
      <c r="T49" s="3"/>
      <c r="U49" s="9"/>
      <c r="V49" s="9"/>
      <c r="W49" s="3"/>
      <c r="X49" s="9"/>
      <c r="Y49" s="3"/>
      <c r="Z49" s="3"/>
      <c r="AA49" s="9"/>
      <c r="AB49" s="3"/>
      <c r="AC49" s="3"/>
      <c r="AD49" s="3"/>
      <c r="AE49" s="3"/>
      <c r="AF49" s="9"/>
      <c r="AG49" s="4"/>
      <c r="AH49" s="9"/>
      <c r="AI49" s="3"/>
      <c r="AJ49" s="9"/>
      <c r="AK49" s="9"/>
      <c r="AL49" s="9"/>
      <c r="AM49" s="9"/>
      <c r="AN49" s="9"/>
      <c r="AO49" s="3"/>
      <c r="AP49" s="3"/>
      <c r="AQ49" s="9"/>
      <c r="AR49" s="3"/>
      <c r="AS49" s="9"/>
      <c r="AT49" s="9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9"/>
      <c r="BI49" s="9"/>
      <c r="BJ49" s="9"/>
      <c r="BK49" s="11"/>
      <c r="BL49" s="11"/>
      <c r="BM49" s="9"/>
      <c r="BN49" s="9"/>
      <c r="BO49" s="3"/>
    </row>
    <row r="50" spans="1:67">
      <c r="A50" s="3"/>
      <c r="B50" s="3"/>
      <c r="C50" s="4"/>
      <c r="D50" s="7"/>
      <c r="E50" s="4"/>
      <c r="F50" s="9"/>
      <c r="G50" s="4"/>
      <c r="H50" s="4"/>
      <c r="I50" s="3"/>
      <c r="J50" s="3"/>
      <c r="K50" s="9"/>
      <c r="L50" s="3"/>
      <c r="M50" s="3"/>
      <c r="N50" s="3"/>
      <c r="O50" s="3"/>
      <c r="P50" s="3"/>
      <c r="Q50" s="3"/>
      <c r="R50" s="3"/>
      <c r="S50" s="3"/>
      <c r="T50" s="3"/>
      <c r="U50" s="9"/>
      <c r="V50" s="9"/>
      <c r="W50" s="3"/>
      <c r="X50" s="9"/>
      <c r="Y50" s="3"/>
      <c r="Z50" s="3"/>
      <c r="AA50" s="9"/>
      <c r="AB50" s="3"/>
      <c r="AC50" s="3"/>
      <c r="AD50" s="3"/>
      <c r="AE50" s="3"/>
      <c r="AF50" s="9"/>
      <c r="AG50" s="4"/>
      <c r="AH50" s="9"/>
      <c r="AI50" s="3"/>
      <c r="AJ50" s="9"/>
      <c r="AK50" s="9"/>
      <c r="AL50" s="9"/>
      <c r="AM50" s="9"/>
      <c r="AN50" s="9"/>
      <c r="AO50" s="3"/>
      <c r="AP50" s="3"/>
      <c r="AQ50" s="9"/>
      <c r="AR50" s="3"/>
      <c r="AS50" s="9"/>
      <c r="AT50" s="9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9"/>
      <c r="BI50" s="9"/>
      <c r="BJ50" s="9"/>
      <c r="BK50" s="11"/>
      <c r="BL50" s="11"/>
      <c r="BM50" s="9"/>
      <c r="BN50" s="9"/>
      <c r="BO50" s="3"/>
    </row>
    <row r="51" spans="1:67">
      <c r="A51" s="3"/>
      <c r="B51" s="3"/>
      <c r="C51" s="4"/>
      <c r="D51" s="7"/>
      <c r="E51" s="4"/>
      <c r="F51" s="9"/>
      <c r="G51" s="4"/>
      <c r="H51" s="4"/>
      <c r="I51" s="3"/>
      <c r="J51" s="3"/>
      <c r="K51" s="9"/>
      <c r="L51" s="3"/>
      <c r="M51" s="3"/>
      <c r="N51" s="3"/>
      <c r="O51" s="3"/>
      <c r="P51" s="3"/>
      <c r="Q51" s="3"/>
      <c r="R51" s="3"/>
      <c r="S51" s="3"/>
      <c r="T51" s="3"/>
      <c r="U51" s="9"/>
      <c r="V51" s="9"/>
      <c r="W51" s="3"/>
      <c r="X51" s="9"/>
      <c r="Y51" s="3"/>
      <c r="Z51" s="3"/>
      <c r="AA51" s="9"/>
      <c r="AB51" s="3"/>
      <c r="AC51" s="3"/>
      <c r="AD51" s="3"/>
      <c r="AE51" s="3"/>
      <c r="AF51" s="9"/>
      <c r="AG51" s="4"/>
      <c r="AH51" s="9"/>
      <c r="AI51" s="3"/>
      <c r="AJ51" s="9"/>
      <c r="AK51" s="9"/>
      <c r="AL51" s="9"/>
      <c r="AM51" s="9"/>
      <c r="AN51" s="9"/>
      <c r="AO51" s="3"/>
      <c r="AP51" s="3"/>
      <c r="AQ51" s="9"/>
      <c r="AR51" s="3"/>
      <c r="AS51" s="9"/>
      <c r="AT51" s="9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9"/>
      <c r="BI51" s="9"/>
      <c r="BJ51" s="9"/>
      <c r="BK51" s="11"/>
      <c r="BL51" s="11"/>
      <c r="BM51" s="9"/>
      <c r="BN51" s="9"/>
      <c r="BO51" s="3"/>
    </row>
    <row r="52" spans="1:67">
      <c r="A52" s="3"/>
      <c r="B52" s="3"/>
      <c r="C52" s="4"/>
      <c r="D52" s="7"/>
      <c r="E52" s="4"/>
      <c r="F52" s="9"/>
      <c r="G52" s="4"/>
      <c r="H52" s="4"/>
      <c r="I52" s="3"/>
      <c r="J52" s="3"/>
      <c r="K52" s="9"/>
      <c r="L52" s="3"/>
      <c r="M52" s="3"/>
      <c r="N52" s="3"/>
      <c r="O52" s="3"/>
      <c r="P52" s="3"/>
      <c r="Q52" s="3"/>
      <c r="R52" s="3"/>
      <c r="S52" s="3"/>
      <c r="T52" s="3"/>
      <c r="U52" s="9"/>
      <c r="V52" s="9"/>
      <c r="W52" s="3"/>
      <c r="X52" s="9"/>
      <c r="Y52" s="3"/>
      <c r="Z52" s="3"/>
      <c r="AA52" s="9"/>
      <c r="AB52" s="3"/>
      <c r="AC52" s="3"/>
      <c r="AD52" s="3"/>
      <c r="AE52" s="3"/>
      <c r="AF52" s="9"/>
      <c r="AG52" s="4"/>
      <c r="AH52" s="9"/>
      <c r="AI52" s="3"/>
      <c r="AJ52" s="9"/>
      <c r="AK52" s="9"/>
      <c r="AL52" s="9"/>
      <c r="AM52" s="9"/>
      <c r="AN52" s="9"/>
      <c r="AO52" s="3"/>
      <c r="AP52" s="3"/>
      <c r="AQ52" s="9"/>
      <c r="AR52" s="3"/>
      <c r="AS52" s="9"/>
      <c r="AT52" s="9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9"/>
      <c r="BI52" s="9"/>
      <c r="BJ52" s="9"/>
      <c r="BK52" s="11"/>
      <c r="BL52" s="11"/>
      <c r="BM52" s="9"/>
      <c r="BN52" s="9"/>
      <c r="BO52" s="3"/>
    </row>
    <row r="53" spans="1:67">
      <c r="A53" s="3"/>
      <c r="B53" s="3"/>
      <c r="C53" s="4"/>
      <c r="D53" s="7"/>
      <c r="E53" s="4"/>
      <c r="F53" s="9"/>
      <c r="G53" s="4"/>
      <c r="H53" s="4"/>
      <c r="I53" s="3"/>
      <c r="J53" s="3"/>
      <c r="K53" s="9"/>
      <c r="L53" s="3"/>
      <c r="M53" s="3"/>
      <c r="N53" s="3"/>
      <c r="O53" s="3"/>
      <c r="P53" s="3"/>
      <c r="Q53" s="3"/>
      <c r="R53" s="3"/>
      <c r="S53" s="3"/>
      <c r="T53" s="3"/>
      <c r="U53" s="9"/>
      <c r="V53" s="9"/>
      <c r="W53" s="3"/>
      <c r="X53" s="9"/>
      <c r="Y53" s="3"/>
      <c r="Z53" s="3"/>
      <c r="AA53" s="9"/>
      <c r="AB53" s="3"/>
      <c r="AC53" s="3"/>
      <c r="AD53" s="3"/>
      <c r="AE53" s="3"/>
      <c r="AF53" s="9"/>
      <c r="AG53" s="4"/>
      <c r="AH53" s="9"/>
      <c r="AI53" s="3"/>
      <c r="AJ53" s="9"/>
      <c r="AK53" s="9"/>
      <c r="AL53" s="9"/>
      <c r="AM53" s="9"/>
      <c r="AN53" s="9"/>
      <c r="AO53" s="3"/>
      <c r="AP53" s="3"/>
      <c r="AQ53" s="9"/>
      <c r="AR53" s="3"/>
      <c r="AS53" s="9"/>
      <c r="AT53" s="9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9"/>
      <c r="BI53" s="9"/>
      <c r="BJ53" s="9"/>
      <c r="BK53" s="11"/>
      <c r="BL53" s="11"/>
      <c r="BM53" s="9"/>
      <c r="BN53" s="9"/>
      <c r="BO53" s="3"/>
    </row>
    <row r="54" spans="1:67">
      <c r="A54" s="3"/>
      <c r="B54" s="3"/>
      <c r="C54" s="4"/>
      <c r="D54" s="7"/>
      <c r="E54" s="4"/>
      <c r="F54" s="9"/>
      <c r="G54" s="4"/>
      <c r="H54" s="4"/>
      <c r="I54" s="3"/>
      <c r="J54" s="3"/>
      <c r="K54" s="9"/>
      <c r="L54" s="3"/>
      <c r="M54" s="3"/>
      <c r="N54" s="3"/>
      <c r="O54" s="3"/>
      <c r="P54" s="3"/>
      <c r="Q54" s="3"/>
      <c r="R54" s="3"/>
      <c r="S54" s="3"/>
      <c r="T54" s="3"/>
      <c r="U54" s="9"/>
      <c r="V54" s="9"/>
      <c r="W54" s="3"/>
      <c r="X54" s="9"/>
      <c r="Y54" s="3"/>
      <c r="Z54" s="3"/>
      <c r="AA54" s="9"/>
      <c r="AB54" s="3"/>
      <c r="AC54" s="3"/>
      <c r="AD54" s="3"/>
      <c r="AE54" s="3"/>
      <c r="AF54" s="9"/>
      <c r="AG54" s="4"/>
      <c r="AH54" s="9"/>
      <c r="AI54" s="3"/>
      <c r="AJ54" s="9"/>
      <c r="AK54" s="9"/>
      <c r="AL54" s="9"/>
      <c r="AM54" s="9"/>
      <c r="AN54" s="9"/>
      <c r="AO54" s="3"/>
      <c r="AP54" s="3"/>
      <c r="AQ54" s="9"/>
      <c r="AR54" s="3"/>
      <c r="AS54" s="9"/>
      <c r="AT54" s="9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9"/>
      <c r="BI54" s="9"/>
      <c r="BJ54" s="9"/>
      <c r="BK54" s="11"/>
      <c r="BL54" s="11"/>
      <c r="BM54" s="9"/>
      <c r="BN54" s="9"/>
      <c r="BO54" s="3"/>
    </row>
    <row r="55" spans="1:67">
      <c r="A55" s="3"/>
      <c r="B55" s="3"/>
      <c r="C55" s="4"/>
      <c r="D55" s="7"/>
      <c r="E55" s="4"/>
      <c r="F55" s="9"/>
      <c r="G55" s="4"/>
      <c r="H55" s="4"/>
      <c r="I55" s="3"/>
      <c r="J55" s="3"/>
      <c r="K55" s="9"/>
      <c r="L55" s="3"/>
      <c r="M55" s="3"/>
      <c r="N55" s="3"/>
      <c r="O55" s="3"/>
      <c r="P55" s="3"/>
      <c r="Q55" s="3"/>
      <c r="R55" s="3"/>
      <c r="S55" s="3"/>
      <c r="T55" s="3"/>
      <c r="U55" s="9"/>
      <c r="V55" s="9"/>
      <c r="W55" s="3"/>
      <c r="X55" s="9"/>
      <c r="Y55" s="3"/>
      <c r="Z55" s="3"/>
      <c r="AA55" s="9"/>
      <c r="AB55" s="3"/>
      <c r="AC55" s="3"/>
      <c r="AD55" s="3"/>
      <c r="AE55" s="3"/>
      <c r="AF55" s="9"/>
      <c r="AG55" s="4"/>
      <c r="AH55" s="9"/>
      <c r="AI55" s="3"/>
      <c r="AJ55" s="9"/>
      <c r="AK55" s="9"/>
      <c r="AL55" s="9"/>
      <c r="AM55" s="9"/>
      <c r="AN55" s="9"/>
      <c r="AO55" s="3"/>
      <c r="AP55" s="3"/>
      <c r="AQ55" s="9"/>
      <c r="AR55" s="3"/>
      <c r="AS55" s="9"/>
      <c r="AT55" s="9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9"/>
      <c r="BI55" s="9"/>
      <c r="BJ55" s="9"/>
      <c r="BK55" s="11"/>
      <c r="BL55" s="11"/>
      <c r="BM55" s="9"/>
      <c r="BN55" s="9"/>
      <c r="BO55" s="3"/>
    </row>
    <row r="56" spans="1:67">
      <c r="A56" s="3"/>
      <c r="B56" s="3"/>
      <c r="C56" s="4"/>
      <c r="D56" s="7"/>
      <c r="E56" s="4"/>
      <c r="F56" s="9"/>
      <c r="G56" s="4"/>
      <c r="H56" s="4"/>
      <c r="I56" s="3"/>
      <c r="J56" s="3"/>
      <c r="K56" s="9"/>
      <c r="L56" s="3"/>
      <c r="M56" s="3"/>
      <c r="N56" s="3"/>
      <c r="O56" s="3"/>
      <c r="P56" s="3"/>
      <c r="Q56" s="3"/>
      <c r="R56" s="3"/>
      <c r="S56" s="3"/>
      <c r="T56" s="3"/>
      <c r="U56" s="9"/>
      <c r="V56" s="9"/>
      <c r="W56" s="3"/>
      <c r="X56" s="9"/>
      <c r="Y56" s="3"/>
      <c r="Z56" s="3"/>
      <c r="AA56" s="9"/>
      <c r="AB56" s="3"/>
      <c r="AC56" s="3"/>
      <c r="AD56" s="3"/>
      <c r="AE56" s="3"/>
      <c r="AF56" s="9"/>
      <c r="AG56" s="4"/>
      <c r="AH56" s="9"/>
      <c r="AI56" s="3"/>
      <c r="AJ56" s="9"/>
      <c r="AK56" s="9"/>
      <c r="AL56" s="9"/>
      <c r="AM56" s="9"/>
      <c r="AN56" s="9"/>
      <c r="AO56" s="3"/>
      <c r="AP56" s="3"/>
      <c r="AQ56" s="9"/>
      <c r="AR56" s="3"/>
      <c r="AS56" s="9"/>
      <c r="AT56" s="9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9"/>
      <c r="BI56" s="9"/>
      <c r="BJ56" s="9"/>
      <c r="BK56" s="11"/>
      <c r="BL56" s="11"/>
      <c r="BM56" s="9"/>
      <c r="BN56" s="9"/>
      <c r="BO56" s="3"/>
    </row>
    <row r="57" spans="1:67">
      <c r="A57" s="3"/>
      <c r="B57" s="3"/>
      <c r="C57" s="4"/>
      <c r="D57" s="7"/>
      <c r="E57" s="4"/>
      <c r="F57" s="9"/>
      <c r="G57" s="4"/>
      <c r="H57" s="4"/>
      <c r="I57" s="3"/>
      <c r="J57" s="3"/>
      <c r="K57" s="9"/>
      <c r="L57" s="3"/>
      <c r="M57" s="3"/>
      <c r="N57" s="3"/>
      <c r="O57" s="3"/>
      <c r="P57" s="3"/>
      <c r="Q57" s="3"/>
      <c r="R57" s="3"/>
      <c r="S57" s="3"/>
      <c r="T57" s="3"/>
      <c r="U57" s="9"/>
      <c r="V57" s="9"/>
      <c r="W57" s="3"/>
      <c r="X57" s="9"/>
      <c r="Y57" s="3"/>
      <c r="Z57" s="3"/>
      <c r="AA57" s="9"/>
      <c r="AB57" s="3"/>
      <c r="AC57" s="3"/>
      <c r="AD57" s="3"/>
      <c r="AE57" s="3"/>
      <c r="AF57" s="9"/>
      <c r="AG57" s="4"/>
      <c r="AH57" s="9"/>
      <c r="AI57" s="3"/>
      <c r="AJ57" s="9"/>
      <c r="AK57" s="9"/>
      <c r="AL57" s="9"/>
      <c r="AM57" s="9"/>
      <c r="AN57" s="9"/>
      <c r="AO57" s="3"/>
      <c r="AP57" s="3"/>
      <c r="AQ57" s="9"/>
      <c r="AR57" s="3"/>
      <c r="AS57" s="9"/>
      <c r="AT57" s="9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9"/>
      <c r="BI57" s="9"/>
      <c r="BJ57" s="9"/>
      <c r="BK57" s="11"/>
      <c r="BL57" s="11"/>
      <c r="BM57" s="9"/>
      <c r="BN57" s="9"/>
      <c r="BO57" s="3"/>
    </row>
    <row r="58" spans="1:67">
      <c r="A58" s="3"/>
      <c r="B58" s="3"/>
      <c r="C58" s="4"/>
      <c r="D58" s="7"/>
      <c r="E58" s="4"/>
      <c r="F58" s="9"/>
      <c r="G58" s="4"/>
      <c r="H58" s="4"/>
      <c r="I58" s="3"/>
      <c r="J58" s="3"/>
      <c r="K58" s="9"/>
      <c r="L58" s="3"/>
      <c r="M58" s="3"/>
      <c r="N58" s="3"/>
      <c r="O58" s="3"/>
      <c r="P58" s="3"/>
      <c r="Q58" s="3"/>
      <c r="R58" s="3"/>
      <c r="S58" s="3"/>
      <c r="T58" s="3"/>
      <c r="U58" s="9"/>
      <c r="V58" s="9"/>
      <c r="W58" s="3"/>
      <c r="X58" s="9"/>
      <c r="Y58" s="3"/>
      <c r="Z58" s="3"/>
      <c r="AA58" s="9"/>
      <c r="AB58" s="3"/>
      <c r="AC58" s="3"/>
      <c r="AD58" s="3"/>
      <c r="AE58" s="3"/>
      <c r="AF58" s="9"/>
      <c r="AG58" s="4"/>
      <c r="AH58" s="9"/>
      <c r="AI58" s="3"/>
      <c r="AJ58" s="9"/>
      <c r="AK58" s="9"/>
      <c r="AL58" s="9"/>
      <c r="AM58" s="9"/>
      <c r="AN58" s="9"/>
      <c r="AO58" s="3"/>
      <c r="AP58" s="3"/>
      <c r="AQ58" s="9"/>
      <c r="AR58" s="3"/>
      <c r="AS58" s="9"/>
      <c r="AT58" s="9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9"/>
      <c r="BI58" s="9"/>
      <c r="BJ58" s="9"/>
      <c r="BK58" s="11"/>
      <c r="BL58" s="11"/>
      <c r="BM58" s="9"/>
      <c r="BN58" s="9"/>
      <c r="BO58" s="3"/>
    </row>
    <row r="59" spans="1:67">
      <c r="A59" s="3"/>
      <c r="B59" s="3"/>
      <c r="C59" s="4"/>
      <c r="D59" s="7"/>
      <c r="E59" s="4"/>
      <c r="F59" s="9"/>
      <c r="G59" s="4"/>
      <c r="H59" s="4"/>
      <c r="I59" s="3"/>
      <c r="J59" s="3"/>
      <c r="K59" s="9"/>
      <c r="L59" s="3"/>
      <c r="M59" s="3"/>
      <c r="N59" s="3"/>
      <c r="O59" s="3"/>
      <c r="P59" s="3"/>
      <c r="Q59" s="3"/>
      <c r="R59" s="3"/>
      <c r="S59" s="3"/>
      <c r="T59" s="3"/>
      <c r="U59" s="9"/>
      <c r="V59" s="9"/>
      <c r="W59" s="3"/>
      <c r="X59" s="9"/>
      <c r="Y59" s="3"/>
      <c r="Z59" s="3"/>
      <c r="AA59" s="9"/>
      <c r="AB59" s="3"/>
      <c r="AC59" s="3"/>
      <c r="AD59" s="3"/>
      <c r="AE59" s="3"/>
      <c r="AF59" s="9"/>
      <c r="AG59" s="4"/>
      <c r="AH59" s="9"/>
      <c r="AI59" s="3"/>
      <c r="AJ59" s="9"/>
      <c r="AK59" s="9"/>
      <c r="AL59" s="9"/>
      <c r="AM59" s="9"/>
      <c r="AN59" s="9"/>
      <c r="AO59" s="3"/>
      <c r="AP59" s="3"/>
      <c r="AQ59" s="9"/>
      <c r="AR59" s="3"/>
      <c r="AS59" s="9"/>
      <c r="AT59" s="9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9"/>
      <c r="BI59" s="9"/>
      <c r="BJ59" s="9"/>
      <c r="BK59" s="11"/>
      <c r="BL59" s="11"/>
      <c r="BM59" s="9"/>
      <c r="BN59" s="9"/>
      <c r="BO59" s="3"/>
    </row>
    <row r="60" spans="1:67">
      <c r="A60" s="3"/>
      <c r="B60" s="3"/>
      <c r="C60" s="4"/>
      <c r="D60" s="7"/>
      <c r="E60" s="4"/>
      <c r="F60" s="9"/>
      <c r="G60" s="4"/>
      <c r="H60" s="4"/>
      <c r="I60" s="3"/>
      <c r="J60" s="3"/>
      <c r="K60" s="9"/>
      <c r="L60" s="3"/>
      <c r="M60" s="3"/>
      <c r="N60" s="3"/>
      <c r="O60" s="3"/>
      <c r="P60" s="3"/>
      <c r="Q60" s="3"/>
      <c r="R60" s="3"/>
      <c r="S60" s="3"/>
      <c r="T60" s="3"/>
      <c r="U60" s="9"/>
      <c r="V60" s="9"/>
      <c r="W60" s="3"/>
      <c r="X60" s="9"/>
      <c r="Y60" s="3"/>
      <c r="Z60" s="3"/>
      <c r="AA60" s="9"/>
      <c r="AB60" s="3"/>
      <c r="AC60" s="3"/>
      <c r="AD60" s="3"/>
      <c r="AE60" s="3"/>
      <c r="AF60" s="9"/>
      <c r="AG60" s="4"/>
      <c r="AH60" s="9"/>
      <c r="AI60" s="3"/>
      <c r="AJ60" s="9"/>
      <c r="AK60" s="9"/>
      <c r="AL60" s="9"/>
      <c r="AM60" s="9"/>
      <c r="AN60" s="9"/>
      <c r="AO60" s="3"/>
      <c r="AP60" s="3"/>
      <c r="AQ60" s="9"/>
      <c r="AR60" s="3"/>
      <c r="AS60" s="9"/>
      <c r="AT60" s="9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9"/>
      <c r="BI60" s="9"/>
      <c r="BJ60" s="9"/>
      <c r="BK60" s="11"/>
      <c r="BL60" s="11"/>
      <c r="BM60" s="9"/>
      <c r="BN60" s="9"/>
      <c r="BO60" s="3"/>
    </row>
    <row r="61" spans="1:67">
      <c r="A61" s="3"/>
      <c r="B61" s="3"/>
      <c r="C61" s="4"/>
      <c r="D61" s="7"/>
      <c r="E61" s="4"/>
      <c r="F61" s="9"/>
      <c r="G61" s="4"/>
      <c r="H61" s="4"/>
      <c r="I61" s="3"/>
      <c r="J61" s="3"/>
      <c r="K61" s="9"/>
      <c r="L61" s="3"/>
      <c r="M61" s="3"/>
      <c r="N61" s="3"/>
      <c r="O61" s="3"/>
      <c r="P61" s="3"/>
      <c r="Q61" s="3"/>
      <c r="R61" s="3"/>
      <c r="S61" s="3"/>
      <c r="T61" s="3"/>
      <c r="U61" s="9"/>
      <c r="V61" s="9"/>
      <c r="W61" s="3"/>
      <c r="X61" s="9"/>
      <c r="Y61" s="3"/>
      <c r="Z61" s="3"/>
      <c r="AA61" s="9"/>
      <c r="AB61" s="3"/>
      <c r="AC61" s="3"/>
      <c r="AD61" s="3"/>
      <c r="AE61" s="3"/>
      <c r="AF61" s="9"/>
      <c r="AG61" s="4"/>
      <c r="AH61" s="9"/>
      <c r="AI61" s="3"/>
      <c r="AJ61" s="9"/>
      <c r="AK61" s="9"/>
      <c r="AL61" s="9"/>
      <c r="AM61" s="9"/>
      <c r="AN61" s="9"/>
      <c r="AO61" s="3"/>
      <c r="AP61" s="3"/>
      <c r="AQ61" s="9"/>
      <c r="AR61" s="3"/>
      <c r="AS61" s="9"/>
      <c r="AT61" s="9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9"/>
      <c r="BI61" s="9"/>
      <c r="BJ61" s="9"/>
      <c r="BK61" s="11"/>
      <c r="BL61" s="11"/>
      <c r="BM61" s="9"/>
      <c r="BN61" s="9"/>
      <c r="BO61" s="3"/>
    </row>
    <row r="62" spans="1:67">
      <c r="A62" s="3"/>
      <c r="B62" s="3"/>
      <c r="C62" s="4"/>
      <c r="D62" s="7"/>
      <c r="E62" s="4"/>
      <c r="F62" s="9"/>
      <c r="G62" s="4"/>
      <c r="H62" s="4"/>
      <c r="I62" s="3"/>
      <c r="J62" s="3"/>
      <c r="K62" s="9"/>
      <c r="L62" s="3"/>
      <c r="M62" s="3"/>
      <c r="N62" s="3"/>
      <c r="O62" s="3"/>
      <c r="P62" s="3"/>
      <c r="Q62" s="3"/>
      <c r="R62" s="3"/>
      <c r="S62" s="3"/>
      <c r="T62" s="3"/>
      <c r="U62" s="9"/>
      <c r="V62" s="9"/>
      <c r="W62" s="3"/>
      <c r="X62" s="9"/>
      <c r="Y62" s="3"/>
      <c r="Z62" s="3"/>
      <c r="AA62" s="9"/>
      <c r="AB62" s="3"/>
      <c r="AC62" s="3"/>
      <c r="AD62" s="3"/>
      <c r="AE62" s="3"/>
      <c r="AF62" s="9"/>
      <c r="AG62" s="4"/>
      <c r="AH62" s="9"/>
      <c r="AI62" s="3"/>
      <c r="AJ62" s="9"/>
      <c r="AK62" s="9"/>
      <c r="AL62" s="9"/>
      <c r="AM62" s="9"/>
      <c r="AN62" s="9"/>
      <c r="AO62" s="3"/>
      <c r="AP62" s="3"/>
      <c r="AQ62" s="9"/>
      <c r="AR62" s="3"/>
      <c r="AS62" s="9"/>
      <c r="AT62" s="9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9"/>
      <c r="BI62" s="9"/>
      <c r="BJ62" s="9"/>
      <c r="BK62" s="11"/>
      <c r="BL62" s="11"/>
      <c r="BM62" s="9"/>
      <c r="BN62" s="9"/>
      <c r="BO62" s="3"/>
    </row>
    <row r="63" spans="1:67">
      <c r="A63" s="3"/>
      <c r="B63" s="3"/>
      <c r="C63" s="4"/>
      <c r="D63" s="7"/>
      <c r="E63" s="4"/>
      <c r="F63" s="9"/>
      <c r="G63" s="4"/>
      <c r="H63" s="4"/>
      <c r="I63" s="3"/>
      <c r="J63" s="3"/>
      <c r="K63" s="9"/>
      <c r="L63" s="3"/>
      <c r="M63" s="3"/>
      <c r="N63" s="3"/>
      <c r="O63" s="3"/>
      <c r="P63" s="3"/>
      <c r="Q63" s="3"/>
      <c r="R63" s="3"/>
      <c r="S63" s="3"/>
      <c r="T63" s="3"/>
      <c r="U63" s="9"/>
      <c r="V63" s="9"/>
      <c r="W63" s="3"/>
      <c r="X63" s="9"/>
      <c r="Y63" s="3"/>
      <c r="Z63" s="3"/>
      <c r="AA63" s="9"/>
      <c r="AB63" s="3"/>
      <c r="AC63" s="3"/>
      <c r="AD63" s="3"/>
      <c r="AE63" s="3"/>
      <c r="AF63" s="9"/>
      <c r="AG63" s="4"/>
      <c r="AH63" s="9"/>
      <c r="AI63" s="3"/>
      <c r="AJ63" s="9"/>
      <c r="AK63" s="9"/>
      <c r="AL63" s="9"/>
      <c r="AM63" s="9"/>
      <c r="AN63" s="9"/>
      <c r="AO63" s="3"/>
      <c r="AP63" s="3"/>
      <c r="AQ63" s="9"/>
      <c r="AR63" s="3"/>
      <c r="AS63" s="9"/>
      <c r="AT63" s="9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9"/>
      <c r="BI63" s="9"/>
      <c r="BJ63" s="9"/>
      <c r="BK63" s="11"/>
      <c r="BL63" s="11"/>
      <c r="BM63" s="9"/>
      <c r="BN63" s="9"/>
      <c r="BO63" s="3"/>
    </row>
    <row r="64" spans="1:67">
      <c r="A64" s="3"/>
      <c r="B64" s="3"/>
      <c r="C64" s="4"/>
      <c r="D64" s="7"/>
      <c r="E64" s="4"/>
      <c r="F64" s="9"/>
      <c r="G64" s="4"/>
      <c r="H64" s="4"/>
      <c r="I64" s="3"/>
      <c r="J64" s="3"/>
      <c r="K64" s="9"/>
      <c r="L64" s="3"/>
      <c r="M64" s="3"/>
      <c r="N64" s="3"/>
      <c r="O64" s="3"/>
      <c r="P64" s="3"/>
      <c r="Q64" s="3"/>
      <c r="R64" s="3"/>
      <c r="S64" s="3"/>
      <c r="T64" s="3"/>
      <c r="U64" s="9"/>
      <c r="V64" s="9"/>
      <c r="W64" s="3"/>
      <c r="X64" s="9"/>
      <c r="Y64" s="3"/>
      <c r="Z64" s="3"/>
      <c r="AA64" s="9"/>
      <c r="AB64" s="3"/>
      <c r="AC64" s="3"/>
      <c r="AD64" s="3"/>
      <c r="AE64" s="3"/>
      <c r="AF64" s="9"/>
      <c r="AG64" s="4"/>
      <c r="AH64" s="9"/>
      <c r="AI64" s="3"/>
      <c r="AJ64" s="9"/>
      <c r="AK64" s="9"/>
      <c r="AL64" s="9"/>
      <c r="AM64" s="9"/>
      <c r="AN64" s="9"/>
      <c r="AO64" s="3"/>
      <c r="AP64" s="3"/>
      <c r="AQ64" s="9"/>
      <c r="AR64" s="3"/>
      <c r="AS64" s="9"/>
      <c r="AT64" s="9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9"/>
      <c r="BI64" s="9"/>
      <c r="BJ64" s="9"/>
      <c r="BK64" s="11"/>
      <c r="BL64" s="11"/>
      <c r="BM64" s="9"/>
      <c r="BN64" s="9"/>
      <c r="BO64" s="3"/>
    </row>
    <row r="65" spans="1:67">
      <c r="A65" s="3"/>
      <c r="B65" s="3"/>
      <c r="C65" s="4"/>
      <c r="D65" s="7"/>
      <c r="E65" s="4"/>
      <c r="F65" s="9"/>
      <c r="G65" s="4"/>
      <c r="H65" s="4"/>
      <c r="I65" s="3"/>
      <c r="J65" s="3"/>
      <c r="K65" s="9"/>
      <c r="L65" s="3"/>
      <c r="M65" s="3"/>
      <c r="N65" s="3"/>
      <c r="O65" s="3"/>
      <c r="P65" s="3"/>
      <c r="Q65" s="3"/>
      <c r="R65" s="3"/>
      <c r="S65" s="3"/>
      <c r="T65" s="3"/>
      <c r="U65" s="9"/>
      <c r="V65" s="9"/>
      <c r="W65" s="3"/>
      <c r="X65" s="9"/>
      <c r="Y65" s="3"/>
      <c r="Z65" s="3"/>
      <c r="AA65" s="9"/>
      <c r="AB65" s="3"/>
      <c r="AC65" s="3"/>
      <c r="AD65" s="3"/>
      <c r="AE65" s="3"/>
      <c r="AF65" s="9"/>
      <c r="AG65" s="4"/>
      <c r="AH65" s="9"/>
      <c r="AI65" s="3"/>
      <c r="AJ65" s="9"/>
      <c r="AK65" s="9"/>
      <c r="AL65" s="9"/>
      <c r="AM65" s="9"/>
      <c r="AN65" s="9"/>
      <c r="AO65" s="3"/>
      <c r="AP65" s="3"/>
      <c r="AQ65" s="9"/>
      <c r="AR65" s="3"/>
      <c r="AS65" s="9"/>
      <c r="AT65" s="9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9"/>
      <c r="BI65" s="9"/>
      <c r="BJ65" s="9"/>
      <c r="BK65" s="11"/>
      <c r="BL65" s="11"/>
      <c r="BM65" s="9"/>
      <c r="BN65" s="9"/>
      <c r="BO65" s="3"/>
    </row>
    <row r="66" spans="1:67">
      <c r="A66" s="3"/>
      <c r="B66" s="3"/>
      <c r="C66" s="4"/>
      <c r="D66" s="7"/>
      <c r="E66" s="4"/>
      <c r="F66" s="9"/>
      <c r="G66" s="4"/>
      <c r="H66" s="4"/>
      <c r="I66" s="3"/>
      <c r="J66" s="3"/>
      <c r="K66" s="9"/>
      <c r="L66" s="3"/>
      <c r="M66" s="3"/>
      <c r="N66" s="3"/>
      <c r="O66" s="3"/>
      <c r="P66" s="3"/>
      <c r="Q66" s="3"/>
      <c r="R66" s="3"/>
      <c r="S66" s="3"/>
      <c r="T66" s="3"/>
      <c r="U66" s="9"/>
      <c r="V66" s="9"/>
      <c r="W66" s="3"/>
      <c r="X66" s="9"/>
      <c r="Y66" s="3"/>
      <c r="Z66" s="3"/>
      <c r="AA66" s="9"/>
      <c r="AB66" s="3"/>
      <c r="AC66" s="3"/>
      <c r="AD66" s="3"/>
      <c r="AE66" s="3"/>
      <c r="AF66" s="9"/>
      <c r="AG66" s="4"/>
      <c r="AH66" s="9"/>
      <c r="AI66" s="3"/>
      <c r="AJ66" s="9"/>
      <c r="AK66" s="9"/>
      <c r="AL66" s="9"/>
      <c r="AM66" s="9"/>
      <c r="AN66" s="9"/>
      <c r="AO66" s="3"/>
      <c r="AP66" s="3"/>
      <c r="AQ66" s="9"/>
      <c r="AR66" s="3"/>
      <c r="AS66" s="9"/>
      <c r="AT66" s="9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9"/>
      <c r="BI66" s="9"/>
      <c r="BJ66" s="9"/>
      <c r="BK66" s="11"/>
      <c r="BL66" s="11"/>
      <c r="BM66" s="9"/>
      <c r="BN66" s="9"/>
      <c r="BO66" s="3"/>
    </row>
    <row r="67" spans="1:67">
      <c r="A67" s="3"/>
      <c r="B67" s="3"/>
      <c r="C67" s="4"/>
      <c r="D67" s="7"/>
      <c r="E67" s="4"/>
      <c r="F67" s="9"/>
      <c r="G67" s="4"/>
      <c r="H67" s="4"/>
      <c r="I67" s="3"/>
      <c r="J67" s="3"/>
      <c r="K67" s="9"/>
      <c r="L67" s="3"/>
      <c r="M67" s="3"/>
      <c r="N67" s="3"/>
      <c r="O67" s="3"/>
      <c r="P67" s="3"/>
      <c r="Q67" s="3"/>
      <c r="R67" s="3"/>
      <c r="S67" s="3"/>
      <c r="T67" s="3"/>
      <c r="U67" s="9"/>
      <c r="V67" s="9"/>
      <c r="W67" s="3"/>
      <c r="X67" s="9"/>
      <c r="Y67" s="3"/>
      <c r="Z67" s="3"/>
      <c r="AA67" s="9"/>
      <c r="AB67" s="3"/>
      <c r="AC67" s="3"/>
      <c r="AD67" s="3"/>
      <c r="AE67" s="3"/>
      <c r="AF67" s="9"/>
      <c r="AG67" s="4"/>
      <c r="AH67" s="9"/>
      <c r="AI67" s="3"/>
      <c r="AJ67" s="9"/>
      <c r="AK67" s="9"/>
      <c r="AL67" s="9"/>
      <c r="AM67" s="9"/>
      <c r="AN67" s="9"/>
      <c r="AO67" s="3"/>
      <c r="AP67" s="3"/>
      <c r="AQ67" s="9"/>
      <c r="AR67" s="3"/>
      <c r="AS67" s="9"/>
      <c r="AT67" s="9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9"/>
      <c r="BI67" s="9"/>
      <c r="BJ67" s="9"/>
      <c r="BK67" s="11"/>
      <c r="BL67" s="11"/>
      <c r="BM67" s="9"/>
      <c r="BN67" s="9"/>
      <c r="BO67" s="3"/>
    </row>
    <row r="68" spans="1:67">
      <c r="A68" s="3"/>
      <c r="B68" s="3"/>
      <c r="C68" s="4"/>
      <c r="D68" s="7"/>
      <c r="E68" s="4"/>
      <c r="F68" s="9"/>
      <c r="G68" s="4"/>
      <c r="H68" s="4"/>
      <c r="I68" s="3"/>
      <c r="J68" s="3"/>
      <c r="K68" s="9"/>
      <c r="L68" s="3"/>
      <c r="M68" s="3"/>
      <c r="N68" s="3"/>
      <c r="O68" s="3"/>
      <c r="P68" s="3"/>
      <c r="Q68" s="3"/>
      <c r="R68" s="3"/>
      <c r="S68" s="3"/>
      <c r="T68" s="3"/>
      <c r="U68" s="9"/>
      <c r="V68" s="9"/>
      <c r="W68" s="3"/>
      <c r="X68" s="9"/>
      <c r="Y68" s="3"/>
      <c r="Z68" s="3"/>
      <c r="AA68" s="9"/>
      <c r="AB68" s="3"/>
      <c r="AC68" s="3"/>
      <c r="AD68" s="3"/>
      <c r="AE68" s="3"/>
      <c r="AF68" s="9"/>
      <c r="AG68" s="4"/>
      <c r="AH68" s="9"/>
      <c r="AI68" s="3"/>
      <c r="AJ68" s="9"/>
      <c r="AK68" s="9"/>
      <c r="AL68" s="9"/>
      <c r="AM68" s="9"/>
      <c r="AN68" s="9"/>
      <c r="AO68" s="3"/>
      <c r="AP68" s="3"/>
      <c r="AQ68" s="9"/>
      <c r="AR68" s="3"/>
      <c r="AS68" s="9"/>
      <c r="AT68" s="9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9"/>
      <c r="BI68" s="9"/>
      <c r="BJ68" s="9"/>
      <c r="BK68" s="11"/>
      <c r="BL68" s="11"/>
      <c r="BM68" s="9"/>
      <c r="BN68" s="9"/>
      <c r="BO68" s="3"/>
    </row>
    <row r="69" spans="1:67">
      <c r="A69" s="3"/>
      <c r="B69" s="3"/>
      <c r="C69" s="4"/>
      <c r="D69" s="7"/>
      <c r="E69" s="4"/>
      <c r="F69" s="9"/>
      <c r="G69" s="4"/>
      <c r="H69" s="4"/>
      <c r="I69" s="3"/>
      <c r="J69" s="3"/>
      <c r="K69" s="9"/>
      <c r="L69" s="3"/>
      <c r="M69" s="3"/>
      <c r="N69" s="3"/>
      <c r="O69" s="3"/>
      <c r="P69" s="3"/>
      <c r="Q69" s="3"/>
      <c r="R69" s="3"/>
      <c r="S69" s="3"/>
      <c r="T69" s="3"/>
      <c r="U69" s="9"/>
      <c r="V69" s="9"/>
      <c r="W69" s="3"/>
      <c r="X69" s="9"/>
      <c r="Y69" s="3"/>
      <c r="Z69" s="3"/>
      <c r="AA69" s="9"/>
      <c r="AB69" s="3"/>
      <c r="AC69" s="3"/>
      <c r="AD69" s="3"/>
      <c r="AE69" s="3"/>
      <c r="AF69" s="9"/>
      <c r="AG69" s="4"/>
      <c r="AH69" s="9"/>
      <c r="AI69" s="3"/>
      <c r="AJ69" s="9"/>
      <c r="AK69" s="9"/>
      <c r="AL69" s="9"/>
      <c r="AM69" s="9"/>
      <c r="AN69" s="9"/>
      <c r="AO69" s="3"/>
      <c r="AP69" s="3"/>
      <c r="AQ69" s="9"/>
      <c r="AR69" s="3"/>
      <c r="AS69" s="9"/>
      <c r="AT69" s="9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9"/>
      <c r="BI69" s="9"/>
      <c r="BJ69" s="9"/>
      <c r="BK69" s="11"/>
      <c r="BL69" s="11"/>
      <c r="BM69" s="9"/>
      <c r="BN69" s="9"/>
      <c r="BO69" s="3"/>
    </row>
    <row r="70" spans="1:67">
      <c r="A70" s="3"/>
      <c r="B70" s="3"/>
      <c r="C70" s="4"/>
      <c r="D70" s="7"/>
      <c r="E70" s="4"/>
      <c r="F70" s="9"/>
      <c r="G70" s="4"/>
      <c r="H70" s="4"/>
      <c r="I70" s="3"/>
      <c r="J70" s="3"/>
      <c r="K70" s="9"/>
      <c r="L70" s="3"/>
      <c r="M70" s="3"/>
      <c r="N70" s="3"/>
      <c r="O70" s="3"/>
      <c r="P70" s="3"/>
      <c r="Q70" s="3"/>
      <c r="R70" s="3"/>
      <c r="S70" s="3"/>
      <c r="T70" s="3"/>
      <c r="U70" s="9"/>
      <c r="V70" s="9"/>
      <c r="W70" s="3"/>
      <c r="X70" s="9"/>
      <c r="Y70" s="3"/>
      <c r="Z70" s="3"/>
      <c r="AA70" s="9"/>
      <c r="AB70" s="3"/>
      <c r="AC70" s="3"/>
      <c r="AD70" s="3"/>
      <c r="AE70" s="3"/>
      <c r="AF70" s="9"/>
      <c r="AG70" s="4"/>
      <c r="AH70" s="9"/>
      <c r="AI70" s="3"/>
      <c r="AJ70" s="9"/>
      <c r="AK70" s="9"/>
      <c r="AL70" s="9"/>
      <c r="AM70" s="9"/>
      <c r="AN70" s="9"/>
      <c r="AO70" s="3"/>
      <c r="AP70" s="3"/>
      <c r="AQ70" s="9"/>
      <c r="AR70" s="3"/>
      <c r="AS70" s="9"/>
      <c r="AT70" s="9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9"/>
      <c r="BI70" s="9"/>
      <c r="BJ70" s="9"/>
      <c r="BK70" s="11"/>
      <c r="BL70" s="11"/>
      <c r="BM70" s="9"/>
      <c r="BN70" s="9"/>
      <c r="BO70" s="3"/>
    </row>
    <row r="71" spans="1:67">
      <c r="A71" s="3"/>
      <c r="B71" s="3"/>
      <c r="C71" s="4"/>
      <c r="D71" s="7"/>
      <c r="E71" s="4"/>
      <c r="F71" s="9"/>
      <c r="G71" s="4"/>
      <c r="H71" s="4"/>
      <c r="I71" s="3"/>
      <c r="J71" s="3"/>
      <c r="K71" s="9"/>
      <c r="L71" s="3"/>
      <c r="M71" s="3"/>
      <c r="N71" s="3"/>
      <c r="O71" s="3"/>
      <c r="P71" s="3"/>
      <c r="Q71" s="3"/>
      <c r="R71" s="3"/>
      <c r="S71" s="3"/>
      <c r="T71" s="3"/>
      <c r="U71" s="9"/>
      <c r="V71" s="9"/>
      <c r="W71" s="3"/>
      <c r="X71" s="9"/>
      <c r="Y71" s="3"/>
      <c r="Z71" s="3"/>
      <c r="AA71" s="9"/>
      <c r="AB71" s="3"/>
      <c r="AC71" s="3"/>
      <c r="AD71" s="3"/>
      <c r="AE71" s="3"/>
      <c r="AF71" s="9"/>
      <c r="AG71" s="4"/>
      <c r="AH71" s="9"/>
      <c r="AI71" s="3"/>
      <c r="AJ71" s="9"/>
      <c r="AK71" s="9"/>
      <c r="AL71" s="9"/>
      <c r="AM71" s="9"/>
      <c r="AN71" s="9"/>
      <c r="AO71" s="3"/>
      <c r="AP71" s="3"/>
      <c r="AQ71" s="9"/>
      <c r="AR71" s="3"/>
      <c r="AS71" s="9"/>
      <c r="AT71" s="9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9"/>
      <c r="BI71" s="9"/>
      <c r="BJ71" s="9"/>
      <c r="BK71" s="11"/>
      <c r="BL71" s="11"/>
      <c r="BM71" s="9"/>
      <c r="BN71" s="9"/>
      <c r="BO71" s="3"/>
    </row>
    <row r="72" spans="1:67">
      <c r="A72" s="3"/>
      <c r="B72" s="3"/>
      <c r="C72" s="4"/>
      <c r="D72" s="7"/>
      <c r="E72" s="4"/>
      <c r="F72" s="9"/>
      <c r="G72" s="4"/>
      <c r="H72" s="4"/>
      <c r="I72" s="3"/>
      <c r="J72" s="3"/>
      <c r="K72" s="9"/>
      <c r="L72" s="3"/>
      <c r="M72" s="3"/>
      <c r="N72" s="3"/>
      <c r="O72" s="3"/>
      <c r="P72" s="3"/>
      <c r="Q72" s="3"/>
      <c r="R72" s="3"/>
      <c r="S72" s="3"/>
      <c r="T72" s="3"/>
      <c r="U72" s="9"/>
      <c r="V72" s="9"/>
      <c r="W72" s="3"/>
      <c r="X72" s="9"/>
      <c r="Y72" s="3"/>
      <c r="Z72" s="3"/>
      <c r="AA72" s="9"/>
      <c r="AB72" s="3"/>
      <c r="AC72" s="3"/>
      <c r="AD72" s="3"/>
      <c r="AE72" s="3"/>
      <c r="AF72" s="9"/>
      <c r="AG72" s="4"/>
      <c r="AH72" s="9"/>
      <c r="AI72" s="3"/>
      <c r="AJ72" s="9"/>
      <c r="AK72" s="9"/>
      <c r="AL72" s="9"/>
      <c r="AM72" s="9"/>
      <c r="AN72" s="9"/>
      <c r="AO72" s="3"/>
      <c r="AP72" s="3"/>
      <c r="AQ72" s="9"/>
      <c r="AR72" s="3"/>
      <c r="AS72" s="9"/>
      <c r="AT72" s="9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9"/>
      <c r="BI72" s="9"/>
      <c r="BJ72" s="9"/>
      <c r="BK72" s="11"/>
      <c r="BL72" s="11"/>
      <c r="BM72" s="9"/>
      <c r="BN72" s="9"/>
      <c r="BO72" s="3"/>
    </row>
    <row r="73" spans="1:67">
      <c r="A73" s="3"/>
      <c r="B73" s="3"/>
      <c r="C73" s="4"/>
      <c r="D73" s="7"/>
      <c r="E73" s="4"/>
      <c r="F73" s="9"/>
      <c r="G73" s="4"/>
      <c r="H73" s="4"/>
      <c r="I73" s="3"/>
      <c r="J73" s="3"/>
      <c r="K73" s="9"/>
      <c r="L73" s="3"/>
      <c r="M73" s="3"/>
      <c r="N73" s="3"/>
      <c r="O73" s="3"/>
      <c r="P73" s="3"/>
      <c r="Q73" s="3"/>
      <c r="R73" s="3"/>
      <c r="S73" s="3"/>
      <c r="T73" s="3"/>
      <c r="U73" s="9"/>
      <c r="V73" s="9"/>
      <c r="W73" s="3"/>
      <c r="X73" s="9"/>
      <c r="Y73" s="3"/>
      <c r="Z73" s="3"/>
      <c r="AA73" s="9"/>
      <c r="AB73" s="3"/>
      <c r="AC73" s="3"/>
      <c r="AD73" s="3"/>
      <c r="AE73" s="3"/>
      <c r="AF73" s="9"/>
      <c r="AG73" s="4"/>
      <c r="AH73" s="9"/>
      <c r="AI73" s="3"/>
      <c r="AJ73" s="9"/>
      <c r="AK73" s="9"/>
      <c r="AL73" s="9"/>
      <c r="AM73" s="9"/>
      <c r="AN73" s="9"/>
      <c r="AO73" s="3"/>
      <c r="AP73" s="3"/>
      <c r="AQ73" s="9"/>
      <c r="AR73" s="3"/>
      <c r="AS73" s="9"/>
      <c r="AT73" s="9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9"/>
      <c r="BI73" s="9"/>
      <c r="BJ73" s="9"/>
      <c r="BK73" s="11"/>
      <c r="BL73" s="11"/>
      <c r="BM73" s="9"/>
      <c r="BN73" s="9"/>
      <c r="BO73" s="3"/>
    </row>
    <row r="74" spans="1:67">
      <c r="A74" s="3"/>
      <c r="B74" s="3"/>
      <c r="C74" s="4"/>
      <c r="D74" s="7"/>
      <c r="E74" s="4"/>
      <c r="F74" s="9"/>
      <c r="G74" s="4"/>
      <c r="H74" s="4"/>
      <c r="I74" s="3"/>
      <c r="J74" s="3"/>
      <c r="K74" s="9"/>
      <c r="L74" s="3"/>
      <c r="M74" s="3"/>
      <c r="N74" s="3"/>
      <c r="O74" s="3"/>
      <c r="P74" s="3"/>
      <c r="Q74" s="3"/>
      <c r="R74" s="3"/>
      <c r="S74" s="3"/>
      <c r="T74" s="3"/>
      <c r="U74" s="9"/>
      <c r="V74" s="9"/>
      <c r="W74" s="3"/>
      <c r="X74" s="9"/>
      <c r="Y74" s="3"/>
      <c r="Z74" s="3"/>
      <c r="AA74" s="9"/>
      <c r="AB74" s="3"/>
      <c r="AC74" s="3"/>
      <c r="AD74" s="3"/>
      <c r="AE74" s="3"/>
      <c r="AF74" s="9"/>
      <c r="AG74" s="4"/>
      <c r="AH74" s="9"/>
      <c r="AI74" s="3"/>
      <c r="AJ74" s="9"/>
      <c r="AK74" s="9"/>
      <c r="AL74" s="9"/>
      <c r="AM74" s="9"/>
      <c r="AN74" s="9"/>
      <c r="AO74" s="3"/>
      <c r="AP74" s="3"/>
      <c r="AQ74" s="9"/>
      <c r="AR74" s="3"/>
      <c r="AS74" s="9"/>
      <c r="AT74" s="9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9"/>
      <c r="BI74" s="9"/>
      <c r="BJ74" s="9"/>
      <c r="BK74" s="11"/>
      <c r="BL74" s="11"/>
      <c r="BM74" s="9"/>
      <c r="BN74" s="9"/>
      <c r="BO74" s="3"/>
    </row>
    <row r="75" spans="1:67">
      <c r="A75" s="3"/>
      <c r="B75" s="3"/>
      <c r="C75" s="4"/>
      <c r="D75" s="7"/>
      <c r="E75" s="4"/>
      <c r="F75" s="9"/>
      <c r="G75" s="4"/>
      <c r="H75" s="4"/>
      <c r="I75" s="3"/>
      <c r="J75" s="3"/>
      <c r="K75" s="9"/>
      <c r="L75" s="3"/>
      <c r="M75" s="3"/>
      <c r="N75" s="3"/>
      <c r="O75" s="3"/>
      <c r="P75" s="3"/>
      <c r="Q75" s="3"/>
      <c r="R75" s="3"/>
      <c r="S75" s="3"/>
      <c r="T75" s="3"/>
      <c r="U75" s="9"/>
      <c r="V75" s="9"/>
      <c r="W75" s="3"/>
      <c r="X75" s="9"/>
      <c r="Y75" s="3"/>
      <c r="Z75" s="3"/>
      <c r="AA75" s="9"/>
      <c r="AB75" s="3"/>
      <c r="AC75" s="3"/>
      <c r="AD75" s="3"/>
      <c r="AE75" s="3"/>
      <c r="AF75" s="9"/>
      <c r="AG75" s="4"/>
      <c r="AH75" s="9"/>
      <c r="AI75" s="3"/>
      <c r="AJ75" s="9"/>
      <c r="AK75" s="9"/>
      <c r="AL75" s="9"/>
      <c r="AM75" s="9"/>
      <c r="AN75" s="9"/>
      <c r="AO75" s="3"/>
      <c r="AP75" s="3"/>
      <c r="AQ75" s="9"/>
      <c r="AR75" s="3"/>
      <c r="AS75" s="9"/>
      <c r="AT75" s="9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9"/>
      <c r="BI75" s="9"/>
      <c r="BJ75" s="9"/>
      <c r="BK75" s="11"/>
      <c r="BL75" s="11"/>
      <c r="BM75" s="9"/>
      <c r="BN75" s="9"/>
      <c r="BO75" s="3"/>
    </row>
    <row r="76" spans="1:67">
      <c r="A76" s="3"/>
      <c r="B76" s="3"/>
      <c r="C76" s="4"/>
      <c r="D76" s="7"/>
      <c r="E76" s="4"/>
      <c r="F76" s="9"/>
      <c r="G76" s="4"/>
      <c r="H76" s="4"/>
      <c r="I76" s="3"/>
      <c r="J76" s="3"/>
      <c r="K76" s="9"/>
      <c r="L76" s="3"/>
      <c r="M76" s="3"/>
      <c r="N76" s="3"/>
      <c r="O76" s="3"/>
      <c r="P76" s="3"/>
      <c r="Q76" s="3"/>
      <c r="R76" s="3"/>
      <c r="S76" s="3"/>
      <c r="T76" s="3"/>
      <c r="U76" s="9"/>
      <c r="V76" s="9"/>
      <c r="W76" s="3"/>
      <c r="X76" s="9"/>
      <c r="Y76" s="3"/>
      <c r="Z76" s="3"/>
      <c r="AA76" s="9"/>
      <c r="AB76" s="3"/>
      <c r="AC76" s="3"/>
      <c r="AD76" s="3"/>
      <c r="AE76" s="3"/>
      <c r="AF76" s="9"/>
      <c r="AG76" s="4"/>
      <c r="AH76" s="9"/>
      <c r="AI76" s="3"/>
      <c r="AJ76" s="9"/>
      <c r="AK76" s="9"/>
      <c r="AL76" s="9"/>
      <c r="AM76" s="9"/>
      <c r="AN76" s="9"/>
      <c r="AO76" s="3"/>
      <c r="AP76" s="3"/>
      <c r="AQ76" s="9"/>
      <c r="AR76" s="3"/>
      <c r="AS76" s="9"/>
      <c r="AT76" s="9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9"/>
      <c r="BI76" s="9"/>
      <c r="BJ76" s="9"/>
      <c r="BK76" s="11"/>
      <c r="BL76" s="11"/>
      <c r="BM76" s="9"/>
      <c r="BN76" s="9"/>
      <c r="BO76" s="3"/>
    </row>
    <row r="77" spans="1:67">
      <c r="A77" s="3"/>
      <c r="B77" s="3"/>
      <c r="C77" s="4"/>
      <c r="D77" s="7"/>
      <c r="E77" s="4"/>
      <c r="F77" s="9"/>
      <c r="G77" s="4"/>
      <c r="H77" s="4"/>
      <c r="I77" s="3"/>
      <c r="J77" s="3"/>
      <c r="K77" s="9"/>
      <c r="L77" s="3"/>
      <c r="M77" s="3"/>
      <c r="N77" s="3"/>
      <c r="O77" s="3"/>
      <c r="P77" s="3"/>
      <c r="Q77" s="3"/>
      <c r="R77" s="3"/>
      <c r="S77" s="3"/>
      <c r="T77" s="3"/>
      <c r="U77" s="9"/>
      <c r="V77" s="9"/>
      <c r="W77" s="3"/>
      <c r="X77" s="9"/>
      <c r="Y77" s="3"/>
      <c r="Z77" s="3"/>
      <c r="AA77" s="9"/>
      <c r="AB77" s="3"/>
      <c r="AC77" s="3"/>
      <c r="AD77" s="3"/>
      <c r="AE77" s="3"/>
      <c r="AF77" s="9"/>
      <c r="AG77" s="4"/>
      <c r="AH77" s="9"/>
      <c r="AI77" s="3"/>
      <c r="AJ77" s="9"/>
      <c r="AK77" s="9"/>
      <c r="AL77" s="9"/>
      <c r="AM77" s="9"/>
      <c r="AN77" s="9"/>
      <c r="AO77" s="3"/>
      <c r="AP77" s="3"/>
      <c r="AQ77" s="9"/>
      <c r="AR77" s="3"/>
      <c r="AS77" s="9"/>
      <c r="AT77" s="9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9"/>
      <c r="BI77" s="9"/>
      <c r="BJ77" s="9"/>
      <c r="BK77" s="11"/>
      <c r="BL77" s="11"/>
      <c r="BM77" s="9"/>
      <c r="BN77" s="9"/>
      <c r="BO77" s="3"/>
    </row>
    <row r="78" spans="1:67">
      <c r="A78" s="3"/>
      <c r="B78" s="3"/>
      <c r="C78" s="4"/>
      <c r="D78" s="7"/>
      <c r="E78" s="4"/>
      <c r="F78" s="9"/>
      <c r="G78" s="4"/>
      <c r="H78" s="4"/>
      <c r="I78" s="3"/>
      <c r="J78" s="3"/>
      <c r="K78" s="9"/>
      <c r="L78" s="3"/>
      <c r="M78" s="3"/>
      <c r="N78" s="3"/>
      <c r="O78" s="3"/>
      <c r="P78" s="3"/>
      <c r="Q78" s="3"/>
      <c r="R78" s="3"/>
      <c r="S78" s="3"/>
      <c r="T78" s="3"/>
      <c r="U78" s="9"/>
      <c r="V78" s="9"/>
      <c r="W78" s="3"/>
      <c r="X78" s="9"/>
      <c r="Y78" s="3"/>
      <c r="Z78" s="3"/>
      <c r="AA78" s="9"/>
      <c r="AB78" s="3"/>
      <c r="AC78" s="3"/>
      <c r="AD78" s="3"/>
      <c r="AE78" s="3"/>
      <c r="AF78" s="9"/>
      <c r="AG78" s="4"/>
      <c r="AH78" s="9"/>
      <c r="AI78" s="3"/>
      <c r="AJ78" s="9"/>
      <c r="AK78" s="9"/>
      <c r="AL78" s="9"/>
      <c r="AM78" s="9"/>
      <c r="AN78" s="9"/>
      <c r="AO78" s="3"/>
      <c r="AP78" s="3"/>
      <c r="AQ78" s="9"/>
      <c r="AR78" s="3"/>
      <c r="AS78" s="9"/>
      <c r="AT78" s="9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9"/>
      <c r="BI78" s="9"/>
      <c r="BJ78" s="9"/>
      <c r="BK78" s="11"/>
      <c r="BL78" s="11"/>
      <c r="BM78" s="9"/>
      <c r="BN78" s="9"/>
      <c r="BO78" s="3"/>
    </row>
    <row r="79" spans="1:67">
      <c r="A79" s="3"/>
      <c r="B79" s="3"/>
      <c r="C79" s="4"/>
      <c r="D79" s="7"/>
      <c r="E79" s="4"/>
      <c r="F79" s="9"/>
      <c r="G79" s="4"/>
      <c r="H79" s="4"/>
      <c r="I79" s="3"/>
      <c r="J79" s="3"/>
      <c r="K79" s="9"/>
      <c r="L79" s="3"/>
      <c r="M79" s="3"/>
      <c r="N79" s="3"/>
      <c r="O79" s="3"/>
      <c r="P79" s="3"/>
      <c r="Q79" s="3"/>
      <c r="R79" s="3"/>
      <c r="S79" s="3"/>
      <c r="T79" s="3"/>
      <c r="U79" s="9"/>
      <c r="V79" s="9"/>
      <c r="W79" s="3"/>
      <c r="X79" s="9"/>
      <c r="Y79" s="3"/>
      <c r="Z79" s="3"/>
      <c r="AA79" s="9"/>
      <c r="AB79" s="3"/>
      <c r="AC79" s="3"/>
      <c r="AD79" s="3"/>
      <c r="AE79" s="3"/>
      <c r="AF79" s="9"/>
      <c r="AG79" s="4"/>
      <c r="AH79" s="9"/>
      <c r="AI79" s="3"/>
      <c r="AJ79" s="9"/>
      <c r="AK79" s="9"/>
      <c r="AL79" s="9"/>
      <c r="AM79" s="9"/>
      <c r="AN79" s="9"/>
      <c r="AO79" s="3"/>
      <c r="AP79" s="3"/>
      <c r="AQ79" s="9"/>
      <c r="AR79" s="3"/>
      <c r="AS79" s="9"/>
      <c r="AT79" s="9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9"/>
      <c r="BI79" s="9"/>
      <c r="BJ79" s="9"/>
      <c r="BK79" s="11"/>
      <c r="BL79" s="11"/>
      <c r="BM79" s="9"/>
      <c r="BN79" s="9"/>
      <c r="BO79" s="3"/>
    </row>
    <row r="80" spans="1:67">
      <c r="A80" s="3"/>
      <c r="B80" s="3"/>
      <c r="C80" s="4"/>
      <c r="D80" s="7"/>
      <c r="E80" s="4"/>
      <c r="F80" s="9"/>
      <c r="G80" s="4"/>
      <c r="H80" s="4"/>
      <c r="I80" s="3"/>
      <c r="J80" s="3"/>
      <c r="K80" s="9"/>
      <c r="L80" s="3"/>
      <c r="M80" s="3"/>
      <c r="N80" s="3"/>
      <c r="O80" s="3"/>
      <c r="P80" s="3"/>
      <c r="Q80" s="3"/>
      <c r="R80" s="3"/>
      <c r="S80" s="3"/>
      <c r="T80" s="3"/>
      <c r="U80" s="9"/>
      <c r="V80" s="9"/>
      <c r="W80" s="3"/>
      <c r="X80" s="9"/>
      <c r="Y80" s="3"/>
      <c r="Z80" s="3"/>
      <c r="AA80" s="9"/>
      <c r="AB80" s="3"/>
      <c r="AC80" s="3"/>
      <c r="AD80" s="3"/>
      <c r="AE80" s="3"/>
      <c r="AF80" s="9"/>
      <c r="AG80" s="4"/>
      <c r="AH80" s="9"/>
      <c r="AI80" s="3"/>
      <c r="AJ80" s="9"/>
      <c r="AK80" s="9"/>
      <c r="AL80" s="9"/>
      <c r="AM80" s="9"/>
      <c r="AN80" s="9"/>
      <c r="AO80" s="3"/>
      <c r="AP80" s="3"/>
      <c r="AQ80" s="9"/>
      <c r="AR80" s="3"/>
      <c r="AS80" s="9"/>
      <c r="AT80" s="9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9"/>
      <c r="BI80" s="9"/>
      <c r="BJ80" s="9"/>
      <c r="BK80" s="11"/>
      <c r="BL80" s="11"/>
      <c r="BM80" s="9"/>
      <c r="BN80" s="9"/>
      <c r="BO80" s="3"/>
    </row>
    <row r="81" spans="1:67">
      <c r="A81" s="3"/>
      <c r="B81" s="3"/>
      <c r="C81" s="4"/>
      <c r="D81" s="7"/>
      <c r="E81" s="4"/>
      <c r="F81" s="9"/>
      <c r="G81" s="4"/>
      <c r="H81" s="4"/>
      <c r="I81" s="3"/>
      <c r="J81" s="3"/>
      <c r="K81" s="9"/>
      <c r="L81" s="3"/>
      <c r="M81" s="3"/>
      <c r="N81" s="3"/>
      <c r="O81" s="3"/>
      <c r="P81" s="3"/>
      <c r="Q81" s="3"/>
      <c r="R81" s="3"/>
      <c r="S81" s="3"/>
      <c r="T81" s="3"/>
      <c r="U81" s="9"/>
      <c r="V81" s="9"/>
      <c r="W81" s="3"/>
      <c r="X81" s="9"/>
      <c r="Y81" s="3"/>
      <c r="Z81" s="3"/>
      <c r="AA81" s="9"/>
      <c r="AB81" s="3"/>
      <c r="AC81" s="3"/>
      <c r="AD81" s="3"/>
      <c r="AE81" s="3"/>
      <c r="AF81" s="9"/>
      <c r="AG81" s="4"/>
      <c r="AH81" s="9"/>
      <c r="AI81" s="3"/>
      <c r="AJ81" s="9"/>
      <c r="AK81" s="9"/>
      <c r="AL81" s="9"/>
      <c r="AM81" s="9"/>
      <c r="AN81" s="9"/>
      <c r="AO81" s="3"/>
      <c r="AP81" s="3"/>
      <c r="AQ81" s="9"/>
      <c r="AR81" s="3"/>
      <c r="AS81" s="9"/>
      <c r="AT81" s="9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9"/>
      <c r="BI81" s="9"/>
      <c r="BJ81" s="9"/>
      <c r="BK81" s="11"/>
      <c r="BL81" s="11"/>
      <c r="BM81" s="9"/>
      <c r="BN81" s="9"/>
      <c r="BO81" s="3"/>
    </row>
    <row r="82" spans="1:67">
      <c r="A82" s="3"/>
      <c r="B82" s="3"/>
      <c r="C82" s="4"/>
      <c r="D82" s="7"/>
      <c r="E82" s="4"/>
      <c r="F82" s="9"/>
      <c r="G82" s="4"/>
      <c r="H82" s="4"/>
      <c r="I82" s="3"/>
      <c r="J82" s="3"/>
      <c r="K82" s="9"/>
      <c r="L82" s="3"/>
      <c r="M82" s="3"/>
      <c r="N82" s="3"/>
      <c r="O82" s="3"/>
      <c r="P82" s="3"/>
      <c r="Q82" s="3"/>
      <c r="R82" s="3"/>
      <c r="S82" s="3"/>
      <c r="T82" s="3"/>
      <c r="U82" s="9"/>
      <c r="V82" s="9"/>
      <c r="W82" s="3"/>
      <c r="X82" s="9"/>
      <c r="Y82" s="3"/>
      <c r="Z82" s="3"/>
      <c r="AA82" s="9"/>
      <c r="AB82" s="3"/>
      <c r="AC82" s="3"/>
      <c r="AD82" s="3"/>
      <c r="AE82" s="3"/>
      <c r="AF82" s="9"/>
      <c r="AG82" s="4"/>
      <c r="AH82" s="9"/>
      <c r="AI82" s="3"/>
      <c r="AJ82" s="9"/>
      <c r="AK82" s="9"/>
      <c r="AL82" s="9"/>
      <c r="AM82" s="9"/>
      <c r="AN82" s="9"/>
      <c r="AO82" s="3"/>
      <c r="AP82" s="3"/>
      <c r="AQ82" s="9"/>
      <c r="AR82" s="3"/>
      <c r="AS82" s="9"/>
      <c r="AT82" s="9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9"/>
      <c r="BI82" s="9"/>
      <c r="BJ82" s="9"/>
      <c r="BK82" s="11"/>
      <c r="BL82" s="11"/>
      <c r="BM82" s="9"/>
      <c r="BN82" s="9"/>
      <c r="BO82" s="3"/>
    </row>
    <row r="83" spans="1:67">
      <c r="A83" s="3"/>
      <c r="B83" s="3"/>
      <c r="C83" s="4"/>
      <c r="D83" s="7"/>
      <c r="E83" s="4"/>
      <c r="F83" s="9"/>
      <c r="G83" s="4"/>
      <c r="H83" s="4"/>
      <c r="I83" s="3"/>
      <c r="J83" s="3"/>
      <c r="K83" s="9"/>
      <c r="L83" s="3"/>
      <c r="M83" s="3"/>
      <c r="N83" s="3"/>
      <c r="O83" s="3"/>
      <c r="P83" s="3"/>
      <c r="Q83" s="3"/>
      <c r="R83" s="3"/>
      <c r="S83" s="3"/>
      <c r="T83" s="3"/>
      <c r="U83" s="9"/>
      <c r="V83" s="9"/>
      <c r="W83" s="3"/>
      <c r="X83" s="9"/>
      <c r="Y83" s="3"/>
      <c r="Z83" s="3"/>
      <c r="AA83" s="9"/>
      <c r="AB83" s="3"/>
      <c r="AC83" s="3"/>
      <c r="AD83" s="3"/>
      <c r="AE83" s="3"/>
      <c r="AF83" s="9"/>
      <c r="AG83" s="4"/>
      <c r="AH83" s="9"/>
      <c r="AI83" s="3"/>
      <c r="AJ83" s="9"/>
      <c r="AK83" s="9"/>
      <c r="AL83" s="9"/>
      <c r="AM83" s="9"/>
      <c r="AN83" s="9"/>
      <c r="AO83" s="3"/>
      <c r="AP83" s="3"/>
      <c r="AQ83" s="9"/>
      <c r="AR83" s="3"/>
      <c r="AS83" s="9"/>
      <c r="AT83" s="9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9"/>
      <c r="BI83" s="9"/>
      <c r="BJ83" s="9"/>
      <c r="BK83" s="11"/>
      <c r="BL83" s="11"/>
      <c r="BM83" s="9"/>
      <c r="BN83" s="9"/>
      <c r="BO83" s="3"/>
    </row>
    <row r="84" spans="1:67">
      <c r="A84" s="3"/>
      <c r="B84" s="3"/>
      <c r="C84" s="4"/>
      <c r="D84" s="7"/>
      <c r="E84" s="4"/>
      <c r="F84" s="9"/>
      <c r="G84" s="4"/>
      <c r="H84" s="4"/>
      <c r="I84" s="3"/>
      <c r="J84" s="3"/>
      <c r="K84" s="9"/>
      <c r="L84" s="3"/>
      <c r="M84" s="3"/>
      <c r="N84" s="3"/>
      <c r="O84" s="3"/>
      <c r="P84" s="3"/>
      <c r="Q84" s="3"/>
      <c r="R84" s="3"/>
      <c r="S84" s="3"/>
      <c r="T84" s="3"/>
      <c r="U84" s="9"/>
      <c r="V84" s="9"/>
      <c r="W84" s="3"/>
      <c r="X84" s="9"/>
      <c r="Y84" s="3"/>
      <c r="Z84" s="3"/>
      <c r="AA84" s="9"/>
      <c r="AB84" s="3"/>
      <c r="AC84" s="3"/>
      <c r="AD84" s="3"/>
      <c r="AE84" s="3"/>
      <c r="AF84" s="9"/>
      <c r="AG84" s="4"/>
      <c r="AH84" s="9"/>
      <c r="AI84" s="3"/>
      <c r="AJ84" s="9"/>
      <c r="AK84" s="9"/>
      <c r="AL84" s="9"/>
      <c r="AM84" s="9"/>
      <c r="AN84" s="9"/>
      <c r="AO84" s="3"/>
      <c r="AP84" s="3"/>
      <c r="AQ84" s="9"/>
      <c r="AR84" s="3"/>
      <c r="AS84" s="9"/>
      <c r="AT84" s="9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9"/>
      <c r="BI84" s="9"/>
      <c r="BJ84" s="9"/>
      <c r="BK84" s="11"/>
      <c r="BL84" s="11"/>
      <c r="BM84" s="9"/>
      <c r="BN84" s="9"/>
      <c r="BO84" s="3"/>
    </row>
    <row r="85" spans="1:67">
      <c r="A85" s="3"/>
      <c r="B85" s="3"/>
      <c r="C85" s="4"/>
      <c r="D85" s="7"/>
      <c r="E85" s="4"/>
      <c r="F85" s="9"/>
      <c r="G85" s="4"/>
      <c r="H85" s="4"/>
      <c r="I85" s="3"/>
      <c r="J85" s="3"/>
      <c r="K85" s="9"/>
      <c r="L85" s="3"/>
      <c r="M85" s="3"/>
      <c r="N85" s="3"/>
      <c r="O85" s="3"/>
      <c r="P85" s="3"/>
      <c r="Q85" s="3"/>
      <c r="R85" s="3"/>
      <c r="S85" s="3"/>
      <c r="T85" s="3"/>
      <c r="U85" s="9"/>
      <c r="V85" s="9"/>
      <c r="W85" s="3"/>
      <c r="X85" s="9"/>
      <c r="Y85" s="3"/>
      <c r="Z85" s="3"/>
      <c r="AA85" s="9"/>
      <c r="AB85" s="3"/>
      <c r="AC85" s="3"/>
      <c r="AD85" s="3"/>
      <c r="AE85" s="3"/>
      <c r="AF85" s="9"/>
      <c r="AG85" s="4"/>
      <c r="AH85" s="9"/>
      <c r="AI85" s="3"/>
      <c r="AJ85" s="9"/>
      <c r="AK85" s="9"/>
      <c r="AL85" s="9"/>
      <c r="AM85" s="9"/>
      <c r="AN85" s="9"/>
      <c r="AO85" s="3"/>
      <c r="AP85" s="3"/>
      <c r="AQ85" s="9"/>
      <c r="AR85" s="3"/>
      <c r="AS85" s="9"/>
      <c r="AT85" s="9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9"/>
      <c r="BI85" s="9"/>
      <c r="BJ85" s="9"/>
      <c r="BK85" s="11"/>
      <c r="BL85" s="11"/>
      <c r="BM85" s="9"/>
      <c r="BN85" s="9"/>
      <c r="BO85" s="3"/>
    </row>
    <row r="86" spans="1:67">
      <c r="A86" s="3"/>
      <c r="B86" s="3"/>
      <c r="C86" s="4"/>
      <c r="D86" s="7"/>
      <c r="E86" s="4"/>
      <c r="F86" s="9"/>
      <c r="G86" s="4"/>
      <c r="H86" s="4"/>
      <c r="I86" s="3"/>
      <c r="J86" s="3"/>
      <c r="K86" s="9"/>
      <c r="L86" s="3"/>
      <c r="M86" s="3"/>
      <c r="N86" s="3"/>
      <c r="O86" s="3"/>
      <c r="P86" s="3"/>
      <c r="Q86" s="3"/>
      <c r="R86" s="3"/>
      <c r="S86" s="3"/>
      <c r="T86" s="3"/>
      <c r="U86" s="9"/>
      <c r="V86" s="9"/>
      <c r="W86" s="3"/>
      <c r="X86" s="9"/>
      <c r="Y86" s="3"/>
      <c r="Z86" s="3"/>
      <c r="AA86" s="9"/>
      <c r="AB86" s="3"/>
      <c r="AC86" s="3"/>
      <c r="AD86" s="3"/>
      <c r="AE86" s="3"/>
      <c r="AF86" s="9"/>
      <c r="AG86" s="4"/>
      <c r="AH86" s="9"/>
      <c r="AI86" s="3"/>
      <c r="AJ86" s="9"/>
      <c r="AK86" s="9"/>
      <c r="AL86" s="9"/>
      <c r="AM86" s="9"/>
      <c r="AN86" s="9"/>
      <c r="AO86" s="3"/>
      <c r="AP86" s="3"/>
      <c r="AQ86" s="9"/>
      <c r="AR86" s="3"/>
      <c r="AS86" s="9"/>
      <c r="AT86" s="9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9"/>
      <c r="BI86" s="9"/>
      <c r="BJ86" s="9"/>
      <c r="BK86" s="11"/>
      <c r="BL86" s="11"/>
      <c r="BM86" s="9"/>
      <c r="BN86" s="9"/>
      <c r="BO86" s="3"/>
    </row>
    <row r="87" spans="1:67">
      <c r="A87" s="3"/>
      <c r="B87" s="3"/>
      <c r="C87" s="4"/>
      <c r="D87" s="7"/>
      <c r="E87" s="4"/>
      <c r="F87" s="9"/>
      <c r="G87" s="4"/>
      <c r="H87" s="4"/>
      <c r="I87" s="3"/>
      <c r="J87" s="3"/>
      <c r="K87" s="9"/>
      <c r="L87" s="3"/>
      <c r="M87" s="3"/>
      <c r="N87" s="3"/>
      <c r="O87" s="3"/>
      <c r="P87" s="3"/>
      <c r="Q87" s="3"/>
      <c r="R87" s="3"/>
      <c r="S87" s="3"/>
      <c r="T87" s="3"/>
      <c r="U87" s="9"/>
      <c r="V87" s="9"/>
      <c r="W87" s="3"/>
      <c r="X87" s="9"/>
      <c r="Y87" s="3"/>
      <c r="Z87" s="3"/>
      <c r="AA87" s="9"/>
      <c r="AB87" s="3"/>
      <c r="AC87" s="3"/>
      <c r="AD87" s="3"/>
      <c r="AE87" s="3"/>
      <c r="AF87" s="9"/>
      <c r="AG87" s="4"/>
      <c r="AH87" s="9"/>
      <c r="AI87" s="3"/>
      <c r="AJ87" s="9"/>
      <c r="AK87" s="9"/>
      <c r="AL87" s="9"/>
      <c r="AM87" s="9"/>
      <c r="AN87" s="9"/>
      <c r="AO87" s="3"/>
      <c r="AP87" s="3"/>
      <c r="AQ87" s="9"/>
      <c r="AR87" s="3"/>
      <c r="AS87" s="9"/>
      <c r="AT87" s="9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9"/>
      <c r="BI87" s="9"/>
      <c r="BJ87" s="9"/>
      <c r="BK87" s="11"/>
      <c r="BL87" s="11"/>
      <c r="BM87" s="9"/>
      <c r="BN87" s="9"/>
      <c r="BO87" s="3"/>
    </row>
    <row r="88" spans="1:67">
      <c r="A88" s="3"/>
      <c r="B88" s="3"/>
      <c r="C88" s="4"/>
      <c r="D88" s="7"/>
      <c r="E88" s="4"/>
      <c r="F88" s="9"/>
      <c r="G88" s="4"/>
      <c r="H88" s="4"/>
      <c r="I88" s="3"/>
      <c r="J88" s="3"/>
      <c r="K88" s="9"/>
      <c r="L88" s="3"/>
      <c r="M88" s="3"/>
      <c r="N88" s="3"/>
      <c r="O88" s="3"/>
      <c r="P88" s="3"/>
      <c r="Q88" s="3"/>
      <c r="R88" s="3"/>
      <c r="S88" s="3"/>
      <c r="T88" s="3"/>
      <c r="U88" s="9"/>
      <c r="V88" s="9"/>
      <c r="W88" s="3"/>
      <c r="X88" s="9"/>
      <c r="Y88" s="3"/>
      <c r="Z88" s="3"/>
      <c r="AA88" s="9"/>
      <c r="AB88" s="3"/>
      <c r="AC88" s="3"/>
      <c r="AD88" s="3"/>
      <c r="AE88" s="3"/>
      <c r="AF88" s="9"/>
      <c r="AG88" s="4"/>
      <c r="AH88" s="9"/>
      <c r="AI88" s="3"/>
      <c r="AJ88" s="9"/>
      <c r="AK88" s="9"/>
      <c r="AL88" s="9"/>
      <c r="AM88" s="9"/>
      <c r="AN88" s="9"/>
      <c r="AO88" s="3"/>
      <c r="AP88" s="3"/>
      <c r="AQ88" s="9"/>
      <c r="AR88" s="3"/>
      <c r="AS88" s="9"/>
      <c r="AT88" s="9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9"/>
      <c r="BI88" s="9"/>
      <c r="BJ88" s="9"/>
      <c r="BK88" s="11"/>
      <c r="BL88" s="11"/>
      <c r="BM88" s="9"/>
      <c r="BN88" s="9"/>
      <c r="BO88" s="3"/>
    </row>
    <row r="89" spans="1:67">
      <c r="A89" s="3"/>
      <c r="B89" s="3"/>
      <c r="C89" s="4"/>
      <c r="D89" s="7"/>
      <c r="E89" s="4"/>
      <c r="F89" s="9"/>
      <c r="G89" s="4"/>
      <c r="H89" s="4"/>
      <c r="I89" s="3"/>
      <c r="J89" s="3"/>
      <c r="K89" s="9"/>
      <c r="L89" s="3"/>
      <c r="M89" s="3"/>
      <c r="N89" s="3"/>
      <c r="O89" s="3"/>
      <c r="P89" s="3"/>
      <c r="Q89" s="3"/>
      <c r="R89" s="3"/>
      <c r="S89" s="3"/>
      <c r="T89" s="3"/>
      <c r="U89" s="9"/>
      <c r="V89" s="9"/>
      <c r="W89" s="3"/>
      <c r="X89" s="9"/>
      <c r="Y89" s="3"/>
      <c r="Z89" s="3"/>
      <c r="AA89" s="9"/>
      <c r="AB89" s="3"/>
      <c r="AC89" s="3"/>
      <c r="AD89" s="3"/>
      <c r="AE89" s="3"/>
      <c r="AF89" s="9"/>
      <c r="AG89" s="4"/>
      <c r="AH89" s="9"/>
      <c r="AI89" s="3"/>
      <c r="AJ89" s="9"/>
      <c r="AK89" s="9"/>
      <c r="AL89" s="9"/>
      <c r="AM89" s="9"/>
      <c r="AN89" s="9"/>
      <c r="AO89" s="3"/>
      <c r="AP89" s="3"/>
      <c r="AQ89" s="9"/>
      <c r="AR89" s="3"/>
      <c r="AS89" s="9"/>
      <c r="AT89" s="9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9"/>
      <c r="BI89" s="9"/>
      <c r="BJ89" s="9"/>
      <c r="BK89" s="11"/>
      <c r="BL89" s="11"/>
      <c r="BM89" s="9"/>
      <c r="BN89" s="9"/>
      <c r="BO89" s="3"/>
    </row>
    <row r="90" spans="1:67">
      <c r="A90" s="3"/>
      <c r="B90" s="3"/>
      <c r="C90" s="4"/>
      <c r="D90" s="7"/>
      <c r="E90" s="4"/>
      <c r="F90" s="9"/>
      <c r="G90" s="4"/>
      <c r="H90" s="4"/>
      <c r="I90" s="3"/>
      <c r="J90" s="3"/>
      <c r="K90" s="9"/>
      <c r="L90" s="3"/>
      <c r="M90" s="3"/>
      <c r="N90" s="3"/>
      <c r="O90" s="3"/>
      <c r="P90" s="3"/>
      <c r="Q90" s="3"/>
      <c r="R90" s="3"/>
      <c r="S90" s="3"/>
      <c r="T90" s="3"/>
      <c r="U90" s="9"/>
      <c r="V90" s="9"/>
      <c r="W90" s="3"/>
      <c r="X90" s="9"/>
      <c r="Y90" s="3"/>
      <c r="Z90" s="3"/>
      <c r="AA90" s="9"/>
      <c r="AB90" s="3"/>
      <c r="AC90" s="3"/>
      <c r="AD90" s="3"/>
      <c r="AE90" s="3"/>
      <c r="AF90" s="9"/>
      <c r="AG90" s="4"/>
      <c r="AH90" s="9"/>
      <c r="AI90" s="3"/>
      <c r="AJ90" s="9"/>
      <c r="AK90" s="9"/>
      <c r="AL90" s="9"/>
      <c r="AM90" s="9"/>
      <c r="AN90" s="9"/>
      <c r="AO90" s="3"/>
      <c r="AP90" s="3"/>
      <c r="AQ90" s="9"/>
      <c r="AR90" s="3"/>
      <c r="AS90" s="9"/>
      <c r="AT90" s="9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9"/>
      <c r="BI90" s="9"/>
      <c r="BJ90" s="9"/>
      <c r="BK90" s="11"/>
      <c r="BL90" s="11"/>
      <c r="BM90" s="9"/>
      <c r="BN90" s="9"/>
      <c r="BO90" s="3"/>
    </row>
    <row r="91" spans="1:67">
      <c r="A91" s="3"/>
      <c r="B91" s="3"/>
      <c r="C91" s="4"/>
      <c r="D91" s="7"/>
      <c r="E91" s="4"/>
      <c r="F91" s="9"/>
      <c r="G91" s="4"/>
      <c r="H91" s="4"/>
      <c r="I91" s="3"/>
      <c r="J91" s="3"/>
      <c r="K91" s="9"/>
      <c r="L91" s="3"/>
      <c r="M91" s="3"/>
      <c r="N91" s="3"/>
      <c r="O91" s="3"/>
      <c r="P91" s="3"/>
      <c r="Q91" s="3"/>
      <c r="R91" s="3"/>
      <c r="S91" s="3"/>
      <c r="T91" s="3"/>
      <c r="U91" s="9"/>
      <c r="V91" s="9"/>
      <c r="W91" s="3"/>
      <c r="X91" s="9"/>
      <c r="Y91" s="3"/>
      <c r="Z91" s="3"/>
      <c r="AA91" s="9"/>
      <c r="AB91" s="3"/>
      <c r="AC91" s="3"/>
      <c r="AD91" s="3"/>
      <c r="AE91" s="3"/>
      <c r="AF91" s="9"/>
      <c r="AG91" s="4"/>
      <c r="AH91" s="9"/>
      <c r="AI91" s="3"/>
      <c r="AJ91" s="9"/>
      <c r="AK91" s="9"/>
      <c r="AL91" s="9"/>
      <c r="AM91" s="9"/>
      <c r="AN91" s="9"/>
      <c r="AO91" s="3"/>
      <c r="AP91" s="3"/>
      <c r="AQ91" s="9"/>
      <c r="AR91" s="3"/>
      <c r="AS91" s="9"/>
      <c r="AT91" s="9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9"/>
      <c r="BI91" s="9"/>
      <c r="BJ91" s="9"/>
      <c r="BK91" s="11"/>
      <c r="BL91" s="11"/>
      <c r="BM91" s="9"/>
      <c r="BN91" s="9"/>
      <c r="BO91" s="3"/>
    </row>
    <row r="92" spans="1:67">
      <c r="A92" s="3"/>
      <c r="B92" s="3"/>
      <c r="C92" s="4"/>
      <c r="D92" s="7"/>
      <c r="E92" s="4"/>
      <c r="F92" s="9"/>
      <c r="G92" s="4"/>
      <c r="H92" s="4"/>
      <c r="I92" s="3"/>
      <c r="J92" s="3"/>
      <c r="K92" s="9"/>
      <c r="L92" s="3"/>
      <c r="M92" s="3"/>
      <c r="N92" s="3"/>
      <c r="O92" s="3"/>
      <c r="P92" s="3"/>
      <c r="Q92" s="3"/>
      <c r="R92" s="3"/>
      <c r="S92" s="3"/>
      <c r="T92" s="3"/>
      <c r="U92" s="9"/>
      <c r="V92" s="9"/>
      <c r="W92" s="3"/>
      <c r="X92" s="9"/>
      <c r="Y92" s="3"/>
      <c r="Z92" s="3"/>
      <c r="AA92" s="9"/>
      <c r="AB92" s="3"/>
      <c r="AC92" s="3"/>
      <c r="AD92" s="3"/>
      <c r="AE92" s="3"/>
      <c r="AF92" s="9"/>
      <c r="AG92" s="4"/>
      <c r="AH92" s="9"/>
      <c r="AI92" s="3"/>
      <c r="AJ92" s="9"/>
      <c r="AK92" s="9"/>
      <c r="AL92" s="9"/>
      <c r="AM92" s="9"/>
      <c r="AN92" s="9"/>
      <c r="AO92" s="3"/>
      <c r="AP92" s="3"/>
      <c r="AQ92" s="9"/>
      <c r="AR92" s="3"/>
      <c r="AS92" s="9"/>
      <c r="AT92" s="9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9"/>
      <c r="BI92" s="9"/>
      <c r="BJ92" s="9"/>
      <c r="BK92" s="11"/>
      <c r="BL92" s="11"/>
      <c r="BM92" s="9"/>
      <c r="BN92" s="9"/>
      <c r="BO92" s="3"/>
    </row>
    <row r="93" spans="1:67">
      <c r="A93" s="3"/>
      <c r="B93" s="3"/>
      <c r="C93" s="4"/>
      <c r="D93" s="7"/>
      <c r="E93" s="4"/>
      <c r="F93" s="9"/>
      <c r="G93" s="4"/>
      <c r="H93" s="4"/>
      <c r="I93" s="3"/>
      <c r="J93" s="3"/>
      <c r="K93" s="9"/>
      <c r="L93" s="3"/>
      <c r="M93" s="3"/>
      <c r="N93" s="3"/>
      <c r="O93" s="3"/>
      <c r="P93" s="3"/>
      <c r="Q93" s="3"/>
      <c r="R93" s="3"/>
      <c r="S93" s="3"/>
      <c r="T93" s="3"/>
      <c r="U93" s="9"/>
      <c r="V93" s="9"/>
      <c r="W93" s="3"/>
      <c r="X93" s="9"/>
      <c r="Y93" s="3"/>
      <c r="Z93" s="3"/>
      <c r="AA93" s="9"/>
      <c r="AB93" s="3"/>
      <c r="AC93" s="3"/>
      <c r="AD93" s="3"/>
      <c r="AE93" s="3"/>
      <c r="AF93" s="9"/>
      <c r="AG93" s="4"/>
      <c r="AH93" s="9"/>
      <c r="AI93" s="3"/>
      <c r="AJ93" s="9"/>
      <c r="AK93" s="9"/>
      <c r="AL93" s="9"/>
      <c r="AM93" s="9"/>
      <c r="AN93" s="9"/>
      <c r="AO93" s="3"/>
      <c r="AP93" s="3"/>
      <c r="AQ93" s="9"/>
      <c r="AR93" s="3"/>
      <c r="AS93" s="9"/>
      <c r="AT93" s="9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9"/>
      <c r="BI93" s="9"/>
      <c r="BJ93" s="9"/>
      <c r="BK93" s="11"/>
      <c r="BL93" s="11"/>
      <c r="BM93" s="9"/>
      <c r="BN93" s="9"/>
      <c r="BO93" s="3"/>
    </row>
    <row r="94" spans="1:67">
      <c r="A94" s="3"/>
      <c r="B94" s="3"/>
      <c r="C94" s="4"/>
      <c r="D94" s="7"/>
      <c r="E94" s="4"/>
      <c r="F94" s="9"/>
      <c r="G94" s="4"/>
      <c r="H94" s="4"/>
      <c r="I94" s="3"/>
      <c r="J94" s="3"/>
      <c r="K94" s="9"/>
      <c r="L94" s="3"/>
      <c r="M94" s="3"/>
      <c r="N94" s="3"/>
      <c r="O94" s="3"/>
      <c r="P94" s="3"/>
      <c r="Q94" s="3"/>
      <c r="R94" s="3"/>
      <c r="S94" s="3"/>
      <c r="T94" s="3"/>
      <c r="U94" s="9"/>
      <c r="V94" s="9"/>
      <c r="W94" s="3"/>
      <c r="X94" s="9"/>
      <c r="Y94" s="3"/>
      <c r="Z94" s="3"/>
      <c r="AA94" s="9"/>
      <c r="AB94" s="3"/>
      <c r="AC94" s="3"/>
      <c r="AD94" s="3"/>
      <c r="AE94" s="3"/>
      <c r="AF94" s="9"/>
      <c r="AG94" s="4"/>
      <c r="AH94" s="9"/>
      <c r="AI94" s="3"/>
      <c r="AJ94" s="9"/>
      <c r="AK94" s="9"/>
      <c r="AL94" s="9"/>
      <c r="AM94" s="9"/>
      <c r="AN94" s="9"/>
      <c r="AO94" s="3"/>
      <c r="AP94" s="3"/>
      <c r="AQ94" s="9"/>
      <c r="AR94" s="3"/>
      <c r="AS94" s="9"/>
      <c r="AT94" s="9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9"/>
      <c r="BI94" s="9"/>
      <c r="BJ94" s="9"/>
      <c r="BK94" s="11"/>
      <c r="BL94" s="11"/>
      <c r="BM94" s="9"/>
      <c r="BN94" s="9"/>
      <c r="BO94" s="3"/>
    </row>
    <row r="95" spans="1:67">
      <c r="A95" s="3"/>
      <c r="B95" s="3"/>
      <c r="C95" s="4"/>
      <c r="D95" s="7"/>
      <c r="E95" s="4"/>
      <c r="F95" s="9"/>
      <c r="G95" s="4"/>
      <c r="H95" s="4"/>
      <c r="I95" s="3"/>
      <c r="J95" s="3"/>
      <c r="K95" s="9"/>
      <c r="L95" s="3"/>
      <c r="M95" s="3"/>
      <c r="N95" s="3"/>
      <c r="O95" s="3"/>
      <c r="P95" s="3"/>
      <c r="Q95" s="3"/>
      <c r="R95" s="3"/>
      <c r="S95" s="3"/>
      <c r="T95" s="3"/>
      <c r="U95" s="9"/>
      <c r="V95" s="9"/>
      <c r="W95" s="3"/>
      <c r="X95" s="9"/>
      <c r="Y95" s="3"/>
      <c r="Z95" s="3"/>
      <c r="AA95" s="9"/>
      <c r="AB95" s="3"/>
      <c r="AC95" s="3"/>
      <c r="AD95" s="3"/>
      <c r="AE95" s="3"/>
      <c r="AF95" s="9"/>
      <c r="AG95" s="4"/>
      <c r="AH95" s="9"/>
      <c r="AI95" s="3"/>
      <c r="AJ95" s="9"/>
      <c r="AK95" s="9"/>
      <c r="AL95" s="9"/>
      <c r="AM95" s="9"/>
      <c r="AN95" s="9"/>
      <c r="AO95" s="3"/>
      <c r="AP95" s="3"/>
      <c r="AQ95" s="9"/>
      <c r="AR95" s="3"/>
      <c r="AS95" s="9"/>
      <c r="AT95" s="9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9"/>
      <c r="BI95" s="9"/>
      <c r="BJ95" s="9"/>
      <c r="BK95" s="11"/>
      <c r="BL95" s="11"/>
      <c r="BM95" s="9"/>
      <c r="BN95" s="9"/>
      <c r="BO95" s="3"/>
    </row>
    <row r="96" spans="1:67">
      <c r="A96" s="3"/>
      <c r="B96" s="3"/>
      <c r="C96" s="4"/>
      <c r="D96" s="7"/>
      <c r="E96" s="4"/>
      <c r="F96" s="9"/>
      <c r="G96" s="4"/>
      <c r="H96" s="4"/>
      <c r="I96" s="3"/>
      <c r="J96" s="3"/>
      <c r="K96" s="9"/>
      <c r="L96" s="3"/>
      <c r="M96" s="3"/>
      <c r="N96" s="3"/>
      <c r="O96" s="3"/>
      <c r="P96" s="3"/>
      <c r="Q96" s="3"/>
      <c r="R96" s="3"/>
      <c r="S96" s="3"/>
      <c r="T96" s="3"/>
      <c r="U96" s="9"/>
      <c r="V96" s="9"/>
      <c r="W96" s="3"/>
      <c r="X96" s="9"/>
      <c r="Y96" s="3"/>
      <c r="Z96" s="3"/>
      <c r="AA96" s="9"/>
      <c r="AB96" s="3"/>
      <c r="AC96" s="3"/>
      <c r="AD96" s="3"/>
      <c r="AE96" s="3"/>
      <c r="AF96" s="9"/>
      <c r="AG96" s="4"/>
      <c r="AH96" s="9"/>
      <c r="AI96" s="3"/>
      <c r="AJ96" s="9"/>
      <c r="AK96" s="9"/>
      <c r="AL96" s="9"/>
      <c r="AM96" s="9"/>
      <c r="AN96" s="9"/>
      <c r="AO96" s="3"/>
      <c r="AP96" s="3"/>
      <c r="AQ96" s="9"/>
      <c r="AR96" s="3"/>
      <c r="AS96" s="9"/>
      <c r="AT96" s="9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9"/>
      <c r="BI96" s="9"/>
      <c r="BJ96" s="9"/>
      <c r="BK96" s="11"/>
      <c r="BL96" s="11"/>
      <c r="BM96" s="9"/>
      <c r="BN96" s="9"/>
      <c r="BO96" s="3"/>
    </row>
    <row r="97" spans="1:67">
      <c r="A97" s="3"/>
      <c r="B97" s="3"/>
      <c r="C97" s="4"/>
      <c r="D97" s="7"/>
      <c r="E97" s="4"/>
      <c r="F97" s="9"/>
      <c r="G97" s="4"/>
      <c r="H97" s="4"/>
      <c r="I97" s="3"/>
      <c r="J97" s="3"/>
      <c r="K97" s="9"/>
      <c r="L97" s="3"/>
      <c r="M97" s="3"/>
      <c r="N97" s="3"/>
      <c r="O97" s="3"/>
      <c r="P97" s="3"/>
      <c r="Q97" s="3"/>
      <c r="R97" s="3"/>
      <c r="S97" s="3"/>
      <c r="T97" s="3"/>
      <c r="U97" s="9"/>
      <c r="V97" s="9"/>
      <c r="W97" s="3"/>
      <c r="X97" s="9"/>
      <c r="Y97" s="3"/>
      <c r="Z97" s="3"/>
      <c r="AA97" s="9"/>
      <c r="AB97" s="3"/>
      <c r="AC97" s="3"/>
      <c r="AD97" s="3"/>
      <c r="AE97" s="3"/>
      <c r="AF97" s="9"/>
      <c r="AG97" s="4"/>
      <c r="AH97" s="9"/>
      <c r="AI97" s="3"/>
      <c r="AJ97" s="9"/>
      <c r="AK97" s="9"/>
      <c r="AL97" s="9"/>
      <c r="AM97" s="9"/>
      <c r="AN97" s="9"/>
      <c r="AO97" s="3"/>
      <c r="AP97" s="3"/>
      <c r="AQ97" s="9"/>
      <c r="AR97" s="3"/>
      <c r="AS97" s="9"/>
      <c r="AT97" s="9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9"/>
      <c r="BI97" s="9"/>
      <c r="BJ97" s="9"/>
      <c r="BK97" s="11"/>
      <c r="BL97" s="11"/>
      <c r="BM97" s="9"/>
      <c r="BN97" s="9"/>
      <c r="BO97" s="3"/>
    </row>
    <row r="98" spans="1:67">
      <c r="A98" s="3"/>
      <c r="B98" s="3"/>
      <c r="C98" s="4"/>
      <c r="D98" s="7"/>
      <c r="E98" s="4"/>
      <c r="F98" s="9"/>
      <c r="G98" s="4"/>
      <c r="H98" s="4"/>
      <c r="I98" s="3"/>
      <c r="J98" s="3"/>
      <c r="K98" s="9"/>
      <c r="L98" s="3"/>
      <c r="M98" s="3"/>
      <c r="N98" s="3"/>
      <c r="O98" s="3"/>
      <c r="P98" s="3"/>
      <c r="Q98" s="3"/>
      <c r="R98" s="3"/>
      <c r="S98" s="3"/>
      <c r="T98" s="3"/>
      <c r="U98" s="9"/>
      <c r="V98" s="9"/>
      <c r="W98" s="3"/>
      <c r="X98" s="9"/>
      <c r="Y98" s="3"/>
      <c r="Z98" s="3"/>
      <c r="AA98" s="9"/>
      <c r="AB98" s="3"/>
      <c r="AC98" s="3"/>
      <c r="AD98" s="3"/>
      <c r="AE98" s="3"/>
      <c r="AF98" s="9"/>
      <c r="AG98" s="4"/>
      <c r="AH98" s="9"/>
      <c r="AI98" s="3"/>
      <c r="AJ98" s="9"/>
      <c r="AK98" s="9"/>
      <c r="AL98" s="9"/>
      <c r="AM98" s="9"/>
      <c r="AN98" s="9"/>
      <c r="AO98" s="3"/>
      <c r="AP98" s="3"/>
      <c r="AQ98" s="9"/>
      <c r="AR98" s="3"/>
      <c r="AS98" s="9"/>
      <c r="AT98" s="9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9"/>
      <c r="BI98" s="9"/>
      <c r="BJ98" s="9"/>
      <c r="BK98" s="11"/>
      <c r="BL98" s="11"/>
      <c r="BM98" s="9"/>
      <c r="BN98" s="9"/>
      <c r="BO98" s="3"/>
    </row>
    <row r="99" spans="1:67">
      <c r="A99" s="3"/>
      <c r="B99" s="3"/>
      <c r="C99" s="4"/>
      <c r="D99" s="7"/>
      <c r="E99" s="4"/>
      <c r="F99" s="9"/>
      <c r="G99" s="4"/>
      <c r="H99" s="4"/>
      <c r="I99" s="3"/>
      <c r="J99" s="3"/>
      <c r="K99" s="9"/>
      <c r="L99" s="3"/>
      <c r="M99" s="3"/>
      <c r="N99" s="3"/>
      <c r="O99" s="3"/>
      <c r="P99" s="3"/>
      <c r="Q99" s="3"/>
      <c r="R99" s="3"/>
      <c r="S99" s="3"/>
      <c r="T99" s="3"/>
      <c r="U99" s="9"/>
      <c r="V99" s="9"/>
      <c r="W99" s="3"/>
      <c r="X99" s="9"/>
      <c r="Y99" s="3"/>
      <c r="Z99" s="3"/>
      <c r="AA99" s="9"/>
      <c r="AB99" s="3"/>
      <c r="AC99" s="3"/>
      <c r="AD99" s="3"/>
      <c r="AE99" s="3"/>
      <c r="AF99" s="9"/>
      <c r="AG99" s="4"/>
      <c r="AH99" s="9"/>
      <c r="AI99" s="3"/>
      <c r="AJ99" s="9"/>
      <c r="AK99" s="9"/>
      <c r="AL99" s="9"/>
      <c r="AM99" s="9"/>
      <c r="AN99" s="9"/>
      <c r="AO99" s="3"/>
      <c r="AP99" s="3"/>
      <c r="AQ99" s="9"/>
      <c r="AR99" s="3"/>
      <c r="AS99" s="9"/>
      <c r="AT99" s="9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9"/>
      <c r="BI99" s="9"/>
      <c r="BJ99" s="9"/>
      <c r="BK99" s="11"/>
      <c r="BL99" s="11"/>
      <c r="BM99" s="9"/>
      <c r="BN99" s="9"/>
      <c r="BO99" s="3"/>
    </row>
    <row r="100" spans="1:67">
      <c r="A100" s="3"/>
      <c r="B100" s="3"/>
      <c r="C100" s="4"/>
      <c r="D100" s="7"/>
      <c r="E100" s="4"/>
      <c r="F100" s="9"/>
      <c r="G100" s="4"/>
      <c r="H100" s="4"/>
      <c r="I100" s="3"/>
      <c r="J100" s="3"/>
      <c r="K100" s="9"/>
      <c r="L100" s="3"/>
      <c r="M100" s="3"/>
      <c r="N100" s="3"/>
      <c r="O100" s="3"/>
      <c r="P100" s="3"/>
      <c r="Q100" s="3"/>
      <c r="R100" s="3"/>
      <c r="S100" s="3"/>
      <c r="T100" s="3"/>
      <c r="U100" s="9"/>
      <c r="V100" s="9"/>
      <c r="W100" s="3"/>
      <c r="X100" s="9"/>
      <c r="Y100" s="3"/>
      <c r="Z100" s="3"/>
      <c r="AA100" s="9"/>
      <c r="AB100" s="3"/>
      <c r="AC100" s="3"/>
      <c r="AD100" s="3"/>
      <c r="AE100" s="3"/>
      <c r="AF100" s="9"/>
      <c r="AG100" s="4"/>
      <c r="AH100" s="9"/>
      <c r="AI100" s="3"/>
      <c r="AJ100" s="9"/>
      <c r="AK100" s="9"/>
      <c r="AL100" s="9"/>
      <c r="AM100" s="9"/>
      <c r="AN100" s="9"/>
      <c r="AO100" s="3"/>
      <c r="AP100" s="3"/>
      <c r="AQ100" s="9"/>
      <c r="AR100" s="3"/>
      <c r="AS100" s="9"/>
      <c r="AT100" s="9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9"/>
      <c r="BI100" s="9"/>
      <c r="BJ100" s="9"/>
      <c r="BK100" s="11"/>
      <c r="BL100" s="11"/>
      <c r="BM100" s="9"/>
      <c r="BN100" s="9"/>
      <c r="BO100" s="3"/>
    </row>
    <row r="101" spans="1:67">
      <c r="A101" s="3"/>
      <c r="B101" s="3"/>
      <c r="C101" s="4"/>
      <c r="D101" s="7"/>
      <c r="E101" s="4"/>
      <c r="F101" s="9"/>
      <c r="G101" s="4"/>
      <c r="H101" s="4"/>
      <c r="I101" s="3"/>
      <c r="J101" s="3"/>
      <c r="K101" s="9"/>
      <c r="L101" s="3"/>
      <c r="M101" s="3"/>
      <c r="N101" s="3"/>
      <c r="O101" s="3"/>
      <c r="P101" s="3"/>
      <c r="Q101" s="3"/>
      <c r="R101" s="3"/>
      <c r="S101" s="3"/>
      <c r="T101" s="3"/>
      <c r="U101" s="9"/>
      <c r="V101" s="9"/>
      <c r="W101" s="3"/>
      <c r="X101" s="9"/>
      <c r="Y101" s="3"/>
      <c r="Z101" s="3"/>
      <c r="AA101" s="9"/>
      <c r="AB101" s="3"/>
      <c r="AC101" s="3"/>
      <c r="AD101" s="3"/>
      <c r="AE101" s="3"/>
      <c r="AF101" s="9"/>
      <c r="AG101" s="4"/>
      <c r="AH101" s="9"/>
      <c r="AI101" s="3"/>
      <c r="AJ101" s="9"/>
      <c r="AK101" s="9"/>
      <c r="AL101" s="9"/>
      <c r="AM101" s="9"/>
      <c r="AN101" s="9"/>
      <c r="AO101" s="3"/>
      <c r="AP101" s="3"/>
      <c r="AQ101" s="9"/>
      <c r="AR101" s="3"/>
      <c r="AS101" s="9"/>
      <c r="AT101" s="9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9"/>
      <c r="BI101" s="9"/>
      <c r="BJ101" s="9"/>
      <c r="BK101" s="11"/>
      <c r="BL101" s="11"/>
      <c r="BM101" s="9"/>
      <c r="BN101" s="9"/>
      <c r="BO101" s="3"/>
    </row>
    <row r="102" spans="1:67">
      <c r="A102" s="3"/>
      <c r="B102" s="3"/>
      <c r="C102" s="4"/>
      <c r="D102" s="7"/>
      <c r="E102" s="4"/>
      <c r="F102" s="9"/>
      <c r="G102" s="4"/>
      <c r="H102" s="4"/>
      <c r="I102" s="3"/>
      <c r="J102" s="3"/>
      <c r="K102" s="9"/>
      <c r="L102" s="3"/>
      <c r="M102" s="3"/>
      <c r="N102" s="3"/>
      <c r="O102" s="3"/>
      <c r="P102" s="3"/>
      <c r="Q102" s="3"/>
      <c r="R102" s="3"/>
      <c r="S102" s="3"/>
      <c r="T102" s="3"/>
      <c r="U102" s="9"/>
      <c r="V102" s="9"/>
      <c r="W102" s="3"/>
      <c r="X102" s="9"/>
      <c r="Y102" s="3"/>
      <c r="Z102" s="3"/>
      <c r="AA102" s="9"/>
      <c r="AB102" s="3"/>
      <c r="AC102" s="3"/>
      <c r="AD102" s="3"/>
      <c r="AE102" s="3"/>
      <c r="AF102" s="9"/>
      <c r="AG102" s="4"/>
      <c r="AH102" s="9"/>
      <c r="AI102" s="3"/>
      <c r="AJ102" s="9"/>
      <c r="AK102" s="9"/>
      <c r="AL102" s="9"/>
      <c r="AM102" s="9"/>
      <c r="AN102" s="9"/>
      <c r="AO102" s="3"/>
      <c r="AP102" s="3"/>
      <c r="AQ102" s="9"/>
      <c r="AR102" s="3"/>
      <c r="AS102" s="9"/>
      <c r="AT102" s="9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9"/>
      <c r="BI102" s="9"/>
      <c r="BJ102" s="9"/>
      <c r="BK102" s="11"/>
      <c r="BL102" s="11"/>
      <c r="BM102" s="9"/>
      <c r="BN102" s="9"/>
      <c r="BO102" s="3"/>
    </row>
    <row r="103" spans="1:67">
      <c r="A103" s="3"/>
      <c r="B103" s="3"/>
      <c r="C103" s="4"/>
      <c r="D103" s="7"/>
      <c r="E103" s="4"/>
      <c r="F103" s="9"/>
      <c r="G103" s="4"/>
      <c r="H103" s="4"/>
      <c r="I103" s="3"/>
      <c r="J103" s="3"/>
      <c r="K103" s="9"/>
      <c r="L103" s="3"/>
      <c r="M103" s="3"/>
      <c r="N103" s="3"/>
      <c r="O103" s="3"/>
      <c r="P103" s="3"/>
      <c r="Q103" s="3"/>
      <c r="R103" s="3"/>
      <c r="S103" s="3"/>
      <c r="T103" s="3"/>
      <c r="U103" s="9"/>
      <c r="V103" s="9"/>
      <c r="W103" s="3"/>
      <c r="X103" s="9"/>
      <c r="Y103" s="3"/>
      <c r="Z103" s="3"/>
      <c r="AA103" s="9"/>
      <c r="AB103" s="3"/>
      <c r="AC103" s="3"/>
      <c r="AD103" s="3"/>
      <c r="AE103" s="3"/>
      <c r="AF103" s="9"/>
      <c r="AG103" s="4"/>
      <c r="AH103" s="9"/>
      <c r="AI103" s="3"/>
      <c r="AJ103" s="9"/>
      <c r="AK103" s="9"/>
      <c r="AL103" s="9"/>
      <c r="AM103" s="9"/>
      <c r="AN103" s="9"/>
      <c r="AO103" s="3"/>
      <c r="AP103" s="3"/>
      <c r="AQ103" s="9"/>
      <c r="AR103" s="3"/>
      <c r="AS103" s="9"/>
      <c r="AT103" s="9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9"/>
      <c r="BI103" s="9"/>
      <c r="BJ103" s="9"/>
      <c r="BK103" s="11"/>
      <c r="BL103" s="11"/>
      <c r="BM103" s="9"/>
      <c r="BN103" s="9"/>
      <c r="BO103" s="3"/>
    </row>
    <row r="104" spans="1:67">
      <c r="A104" s="3"/>
      <c r="B104" s="3"/>
      <c r="C104" s="4"/>
      <c r="D104" s="7"/>
      <c r="E104" s="4"/>
      <c r="F104" s="9"/>
      <c r="G104" s="4"/>
      <c r="H104" s="4"/>
      <c r="I104" s="3"/>
      <c r="J104" s="3"/>
      <c r="K104" s="9"/>
      <c r="L104" s="3"/>
      <c r="M104" s="3"/>
      <c r="N104" s="3"/>
      <c r="O104" s="3"/>
      <c r="P104" s="3"/>
      <c r="Q104" s="3"/>
      <c r="R104" s="3"/>
      <c r="S104" s="3"/>
      <c r="T104" s="3"/>
      <c r="U104" s="9"/>
      <c r="V104" s="9"/>
      <c r="W104" s="3"/>
      <c r="X104" s="9"/>
      <c r="Y104" s="3"/>
      <c r="Z104" s="3"/>
      <c r="AA104" s="9"/>
      <c r="AB104" s="3"/>
      <c r="AC104" s="3"/>
      <c r="AD104" s="3"/>
      <c r="AE104" s="3"/>
      <c r="AF104" s="9"/>
      <c r="AG104" s="4"/>
      <c r="AH104" s="9"/>
      <c r="AI104" s="3"/>
      <c r="AJ104" s="9"/>
      <c r="AK104" s="9"/>
      <c r="AL104" s="9"/>
      <c r="AM104" s="9"/>
      <c r="AN104" s="9"/>
      <c r="AO104" s="3"/>
      <c r="AP104" s="3"/>
      <c r="AQ104" s="9"/>
      <c r="AR104" s="3"/>
      <c r="AS104" s="9"/>
      <c r="AT104" s="9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9"/>
      <c r="BI104" s="9"/>
      <c r="BJ104" s="9"/>
      <c r="BK104" s="11"/>
      <c r="BL104" s="11"/>
      <c r="BM104" s="9"/>
      <c r="BN104" s="9"/>
      <c r="BO104" s="3"/>
    </row>
  </sheetData>
  <mergeCells count="6">
    <mergeCell ref="A4:BO4"/>
    <mergeCell ref="A1:BO1"/>
    <mergeCell ref="A2:AG2"/>
    <mergeCell ref="AH2:AV2"/>
    <mergeCell ref="AW2:BF2"/>
    <mergeCell ref="BG2:BO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showGridLines="0" workbookViewId="0"/>
  </sheetViews>
  <sheetFormatPr defaultRowHeight="14.25"/>
  <cols>
    <col min="1" max="1" width="35" customWidth="1"/>
    <col min="2" max="3" width="16" customWidth="1"/>
    <col min="4" max="7" width="20" customWidth="1"/>
    <col min="8" max="8" width="38" customWidth="1"/>
  </cols>
  <sheetData>
    <row r="1" spans="1:8" ht="15">
      <c r="A1" s="1" t="s">
        <v>75</v>
      </c>
      <c r="B1" s="1" t="s">
        <v>5</v>
      </c>
      <c r="C1" s="1" t="s">
        <v>6</v>
      </c>
      <c r="D1" s="1" t="s">
        <v>7</v>
      </c>
      <c r="E1" s="1" t="s">
        <v>9</v>
      </c>
      <c r="F1" s="1" t="s">
        <v>11</v>
      </c>
      <c r="G1" s="1" t="s">
        <v>12</v>
      </c>
      <c r="H1" s="1" t="s">
        <v>37</v>
      </c>
    </row>
    <row r="2" spans="1:8">
      <c r="A2" s="3" t="s">
        <v>76</v>
      </c>
      <c r="B2" s="3" t="s">
        <v>73</v>
      </c>
      <c r="C2" s="3" t="s">
        <v>74</v>
      </c>
      <c r="D2" s="4"/>
      <c r="E2" s="4"/>
      <c r="F2" s="4"/>
      <c r="G2" s="4"/>
      <c r="H2" s="4"/>
    </row>
    <row r="3" spans="1:8">
      <c r="A3" s="3"/>
      <c r="B3" s="3"/>
      <c r="C3" s="3"/>
      <c r="D3" s="4"/>
      <c r="E3" s="4"/>
      <c r="F3" s="4"/>
      <c r="G3" s="4"/>
      <c r="H3" s="4"/>
    </row>
    <row r="4" spans="1:8">
      <c r="A4" s="3"/>
      <c r="B4" s="3"/>
      <c r="C4" s="3"/>
      <c r="D4" s="4"/>
      <c r="E4" s="4"/>
      <c r="F4" s="4"/>
      <c r="G4" s="4"/>
      <c r="H4" s="4"/>
    </row>
    <row r="5" spans="1:8">
      <c r="A5" s="3"/>
      <c r="B5" s="3"/>
      <c r="C5" s="3"/>
      <c r="D5" s="4"/>
      <c r="E5" s="4"/>
      <c r="F5" s="4"/>
      <c r="G5" s="4"/>
      <c r="H5" s="4"/>
    </row>
    <row r="6" spans="1:8">
      <c r="A6" s="3"/>
      <c r="B6" s="3"/>
      <c r="C6" s="3"/>
      <c r="D6" s="4"/>
      <c r="E6" s="4"/>
      <c r="F6" s="4"/>
      <c r="G6" s="4"/>
      <c r="H6" s="4"/>
    </row>
    <row r="7" spans="1:8">
      <c r="A7" s="3"/>
      <c r="B7" s="3"/>
      <c r="C7" s="3"/>
      <c r="D7" s="4"/>
      <c r="E7" s="4"/>
      <c r="F7" s="4"/>
      <c r="G7" s="4"/>
      <c r="H7" s="4"/>
    </row>
    <row r="8" spans="1:8">
      <c r="A8" s="3"/>
      <c r="B8" s="3"/>
      <c r="C8" s="3"/>
      <c r="D8" s="4"/>
      <c r="E8" s="4"/>
      <c r="F8" s="4"/>
      <c r="G8" s="4"/>
      <c r="H8" s="4"/>
    </row>
    <row r="9" spans="1:8">
      <c r="A9" s="3"/>
      <c r="B9" s="3"/>
      <c r="C9" s="3"/>
      <c r="D9" s="4"/>
      <c r="E9" s="4"/>
      <c r="F9" s="4"/>
      <c r="G9" s="4"/>
      <c r="H9" s="4"/>
    </row>
    <row r="10" spans="1:8">
      <c r="A10" s="3"/>
      <c r="B10" s="3"/>
      <c r="C10" s="3"/>
      <c r="D10" s="4"/>
      <c r="E10" s="4"/>
      <c r="F10" s="4"/>
      <c r="G10" s="4"/>
      <c r="H10" s="4"/>
    </row>
    <row r="11" spans="1:8">
      <c r="A11" s="3"/>
      <c r="B11" s="3"/>
      <c r="C11" s="3"/>
      <c r="D11" s="4"/>
      <c r="E11" s="4"/>
      <c r="F11" s="4"/>
      <c r="G11" s="4"/>
      <c r="H11" s="4"/>
    </row>
    <row r="12" spans="1:8">
      <c r="A12" s="3"/>
      <c r="B12" s="3"/>
      <c r="C12" s="3"/>
      <c r="D12" s="4"/>
      <c r="E12" s="4"/>
      <c r="F12" s="4"/>
      <c r="G12" s="4"/>
      <c r="H12" s="4"/>
    </row>
    <row r="13" spans="1:8">
      <c r="A13" s="3"/>
      <c r="B13" s="3"/>
      <c r="C13" s="3"/>
      <c r="D13" s="4"/>
      <c r="E13" s="4"/>
      <c r="F13" s="4"/>
      <c r="G13" s="4"/>
      <c r="H13" s="4"/>
    </row>
    <row r="14" spans="1:8">
      <c r="A14" s="3"/>
      <c r="B14" s="3"/>
      <c r="C14" s="3"/>
      <c r="D14" s="4"/>
      <c r="E14" s="4"/>
      <c r="F14" s="4"/>
      <c r="G14" s="4"/>
      <c r="H14" s="4"/>
    </row>
    <row r="15" spans="1:8">
      <c r="A15" s="3"/>
      <c r="B15" s="3"/>
      <c r="C15" s="3"/>
      <c r="D15" s="4"/>
      <c r="E15" s="4"/>
      <c r="F15" s="4"/>
      <c r="G15" s="4"/>
      <c r="H15" s="4"/>
    </row>
    <row r="16" spans="1:8">
      <c r="A16" s="3"/>
      <c r="B16" s="3"/>
      <c r="C16" s="3"/>
      <c r="D16" s="4"/>
      <c r="E16" s="4"/>
      <c r="F16" s="4"/>
      <c r="G16" s="4"/>
      <c r="H16" s="4"/>
    </row>
    <row r="17" spans="1:8">
      <c r="A17" s="3"/>
      <c r="B17" s="3"/>
      <c r="C17" s="3"/>
      <c r="D17" s="4"/>
      <c r="E17" s="4"/>
      <c r="F17" s="4"/>
      <c r="G17" s="4"/>
      <c r="H17" s="4"/>
    </row>
    <row r="18" spans="1:8">
      <c r="A18" s="3"/>
      <c r="B18" s="3"/>
      <c r="C18" s="3"/>
      <c r="D18" s="4"/>
      <c r="E18" s="4"/>
      <c r="F18" s="4"/>
      <c r="G18" s="4"/>
      <c r="H18" s="4"/>
    </row>
    <row r="19" spans="1:8">
      <c r="A19" s="3"/>
      <c r="B19" s="3"/>
      <c r="C19" s="3"/>
      <c r="D19" s="4"/>
      <c r="E19" s="4"/>
      <c r="F19" s="4"/>
      <c r="G19" s="4"/>
      <c r="H19" s="4"/>
    </row>
    <row r="20" spans="1:8">
      <c r="A20" s="3"/>
      <c r="B20" s="3"/>
      <c r="C20" s="3"/>
      <c r="D20" s="4"/>
      <c r="E20" s="4"/>
      <c r="F20" s="4"/>
      <c r="G20" s="4"/>
      <c r="H20" s="4"/>
    </row>
    <row r="21" spans="1:8">
      <c r="A21" s="3"/>
      <c r="B21" s="3"/>
      <c r="C21" s="3"/>
      <c r="D21" s="4"/>
      <c r="E21" s="4"/>
      <c r="F21" s="4"/>
      <c r="G21" s="4"/>
      <c r="H21" s="4"/>
    </row>
    <row r="22" spans="1:8">
      <c r="A22" s="3"/>
      <c r="B22" s="3"/>
      <c r="C22" s="3"/>
      <c r="D22" s="4"/>
      <c r="E22" s="4"/>
      <c r="F22" s="4"/>
      <c r="G22" s="4"/>
      <c r="H22" s="4"/>
    </row>
    <row r="23" spans="1:8">
      <c r="A23" s="3"/>
      <c r="B23" s="3"/>
      <c r="C23" s="3"/>
      <c r="D23" s="4"/>
      <c r="E23" s="4"/>
      <c r="F23" s="4"/>
      <c r="G23" s="4"/>
      <c r="H23" s="4"/>
    </row>
    <row r="24" spans="1:8">
      <c r="A24" s="3"/>
      <c r="B24" s="3"/>
      <c r="C24" s="3"/>
      <c r="D24" s="4"/>
      <c r="E24" s="4"/>
      <c r="F24" s="4"/>
      <c r="G24" s="4"/>
      <c r="H24" s="4"/>
    </row>
    <row r="25" spans="1:8">
      <c r="A25" s="3"/>
      <c r="B25" s="3"/>
      <c r="C25" s="3"/>
      <c r="D25" s="4"/>
      <c r="E25" s="4"/>
      <c r="F25" s="4"/>
      <c r="G25" s="4"/>
      <c r="H25" s="4"/>
    </row>
    <row r="26" spans="1:8">
      <c r="A26" s="3"/>
      <c r="B26" s="3"/>
      <c r="C26" s="3"/>
      <c r="D26" s="4"/>
      <c r="E26" s="4"/>
      <c r="F26" s="4"/>
      <c r="G26" s="4"/>
      <c r="H26" s="4"/>
    </row>
    <row r="27" spans="1:8">
      <c r="A27" s="3"/>
      <c r="B27" s="3"/>
      <c r="C27" s="3"/>
      <c r="D27" s="4"/>
      <c r="E27" s="4"/>
      <c r="F27" s="4"/>
      <c r="G27" s="4"/>
      <c r="H27" s="4"/>
    </row>
    <row r="28" spans="1:8">
      <c r="A28" s="3"/>
      <c r="B28" s="3"/>
      <c r="C28" s="3"/>
      <c r="D28" s="4"/>
      <c r="E28" s="4"/>
      <c r="F28" s="4"/>
      <c r="G28" s="4"/>
      <c r="H28" s="4"/>
    </row>
    <row r="29" spans="1:8">
      <c r="A29" s="3"/>
      <c r="B29" s="3"/>
      <c r="C29" s="3"/>
      <c r="D29" s="4"/>
      <c r="E29" s="4"/>
      <c r="F29" s="4"/>
      <c r="G29" s="4"/>
      <c r="H29" s="4"/>
    </row>
    <row r="30" spans="1:8">
      <c r="A30" s="3"/>
      <c r="B30" s="3"/>
      <c r="C30" s="3"/>
      <c r="D30" s="4"/>
      <c r="E30" s="4"/>
      <c r="F30" s="4"/>
      <c r="G30" s="4"/>
      <c r="H30" s="4"/>
    </row>
    <row r="31" spans="1:8">
      <c r="A31" s="3"/>
      <c r="B31" s="3"/>
      <c r="C31" s="3"/>
      <c r="D31" s="4"/>
      <c r="E31" s="4"/>
      <c r="F31" s="4"/>
      <c r="G31" s="4"/>
      <c r="H31" s="4"/>
    </row>
    <row r="32" spans="1:8">
      <c r="A32" s="3"/>
      <c r="B32" s="3"/>
      <c r="C32" s="3"/>
      <c r="D32" s="4"/>
      <c r="E32" s="4"/>
      <c r="F32" s="4"/>
      <c r="G32" s="4"/>
      <c r="H32" s="4"/>
    </row>
    <row r="33" spans="1:8">
      <c r="A33" s="3"/>
      <c r="B33" s="3"/>
      <c r="C33" s="3"/>
      <c r="D33" s="4"/>
      <c r="E33" s="4"/>
      <c r="F33" s="4"/>
      <c r="G33" s="4"/>
      <c r="H33" s="4"/>
    </row>
    <row r="34" spans="1:8">
      <c r="A34" s="3"/>
      <c r="B34" s="3"/>
      <c r="C34" s="3"/>
      <c r="D34" s="4"/>
      <c r="E34" s="4"/>
      <c r="F34" s="4"/>
      <c r="G34" s="4"/>
      <c r="H34" s="4"/>
    </row>
    <row r="35" spans="1:8">
      <c r="A35" s="3"/>
      <c r="B35" s="3"/>
      <c r="C35" s="3"/>
      <c r="D35" s="4"/>
      <c r="E35" s="4"/>
      <c r="F35" s="4"/>
      <c r="G35" s="4"/>
      <c r="H35" s="4"/>
    </row>
    <row r="36" spans="1:8">
      <c r="A36" s="3"/>
      <c r="B36" s="3"/>
      <c r="C36" s="3"/>
      <c r="D36" s="4"/>
      <c r="E36" s="4"/>
      <c r="F36" s="4"/>
      <c r="G36" s="4"/>
      <c r="H36" s="4"/>
    </row>
    <row r="37" spans="1:8">
      <c r="A37" s="3"/>
      <c r="B37" s="3"/>
      <c r="C37" s="3"/>
      <c r="D37" s="4"/>
      <c r="E37" s="4"/>
      <c r="F37" s="4"/>
      <c r="G37" s="4"/>
      <c r="H37" s="4"/>
    </row>
    <row r="38" spans="1:8">
      <c r="A38" s="3"/>
      <c r="B38" s="3"/>
      <c r="C38" s="3"/>
      <c r="D38" s="4"/>
      <c r="E38" s="4"/>
      <c r="F38" s="4"/>
      <c r="G38" s="4"/>
      <c r="H38" s="4"/>
    </row>
    <row r="39" spans="1:8">
      <c r="A39" s="3"/>
      <c r="B39" s="3"/>
      <c r="C39" s="3"/>
      <c r="D39" s="4"/>
      <c r="E39" s="4"/>
      <c r="F39" s="4"/>
      <c r="G39" s="4"/>
      <c r="H39" s="4"/>
    </row>
    <row r="40" spans="1:8">
      <c r="A40" s="3"/>
      <c r="B40" s="3"/>
      <c r="C40" s="3"/>
      <c r="D40" s="4"/>
      <c r="E40" s="4"/>
      <c r="F40" s="4"/>
      <c r="G40" s="4"/>
      <c r="H40" s="4"/>
    </row>
    <row r="41" spans="1:8">
      <c r="A41" s="3"/>
      <c r="B41" s="3"/>
      <c r="C41" s="3"/>
      <c r="D41" s="4"/>
      <c r="E41" s="4"/>
      <c r="F41" s="4"/>
      <c r="G41" s="4"/>
      <c r="H41" s="4"/>
    </row>
    <row r="42" spans="1:8">
      <c r="A42" s="3"/>
      <c r="B42" s="3"/>
      <c r="C42" s="3"/>
      <c r="D42" s="4"/>
      <c r="E42" s="4"/>
      <c r="F42" s="4"/>
      <c r="G42" s="4"/>
      <c r="H42" s="4"/>
    </row>
    <row r="43" spans="1:8">
      <c r="A43" s="3"/>
      <c r="B43" s="3"/>
      <c r="C43" s="3"/>
      <c r="D43" s="4"/>
      <c r="E43" s="4"/>
      <c r="F43" s="4"/>
      <c r="G43" s="4"/>
      <c r="H43" s="4"/>
    </row>
    <row r="44" spans="1:8">
      <c r="A44" s="3"/>
      <c r="B44" s="3"/>
      <c r="C44" s="3"/>
      <c r="D44" s="4"/>
      <c r="E44" s="4"/>
      <c r="F44" s="4"/>
      <c r="G44" s="4"/>
      <c r="H44" s="4"/>
    </row>
    <row r="45" spans="1:8">
      <c r="A45" s="3"/>
      <c r="B45" s="3"/>
      <c r="C45" s="3"/>
      <c r="D45" s="4"/>
      <c r="E45" s="4"/>
      <c r="F45" s="4"/>
      <c r="G45" s="4"/>
      <c r="H45" s="4"/>
    </row>
    <row r="46" spans="1:8">
      <c r="A46" s="3"/>
      <c r="B46" s="3"/>
      <c r="C46" s="3"/>
      <c r="D46" s="4"/>
      <c r="E46" s="4"/>
      <c r="F46" s="4"/>
      <c r="G46" s="4"/>
      <c r="H46" s="4"/>
    </row>
    <row r="47" spans="1:8">
      <c r="A47" s="3"/>
      <c r="B47" s="3"/>
      <c r="C47" s="3"/>
      <c r="D47" s="4"/>
      <c r="E47" s="4"/>
      <c r="F47" s="4"/>
      <c r="G47" s="4"/>
      <c r="H47" s="4"/>
    </row>
    <row r="48" spans="1:8">
      <c r="A48" s="3"/>
      <c r="B48" s="3"/>
      <c r="C48" s="3"/>
      <c r="D48" s="4"/>
      <c r="E48" s="4"/>
      <c r="F48" s="4"/>
      <c r="G48" s="4"/>
      <c r="H48" s="4"/>
    </row>
    <row r="49" spans="1:8">
      <c r="A49" s="3"/>
      <c r="B49" s="3"/>
      <c r="C49" s="3"/>
      <c r="D49" s="4"/>
      <c r="E49" s="4"/>
      <c r="F49" s="4"/>
      <c r="G49" s="4"/>
      <c r="H49" s="4"/>
    </row>
    <row r="50" spans="1:8">
      <c r="A50" s="3"/>
      <c r="B50" s="3"/>
      <c r="C50" s="3"/>
      <c r="D50" s="4"/>
      <c r="E50" s="4"/>
      <c r="F50" s="4"/>
      <c r="G50" s="4"/>
      <c r="H50" s="4"/>
    </row>
    <row r="51" spans="1:8">
      <c r="A51" s="3"/>
      <c r="B51" s="3"/>
      <c r="C51" s="3"/>
      <c r="D51" s="4"/>
      <c r="E51" s="4"/>
      <c r="F51" s="4"/>
      <c r="G51" s="4"/>
      <c r="H51" s="4"/>
    </row>
    <row r="52" spans="1:8">
      <c r="A52" s="3"/>
      <c r="B52" s="3"/>
      <c r="C52" s="3"/>
      <c r="D52" s="4"/>
      <c r="E52" s="4"/>
      <c r="F52" s="4"/>
      <c r="G52" s="4"/>
      <c r="H52" s="4"/>
    </row>
    <row r="53" spans="1:8">
      <c r="A53" s="3"/>
      <c r="B53" s="3"/>
      <c r="C53" s="3"/>
      <c r="D53" s="4"/>
      <c r="E53" s="4"/>
      <c r="F53" s="4"/>
      <c r="G53" s="4"/>
      <c r="H53" s="4"/>
    </row>
    <row r="54" spans="1:8">
      <c r="A54" s="3"/>
      <c r="B54" s="3"/>
      <c r="C54" s="3"/>
      <c r="D54" s="4"/>
      <c r="E54" s="4"/>
      <c r="F54" s="4"/>
      <c r="G54" s="4"/>
      <c r="H54" s="4"/>
    </row>
    <row r="55" spans="1:8">
      <c r="A55" s="3"/>
      <c r="B55" s="3"/>
      <c r="C55" s="3"/>
      <c r="D55" s="4"/>
      <c r="E55" s="4"/>
      <c r="F55" s="4"/>
      <c r="G55" s="4"/>
      <c r="H55" s="4"/>
    </row>
    <row r="56" spans="1:8">
      <c r="A56" s="3"/>
      <c r="B56" s="3"/>
      <c r="C56" s="3"/>
      <c r="D56" s="4"/>
      <c r="E56" s="4"/>
      <c r="F56" s="4"/>
      <c r="G56" s="4"/>
      <c r="H56" s="4"/>
    </row>
    <row r="57" spans="1:8">
      <c r="A57" s="3"/>
      <c r="B57" s="3"/>
      <c r="C57" s="3"/>
      <c r="D57" s="4"/>
      <c r="E57" s="4"/>
      <c r="F57" s="4"/>
      <c r="G57" s="4"/>
      <c r="H57" s="4"/>
    </row>
    <row r="58" spans="1:8">
      <c r="A58" s="3"/>
      <c r="B58" s="3"/>
      <c r="C58" s="3"/>
      <c r="D58" s="4"/>
      <c r="E58" s="4"/>
      <c r="F58" s="4"/>
      <c r="G58" s="4"/>
      <c r="H58" s="4"/>
    </row>
    <row r="59" spans="1:8">
      <c r="A59" s="3"/>
      <c r="B59" s="3"/>
      <c r="C59" s="3"/>
      <c r="D59" s="4"/>
      <c r="E59" s="4"/>
      <c r="F59" s="4"/>
      <c r="G59" s="4"/>
      <c r="H59" s="4"/>
    </row>
    <row r="60" spans="1:8">
      <c r="A60" s="3"/>
      <c r="B60" s="3"/>
      <c r="C60" s="3"/>
      <c r="D60" s="4"/>
      <c r="E60" s="4"/>
      <c r="F60" s="4"/>
      <c r="G60" s="4"/>
      <c r="H60" s="4"/>
    </row>
    <row r="61" spans="1:8">
      <c r="A61" s="3"/>
      <c r="B61" s="3"/>
      <c r="C61" s="3"/>
      <c r="D61" s="4"/>
      <c r="E61" s="4"/>
      <c r="F61" s="4"/>
      <c r="G61" s="4"/>
      <c r="H61" s="4"/>
    </row>
    <row r="62" spans="1:8">
      <c r="A62" s="3"/>
      <c r="B62" s="3"/>
      <c r="C62" s="3"/>
      <c r="D62" s="4"/>
      <c r="E62" s="4"/>
      <c r="F62" s="4"/>
      <c r="G62" s="4"/>
      <c r="H62" s="4"/>
    </row>
    <row r="63" spans="1:8">
      <c r="A63" s="3"/>
      <c r="B63" s="3"/>
      <c r="C63" s="3"/>
      <c r="D63" s="4"/>
      <c r="E63" s="4"/>
      <c r="F63" s="4"/>
      <c r="G63" s="4"/>
      <c r="H63" s="4"/>
    </row>
    <row r="64" spans="1:8">
      <c r="A64" s="3"/>
      <c r="B64" s="3"/>
      <c r="C64" s="3"/>
      <c r="D64" s="4"/>
      <c r="E64" s="4"/>
      <c r="F64" s="4"/>
      <c r="G64" s="4"/>
      <c r="H64" s="4"/>
    </row>
    <row r="65" spans="1:8">
      <c r="A65" s="3"/>
      <c r="B65" s="3"/>
      <c r="C65" s="3"/>
      <c r="D65" s="4"/>
      <c r="E65" s="4"/>
      <c r="F65" s="4"/>
      <c r="G65" s="4"/>
      <c r="H65" s="4"/>
    </row>
    <row r="66" spans="1:8">
      <c r="A66" s="3"/>
      <c r="B66" s="3"/>
      <c r="C66" s="3"/>
      <c r="D66" s="4"/>
      <c r="E66" s="4"/>
      <c r="F66" s="4"/>
      <c r="G66" s="4"/>
      <c r="H66" s="4"/>
    </row>
    <row r="67" spans="1:8">
      <c r="A67" s="3"/>
      <c r="B67" s="3"/>
      <c r="C67" s="3"/>
      <c r="D67" s="4"/>
      <c r="E67" s="4"/>
      <c r="F67" s="4"/>
      <c r="G67" s="4"/>
      <c r="H67" s="4"/>
    </row>
    <row r="68" spans="1:8">
      <c r="A68" s="3"/>
      <c r="B68" s="3"/>
      <c r="C68" s="3"/>
      <c r="D68" s="4"/>
      <c r="E68" s="4"/>
      <c r="F68" s="4"/>
      <c r="G68" s="4"/>
      <c r="H68" s="4"/>
    </row>
    <row r="69" spans="1:8">
      <c r="A69" s="3"/>
      <c r="B69" s="3"/>
      <c r="C69" s="3"/>
      <c r="D69" s="4"/>
      <c r="E69" s="4"/>
      <c r="F69" s="4"/>
      <c r="G69" s="4"/>
      <c r="H69" s="4"/>
    </row>
    <row r="70" spans="1:8">
      <c r="A70" s="3"/>
      <c r="B70" s="3"/>
      <c r="C70" s="3"/>
      <c r="D70" s="4"/>
      <c r="E70" s="4"/>
      <c r="F70" s="4"/>
      <c r="G70" s="4"/>
      <c r="H70" s="4"/>
    </row>
    <row r="71" spans="1:8">
      <c r="A71" s="3"/>
      <c r="B71" s="3"/>
      <c r="C71" s="3"/>
      <c r="D71" s="4"/>
      <c r="E71" s="4"/>
      <c r="F71" s="4"/>
      <c r="G71" s="4"/>
      <c r="H71" s="4"/>
    </row>
    <row r="72" spans="1:8">
      <c r="A72" s="3"/>
      <c r="B72" s="3"/>
      <c r="C72" s="3"/>
      <c r="D72" s="4"/>
      <c r="E72" s="4"/>
      <c r="F72" s="4"/>
      <c r="G72" s="4"/>
      <c r="H72" s="4"/>
    </row>
    <row r="73" spans="1:8">
      <c r="A73" s="3"/>
      <c r="B73" s="3"/>
      <c r="C73" s="3"/>
      <c r="D73" s="4"/>
      <c r="E73" s="4"/>
      <c r="F73" s="4"/>
      <c r="G73" s="4"/>
      <c r="H73" s="4"/>
    </row>
    <row r="74" spans="1:8">
      <c r="A74" s="3"/>
      <c r="B74" s="3"/>
      <c r="C74" s="3"/>
      <c r="D74" s="4"/>
      <c r="E74" s="4"/>
      <c r="F74" s="4"/>
      <c r="G74" s="4"/>
      <c r="H74" s="4"/>
    </row>
    <row r="75" spans="1:8">
      <c r="A75" s="3"/>
      <c r="B75" s="3"/>
      <c r="C75" s="3"/>
      <c r="D75" s="4"/>
      <c r="E75" s="4"/>
      <c r="F75" s="4"/>
      <c r="G75" s="4"/>
      <c r="H75" s="4"/>
    </row>
    <row r="76" spans="1:8">
      <c r="A76" s="3"/>
      <c r="B76" s="3"/>
      <c r="C76" s="3"/>
      <c r="D76" s="4"/>
      <c r="E76" s="4"/>
      <c r="F76" s="4"/>
      <c r="G76" s="4"/>
      <c r="H76" s="4"/>
    </row>
    <row r="77" spans="1:8">
      <c r="A77" s="3"/>
      <c r="B77" s="3"/>
      <c r="C77" s="3"/>
      <c r="D77" s="4"/>
      <c r="E77" s="4"/>
      <c r="F77" s="4"/>
      <c r="G77" s="4"/>
      <c r="H77" s="4"/>
    </row>
    <row r="78" spans="1:8">
      <c r="A78" s="3"/>
      <c r="B78" s="3"/>
      <c r="C78" s="3"/>
      <c r="D78" s="4"/>
      <c r="E78" s="4"/>
      <c r="F78" s="4"/>
      <c r="G78" s="4"/>
      <c r="H78" s="4"/>
    </row>
    <row r="79" spans="1:8">
      <c r="A79" s="3"/>
      <c r="B79" s="3"/>
      <c r="C79" s="3"/>
      <c r="D79" s="4"/>
      <c r="E79" s="4"/>
      <c r="F79" s="4"/>
      <c r="G79" s="4"/>
      <c r="H79" s="4"/>
    </row>
    <row r="80" spans="1:8">
      <c r="A80" s="3"/>
      <c r="B80" s="3"/>
      <c r="C80" s="3"/>
      <c r="D80" s="4"/>
      <c r="E80" s="4"/>
      <c r="F80" s="4"/>
      <c r="G80" s="4"/>
      <c r="H80" s="4"/>
    </row>
    <row r="81" spans="1:8">
      <c r="A81" s="3"/>
      <c r="B81" s="3"/>
      <c r="C81" s="3"/>
      <c r="D81" s="4"/>
      <c r="E81" s="4"/>
      <c r="F81" s="4"/>
      <c r="G81" s="4"/>
      <c r="H81" s="4"/>
    </row>
    <row r="82" spans="1:8">
      <c r="A82" s="3"/>
      <c r="B82" s="3"/>
      <c r="C82" s="3"/>
      <c r="D82" s="4"/>
      <c r="E82" s="4"/>
      <c r="F82" s="4"/>
      <c r="G82" s="4"/>
      <c r="H82" s="4"/>
    </row>
    <row r="83" spans="1:8">
      <c r="A83" s="3"/>
      <c r="B83" s="3"/>
      <c r="C83" s="3"/>
      <c r="D83" s="4"/>
      <c r="E83" s="4"/>
      <c r="F83" s="4"/>
      <c r="G83" s="4"/>
      <c r="H83" s="4"/>
    </row>
    <row r="84" spans="1:8">
      <c r="A84" s="3"/>
      <c r="B84" s="3"/>
      <c r="C84" s="3"/>
      <c r="D84" s="4"/>
      <c r="E84" s="4"/>
      <c r="F84" s="4"/>
      <c r="G84" s="4"/>
      <c r="H84" s="4"/>
    </row>
    <row r="85" spans="1:8">
      <c r="A85" s="3"/>
      <c r="B85" s="3"/>
      <c r="C85" s="3"/>
      <c r="D85" s="4"/>
      <c r="E85" s="4"/>
      <c r="F85" s="4"/>
      <c r="G85" s="4"/>
      <c r="H85" s="4"/>
    </row>
    <row r="86" spans="1:8">
      <c r="A86" s="3"/>
      <c r="B86" s="3"/>
      <c r="C86" s="3"/>
      <c r="D86" s="4"/>
      <c r="E86" s="4"/>
      <c r="F86" s="4"/>
      <c r="G86" s="4"/>
      <c r="H86" s="4"/>
    </row>
    <row r="87" spans="1:8">
      <c r="A87" s="3"/>
      <c r="B87" s="3"/>
      <c r="C87" s="3"/>
      <c r="D87" s="4"/>
      <c r="E87" s="4"/>
      <c r="F87" s="4"/>
      <c r="G87" s="4"/>
      <c r="H87" s="4"/>
    </row>
    <row r="88" spans="1:8">
      <c r="A88" s="3"/>
      <c r="B88" s="3"/>
      <c r="C88" s="3"/>
      <c r="D88" s="4"/>
      <c r="E88" s="4"/>
      <c r="F88" s="4"/>
      <c r="G88" s="4"/>
      <c r="H88" s="4"/>
    </row>
    <row r="89" spans="1:8">
      <c r="A89" s="3"/>
      <c r="B89" s="3"/>
      <c r="C89" s="3"/>
      <c r="D89" s="4"/>
      <c r="E89" s="4"/>
      <c r="F89" s="4"/>
      <c r="G89" s="4"/>
      <c r="H89" s="4"/>
    </row>
    <row r="90" spans="1:8">
      <c r="A90" s="3"/>
      <c r="B90" s="3"/>
      <c r="C90" s="3"/>
      <c r="D90" s="4"/>
      <c r="E90" s="4"/>
      <c r="F90" s="4"/>
      <c r="G90" s="4"/>
      <c r="H90" s="4"/>
    </row>
    <row r="91" spans="1:8">
      <c r="A91" s="3"/>
      <c r="B91" s="3"/>
      <c r="C91" s="3"/>
      <c r="D91" s="4"/>
      <c r="E91" s="4"/>
      <c r="F91" s="4"/>
      <c r="G91" s="4"/>
      <c r="H91" s="4"/>
    </row>
    <row r="92" spans="1:8">
      <c r="A92" s="3"/>
      <c r="B92" s="3"/>
      <c r="C92" s="3"/>
      <c r="D92" s="4"/>
      <c r="E92" s="4"/>
      <c r="F92" s="4"/>
      <c r="G92" s="4"/>
      <c r="H92" s="4"/>
    </row>
    <row r="93" spans="1:8">
      <c r="A93" s="3"/>
      <c r="B93" s="3"/>
      <c r="C93" s="3"/>
      <c r="D93" s="4"/>
      <c r="E93" s="4"/>
      <c r="F93" s="4"/>
      <c r="G93" s="4"/>
      <c r="H93" s="4"/>
    </row>
    <row r="94" spans="1:8">
      <c r="A94" s="3"/>
      <c r="B94" s="3"/>
      <c r="C94" s="3"/>
      <c r="D94" s="4"/>
      <c r="E94" s="4"/>
      <c r="F94" s="4"/>
      <c r="G94" s="4"/>
      <c r="H94" s="4"/>
    </row>
    <row r="95" spans="1:8">
      <c r="A95" s="3"/>
      <c r="B95" s="3"/>
      <c r="C95" s="3"/>
      <c r="D95" s="4"/>
      <c r="E95" s="4"/>
      <c r="F95" s="4"/>
      <c r="G95" s="4"/>
      <c r="H95" s="4"/>
    </row>
    <row r="96" spans="1:8">
      <c r="A96" s="3"/>
      <c r="B96" s="3"/>
      <c r="C96" s="3"/>
      <c r="D96" s="4"/>
      <c r="E96" s="4"/>
      <c r="F96" s="4"/>
      <c r="G96" s="4"/>
      <c r="H96" s="4"/>
    </row>
    <row r="97" spans="1:8">
      <c r="A97" s="3"/>
      <c r="B97" s="3"/>
      <c r="C97" s="3"/>
      <c r="D97" s="4"/>
      <c r="E97" s="4"/>
      <c r="F97" s="4"/>
      <c r="G97" s="4"/>
      <c r="H97" s="4"/>
    </row>
    <row r="98" spans="1:8">
      <c r="A98" s="3"/>
      <c r="B98" s="3"/>
      <c r="C98" s="3"/>
      <c r="D98" s="4"/>
      <c r="E98" s="4"/>
      <c r="F98" s="4"/>
      <c r="G98" s="4"/>
      <c r="H98" s="4"/>
    </row>
    <row r="99" spans="1:8">
      <c r="A99" s="3"/>
      <c r="B99" s="3"/>
      <c r="C99" s="3"/>
      <c r="D99" s="4"/>
      <c r="E99" s="4"/>
      <c r="F99" s="4"/>
      <c r="G99" s="4"/>
      <c r="H99" s="4"/>
    </row>
    <row r="100" spans="1:8">
      <c r="A100" s="3"/>
      <c r="B100" s="3"/>
      <c r="C100" s="3"/>
      <c r="D100" s="4"/>
      <c r="E100" s="4"/>
      <c r="F100" s="4"/>
      <c r="G100" s="4"/>
      <c r="H100" s="4"/>
    </row>
    <row r="101" spans="1:8">
      <c r="A101" s="3"/>
      <c r="B101" s="3"/>
      <c r="C101" s="3"/>
      <c r="D101" s="4"/>
      <c r="E101" s="4"/>
      <c r="F101" s="4"/>
      <c r="G101" s="4"/>
      <c r="H10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2"/>
  <sheetViews>
    <sheetView showGridLines="0" workbookViewId="0"/>
  </sheetViews>
  <sheetFormatPr defaultRowHeight="14.25"/>
  <cols>
    <col min="1" max="1" width="17.125" bestFit="1" customWidth="1"/>
    <col min="2" max="2" width="14" bestFit="1" customWidth="1"/>
    <col min="3" max="3" width="10.875" bestFit="1" customWidth="1"/>
    <col min="4" max="4" width="9.25" bestFit="1" customWidth="1"/>
    <col min="5" max="5" width="19.5" bestFit="1" customWidth="1"/>
    <col min="6" max="6" width="12.25" bestFit="1" customWidth="1"/>
    <col min="7" max="8" width="13" customWidth="1"/>
    <col min="9" max="9" width="18.375" bestFit="1" customWidth="1"/>
    <col min="10" max="10" width="11" bestFit="1" customWidth="1"/>
    <col min="11" max="11" width="14.5" bestFit="1" customWidth="1"/>
    <col min="12" max="12" width="11.25" bestFit="1" customWidth="1"/>
    <col min="13" max="13" width="11.625" bestFit="1" customWidth="1"/>
    <col min="14" max="14" width="23.25" bestFit="1" customWidth="1"/>
    <col min="15" max="15" width="15" bestFit="1" customWidth="1"/>
    <col min="16" max="16" width="26.5" bestFit="1" customWidth="1"/>
    <col min="17" max="17" width="18.625" bestFit="1" customWidth="1"/>
    <col min="18" max="18" width="10.375" bestFit="1" customWidth="1"/>
    <col min="19" max="19" width="14.75" bestFit="1" customWidth="1"/>
    <col min="20" max="20" width="16.375" bestFit="1" customWidth="1"/>
    <col min="21" max="21" width="15.75" bestFit="1" customWidth="1"/>
    <col min="22" max="22" width="14.75" bestFit="1" customWidth="1"/>
    <col min="23" max="23" width="18.5" bestFit="1" customWidth="1"/>
    <col min="24" max="24" width="15.375" bestFit="1" customWidth="1"/>
    <col min="25" max="25" width="15.5" bestFit="1" customWidth="1"/>
    <col min="26" max="26" width="17.5" bestFit="1" customWidth="1"/>
    <col min="27" max="27" width="10.875" bestFit="1" customWidth="1"/>
    <col min="28" max="28" width="12.125" bestFit="1" customWidth="1"/>
    <col min="29" max="29" width="16.375" bestFit="1" customWidth="1"/>
    <col min="30" max="30" width="20.75" bestFit="1" customWidth="1"/>
    <col min="31" max="31" width="22.875" bestFit="1" customWidth="1"/>
    <col min="32" max="32" width="13.5" bestFit="1" customWidth="1"/>
    <col min="33" max="33" width="14.25" bestFit="1" customWidth="1"/>
    <col min="34" max="34" width="12.25" bestFit="1" customWidth="1"/>
    <col min="35" max="35" width="34" bestFit="1" customWidth="1"/>
    <col min="36" max="36" width="15.25" bestFit="1" customWidth="1"/>
    <col min="37" max="37" width="18" bestFit="1" customWidth="1"/>
    <col min="38" max="38" width="19.375" bestFit="1" customWidth="1"/>
    <col min="39" max="39" width="12" bestFit="1" customWidth="1"/>
    <col min="40" max="40" width="8.125" bestFit="1" customWidth="1"/>
    <col min="41" max="41" width="14.5" bestFit="1" customWidth="1"/>
    <col min="42" max="42" width="6.375" bestFit="1" customWidth="1"/>
    <col min="43" max="43" width="10.625" bestFit="1" customWidth="1"/>
    <col min="44" max="44" width="12.875" bestFit="1" customWidth="1"/>
    <col min="45" max="45" width="11.5" bestFit="1" customWidth="1"/>
    <col min="46" max="46" width="10.75" bestFit="1" customWidth="1"/>
    <col min="47" max="47" width="12.125" bestFit="1" customWidth="1"/>
    <col min="48" max="48" width="25.875" bestFit="1" customWidth="1"/>
    <col min="49" max="49" width="11" bestFit="1" customWidth="1"/>
    <col min="50" max="50" width="22" bestFit="1" customWidth="1"/>
    <col min="51" max="51" width="13.875" bestFit="1" customWidth="1"/>
    <col min="52" max="52" width="13.75" bestFit="1" customWidth="1"/>
    <col min="53" max="53" width="17.875" bestFit="1" customWidth="1"/>
    <col min="54" max="54" width="22" bestFit="1" customWidth="1"/>
    <col min="55" max="55" width="15.875" bestFit="1" customWidth="1"/>
    <col min="56" max="56" width="15.25" bestFit="1" customWidth="1"/>
    <col min="57" max="57" width="19.5" bestFit="1" customWidth="1"/>
    <col min="58" max="58" width="18.5" bestFit="1" customWidth="1"/>
    <col min="59" max="59" width="17.625" bestFit="1" customWidth="1"/>
    <col min="60" max="60" width="19.75" bestFit="1" customWidth="1"/>
    <col min="61" max="61" width="22.5" bestFit="1" customWidth="1"/>
    <col min="62" max="62" width="25.125" bestFit="1" customWidth="1"/>
    <col min="63" max="63" width="15.125" bestFit="1" customWidth="1"/>
    <col min="64" max="64" width="15.75" bestFit="1" customWidth="1"/>
    <col min="65" max="65" width="18.375" bestFit="1" customWidth="1"/>
    <col min="66" max="66" width="16.5" bestFit="1" customWidth="1"/>
    <col min="67" max="67" width="13.5" bestFit="1" customWidth="1"/>
    <col min="68" max="68" width="24.5" bestFit="1" customWidth="1"/>
    <col min="69" max="69" width="22.5" bestFit="1" customWidth="1"/>
    <col min="70" max="70" width="31.75" bestFit="1" customWidth="1"/>
    <col min="71" max="71" width="20.375" bestFit="1" customWidth="1"/>
    <col min="72" max="72" width="23" bestFit="1" customWidth="1"/>
    <col min="73" max="73" width="43.625" bestFit="1" customWidth="1"/>
    <col min="74" max="74" width="24.5" bestFit="1" customWidth="1"/>
    <col min="75" max="75" width="78.375" bestFit="1" customWidth="1"/>
  </cols>
  <sheetData>
    <row r="1" spans="1:7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51</v>
      </c>
      <c r="Z1" t="s">
        <v>101</v>
      </c>
      <c r="AA1" t="s">
        <v>102</v>
      </c>
      <c r="AB1" t="s">
        <v>103</v>
      </c>
      <c r="AC1" t="s">
        <v>104</v>
      </c>
      <c r="AD1" t="s">
        <v>105</v>
      </c>
      <c r="AE1" t="s">
        <v>106</v>
      </c>
      <c r="AF1" t="s">
        <v>107</v>
      </c>
      <c r="AG1" t="s">
        <v>108</v>
      </c>
      <c r="AH1" t="s">
        <v>109</v>
      </c>
      <c r="AI1" t="s">
        <v>110</v>
      </c>
      <c r="AJ1" t="s">
        <v>111</v>
      </c>
      <c r="AK1" t="s">
        <v>112</v>
      </c>
      <c r="AL1" t="s">
        <v>113</v>
      </c>
      <c r="AM1" t="s">
        <v>114</v>
      </c>
      <c r="AN1" t="s">
        <v>115</v>
      </c>
      <c r="AO1" t="s">
        <v>116</v>
      </c>
      <c r="AP1" t="s">
        <v>117</v>
      </c>
      <c r="AQ1" t="s">
        <v>118</v>
      </c>
      <c r="AR1" t="s">
        <v>119</v>
      </c>
      <c r="AS1" t="s">
        <v>120</v>
      </c>
      <c r="AT1" t="s">
        <v>121</v>
      </c>
      <c r="AU1" t="s">
        <v>122</v>
      </c>
      <c r="AV1" t="s">
        <v>123</v>
      </c>
      <c r="AW1" t="s">
        <v>124</v>
      </c>
      <c r="AX1" t="s">
        <v>125</v>
      </c>
      <c r="AY1" t="s">
        <v>126</v>
      </c>
      <c r="AZ1" t="s">
        <v>127</v>
      </c>
      <c r="BA1" t="s">
        <v>128</v>
      </c>
      <c r="BB1" t="s">
        <v>129</v>
      </c>
      <c r="BC1" t="s">
        <v>130</v>
      </c>
      <c r="BD1" t="s">
        <v>131</v>
      </c>
      <c r="BE1" t="s">
        <v>132</v>
      </c>
      <c r="BF1" t="s">
        <v>133</v>
      </c>
      <c r="BG1" t="s">
        <v>134</v>
      </c>
      <c r="BH1" t="s">
        <v>135</v>
      </c>
      <c r="BI1" t="s">
        <v>136</v>
      </c>
      <c r="BJ1" t="s">
        <v>137</v>
      </c>
      <c r="BK1" t="s">
        <v>138</v>
      </c>
      <c r="BL1" t="s">
        <v>139</v>
      </c>
      <c r="BM1" t="s">
        <v>140</v>
      </c>
      <c r="BN1" t="s">
        <v>141</v>
      </c>
      <c r="BO1" t="s">
        <v>142</v>
      </c>
      <c r="BP1" t="s">
        <v>143</v>
      </c>
      <c r="BQ1" t="s">
        <v>144</v>
      </c>
      <c r="BR1" t="s">
        <v>145</v>
      </c>
      <c r="BS1" t="s">
        <v>146</v>
      </c>
      <c r="BT1" t="s">
        <v>147</v>
      </c>
      <c r="BU1" t="s">
        <v>148</v>
      </c>
      <c r="BV1" t="s">
        <v>149</v>
      </c>
      <c r="BW1" t="s">
        <v>150</v>
      </c>
    </row>
    <row r="2" spans="1:75">
      <c r="A2" s="20" t="s">
        <v>73</v>
      </c>
      <c r="B2" t="s">
        <v>207</v>
      </c>
      <c r="C2">
        <v>1</v>
      </c>
      <c r="D2" t="s">
        <v>208</v>
      </c>
      <c r="E2" t="s">
        <v>208</v>
      </c>
      <c r="F2">
        <v>5</v>
      </c>
      <c r="G2" s="14">
        <v>46230.125</v>
      </c>
      <c r="H2" s="14">
        <v>46230.128472222219</v>
      </c>
      <c r="I2">
        <v>300</v>
      </c>
      <c r="J2" t="s">
        <v>151</v>
      </c>
      <c r="K2">
        <v>1</v>
      </c>
      <c r="L2">
        <v>0.1</v>
      </c>
      <c r="M2">
        <v>0.1</v>
      </c>
      <c r="N2">
        <v>1</v>
      </c>
      <c r="O2">
        <v>0.1</v>
      </c>
      <c r="P2">
        <v>4.5</v>
      </c>
      <c r="Q2">
        <v>8</v>
      </c>
      <c r="R2">
        <v>3.5</v>
      </c>
      <c r="S2" t="s">
        <v>152</v>
      </c>
      <c r="T2" t="s">
        <v>153</v>
      </c>
      <c r="U2">
        <v>20</v>
      </c>
      <c r="V2">
        <v>1500</v>
      </c>
      <c r="W2">
        <v>1400</v>
      </c>
      <c r="X2">
        <v>1400</v>
      </c>
      <c r="Y2">
        <v>0</v>
      </c>
      <c r="Z2">
        <v>0</v>
      </c>
      <c r="AA2">
        <v>80</v>
      </c>
      <c r="AB2">
        <v>15</v>
      </c>
      <c r="AC2">
        <v>1500</v>
      </c>
      <c r="AD2">
        <v>0</v>
      </c>
      <c r="AE2">
        <v>0</v>
      </c>
      <c r="AF2">
        <v>1503.5</v>
      </c>
      <c r="AG2">
        <v>1503.5</v>
      </c>
      <c r="AH2" s="15">
        <v>46230</v>
      </c>
      <c r="AI2" t="s">
        <v>209</v>
      </c>
      <c r="AJ2" s="14">
        <v>46230.125</v>
      </c>
      <c r="AK2">
        <v>1500</v>
      </c>
      <c r="AL2" t="s">
        <v>210</v>
      </c>
      <c r="AM2" t="s">
        <v>211</v>
      </c>
      <c r="AN2">
        <v>1400</v>
      </c>
      <c r="AO2">
        <v>0</v>
      </c>
      <c r="AP2">
        <v>60</v>
      </c>
      <c r="AQ2">
        <v>110</v>
      </c>
      <c r="AR2">
        <v>200</v>
      </c>
      <c r="AS2">
        <v>3</v>
      </c>
      <c r="AT2">
        <v>23</v>
      </c>
      <c r="AU2">
        <v>0</v>
      </c>
      <c r="AV2">
        <v>10</v>
      </c>
      <c r="AW2">
        <v>25</v>
      </c>
      <c r="AX2">
        <v>0</v>
      </c>
      <c r="AY2">
        <v>3</v>
      </c>
      <c r="AZ2">
        <v>1.5</v>
      </c>
      <c r="BA2">
        <v>1</v>
      </c>
      <c r="BB2">
        <v>1440</v>
      </c>
      <c r="BC2">
        <v>0</v>
      </c>
      <c r="BD2">
        <v>0</v>
      </c>
      <c r="BE2">
        <v>14</v>
      </c>
      <c r="BF2">
        <v>25</v>
      </c>
      <c r="BG2">
        <v>3</v>
      </c>
      <c r="BH2">
        <v>8</v>
      </c>
      <c r="BI2">
        <v>3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0</v>
      </c>
      <c r="BQ2">
        <v>60</v>
      </c>
      <c r="BR2">
        <v>0</v>
      </c>
      <c r="BS2">
        <v>3</v>
      </c>
      <c r="BT2" s="20" t="s">
        <v>73</v>
      </c>
      <c r="BU2" s="20" t="s">
        <v>212</v>
      </c>
      <c r="BV2" t="b">
        <v>0</v>
      </c>
      <c r="BW2" s="20" t="s">
        <v>213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/>
  </sheetViews>
  <sheetFormatPr defaultRowHeight="14.25"/>
  <cols>
    <col min="1" max="1" width="28" customWidth="1"/>
    <col min="2" max="2" width="20" customWidth="1"/>
    <col min="3" max="3" width="100" customWidth="1"/>
  </cols>
  <sheetData>
    <row r="1" spans="1:3" ht="15">
      <c r="A1" s="1" t="s">
        <v>154</v>
      </c>
      <c r="B1" s="1" t="s">
        <v>155</v>
      </c>
      <c r="C1" s="1" t="s">
        <v>156</v>
      </c>
    </row>
    <row r="2" spans="1:3">
      <c r="A2" s="2" t="s">
        <v>157</v>
      </c>
      <c r="B2" s="2">
        <v>543</v>
      </c>
      <c r="C2" s="3" t="s">
        <v>158</v>
      </c>
    </row>
    <row r="3" spans="1:3">
      <c r="A3" s="2" t="s">
        <v>159</v>
      </c>
      <c r="B3" s="2" t="s">
        <v>160</v>
      </c>
      <c r="C3" s="3" t="s">
        <v>161</v>
      </c>
    </row>
    <row r="4" spans="1:3" ht="85.5">
      <c r="A4" s="2" t="s">
        <v>162</v>
      </c>
      <c r="B4" s="2">
        <v>36</v>
      </c>
      <c r="C4" s="3" t="s">
        <v>163</v>
      </c>
    </row>
    <row r="5" spans="1:3">
      <c r="A5" s="2" t="s">
        <v>164</v>
      </c>
      <c r="B5" s="2">
        <v>0</v>
      </c>
      <c r="C5" s="3" t="s">
        <v>165</v>
      </c>
    </row>
    <row r="6" spans="1:3">
      <c r="A6" s="2" t="s">
        <v>166</v>
      </c>
      <c r="B6" s="2" t="s">
        <v>167</v>
      </c>
      <c r="C6" s="3" t="s">
        <v>168</v>
      </c>
    </row>
    <row r="7" spans="1:3">
      <c r="A7" s="2" t="s">
        <v>51</v>
      </c>
      <c r="B7" s="2" t="s">
        <v>169</v>
      </c>
      <c r="C7" s="3" t="s">
        <v>170</v>
      </c>
    </row>
    <row r="8" spans="1:3">
      <c r="A8" s="2" t="s">
        <v>52</v>
      </c>
      <c r="B8" s="2" t="s">
        <v>167</v>
      </c>
      <c r="C8" s="3" t="s">
        <v>171</v>
      </c>
    </row>
    <row r="9" spans="1:3" ht="28.5">
      <c r="A9" s="2" t="s">
        <v>172</v>
      </c>
      <c r="B9" s="2" t="s">
        <v>173</v>
      </c>
      <c r="C9" s="3" t="s">
        <v>174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showGridLines="0" workbookViewId="0"/>
  </sheetViews>
  <sheetFormatPr defaultRowHeight="14.25"/>
  <cols>
    <col min="1" max="1" width="120" customWidth="1"/>
    <col min="2" max="2" width="45" customWidth="1"/>
  </cols>
  <sheetData>
    <row r="1" spans="1:6" ht="20.25">
      <c r="A1" s="17" t="s">
        <v>175</v>
      </c>
      <c r="B1" s="17"/>
      <c r="C1" s="17"/>
      <c r="D1" s="17"/>
      <c r="E1" s="17"/>
      <c r="F1" s="17"/>
    </row>
    <row r="3" spans="1:6" ht="15">
      <c r="A3" s="1" t="s">
        <v>176</v>
      </c>
      <c r="B3" s="1" t="s">
        <v>177</v>
      </c>
    </row>
    <row r="4" spans="1:6">
      <c r="A4" s="2" t="s">
        <v>178</v>
      </c>
      <c r="B4" s="12" t="s">
        <v>179</v>
      </c>
    </row>
    <row r="5" spans="1:6">
      <c r="A5" s="2" t="s">
        <v>180</v>
      </c>
      <c r="B5" s="2" t="s">
        <v>181</v>
      </c>
    </row>
    <row r="6" spans="1:6">
      <c r="A6" s="2" t="s">
        <v>182</v>
      </c>
      <c r="B6" s="2" t="s">
        <v>183</v>
      </c>
    </row>
    <row r="8" spans="1:6">
      <c r="A8" s="19" t="s">
        <v>184</v>
      </c>
      <c r="B8" s="19"/>
      <c r="C8" s="19"/>
      <c r="D8" s="19"/>
      <c r="E8" s="19"/>
      <c r="F8" s="19"/>
    </row>
    <row r="10" spans="1:6">
      <c r="A10" s="13" t="s">
        <v>185</v>
      </c>
    </row>
    <row r="11" spans="1:6">
      <c r="A11" s="13" t="s">
        <v>186</v>
      </c>
    </row>
    <row r="12" spans="1:6">
      <c r="A12" s="13" t="s">
        <v>187</v>
      </c>
    </row>
    <row r="13" spans="1:6">
      <c r="A13" s="13" t="s">
        <v>188</v>
      </c>
    </row>
    <row r="14" spans="1:6">
      <c r="A14" s="13" t="s">
        <v>189</v>
      </c>
    </row>
    <row r="15" spans="1:6">
      <c r="A15" s="13" t="s">
        <v>190</v>
      </c>
    </row>
    <row r="16" spans="1:6">
      <c r="A16" s="13" t="s">
        <v>191</v>
      </c>
    </row>
    <row r="17" spans="1:1">
      <c r="A17" s="13" t="s">
        <v>192</v>
      </c>
    </row>
    <row r="18" spans="1:1">
      <c r="A18" s="13" t="s">
        <v>193</v>
      </c>
    </row>
    <row r="19" spans="1:1">
      <c r="A19" s="13" t="s">
        <v>194</v>
      </c>
    </row>
    <row r="20" spans="1:1">
      <c r="A20" s="13" t="s">
        <v>195</v>
      </c>
    </row>
    <row r="21" spans="1:1">
      <c r="A21" s="13" t="s">
        <v>196</v>
      </c>
    </row>
    <row r="22" spans="1:1">
      <c r="A22" s="13" t="s">
        <v>197</v>
      </c>
    </row>
    <row r="23" spans="1:1">
      <c r="A23" s="13" t="s">
        <v>198</v>
      </c>
    </row>
    <row r="24" spans="1:1">
      <c r="A24" s="13" t="s">
        <v>199</v>
      </c>
    </row>
    <row r="25" spans="1:1">
      <c r="A25" s="13" t="s">
        <v>200</v>
      </c>
    </row>
    <row r="26" spans="1:1">
      <c r="A26" s="13" t="s">
        <v>201</v>
      </c>
    </row>
    <row r="27" spans="1:1">
      <c r="A27" s="13" t="s">
        <v>202</v>
      </c>
    </row>
    <row r="28" spans="1:1">
      <c r="A28" s="13" t="s">
        <v>203</v>
      </c>
    </row>
    <row r="29" spans="1:1">
      <c r="A29" s="13" t="s">
        <v>204</v>
      </c>
    </row>
    <row r="30" spans="1:1">
      <c r="A30" s="13" t="s">
        <v>205</v>
      </c>
    </row>
    <row r="31" spans="1:1">
      <c r="A31" s="13" t="s">
        <v>206</v>
      </c>
    </row>
    <row r="32" spans="1:1">
      <c r="A32" s="13"/>
    </row>
  </sheetData>
  <mergeCells count="2">
    <mergeCell ref="A1:F1"/>
    <mergeCell ref="A8:F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283B49-DD63-46EA-A13D-E917E4CC1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Sync Status</vt:lpstr>
      <vt:lpstr>Account Analysis</vt:lpstr>
      <vt:lpstr>Manual Fields</vt:lpstr>
      <vt:lpstr>Basket Data</vt:lpstr>
      <vt:lpstr>Data Quality</vt:lpstr>
      <vt:lpstr>Power Query Setup</vt:lpstr>
      <vt:lpstr>OneDriveRoot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Yousuf Mesalm</cp:lastModifiedBy>
  <dcterms:modified xsi:type="dcterms:W3CDTF">2026-08-23T12:47:04Z</dcterms:modified>
</cp:coreProperties>
</file>