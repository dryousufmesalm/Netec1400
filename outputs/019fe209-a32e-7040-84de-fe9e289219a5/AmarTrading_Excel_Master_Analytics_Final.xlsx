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18FFA324-EF44-47D2-843B-784A9283E37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ync Status" sheetId="6" r:id="rId1"/>
    <sheet name="Account Analysis" sheetId="1" r:id="rId2"/>
    <sheet name="Manual Fields" sheetId="2" r:id="rId3"/>
    <sheet name="Basket Data" sheetId="3" r:id="rId4"/>
    <sheet name="Data Quality" sheetId="4" r:id="rId5"/>
    <sheet name="Power Query Setup" sheetId="5" r:id="rId6"/>
  </sheets>
  <definedNames>
    <definedName name="ExternalData_1" localSheetId="3" hidden="1">'Basket Data'!$A$1:$BW$2</definedName>
    <definedName name="ExternalData_1" localSheetId="0" hidden="1">'Sync Status'!$A$1:$L$2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" i="1" l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83775-5469-4774-8248-15F522A53FEF}" keepAlive="1" name="Connection" type="5" refreshedVersion="8" refreshOnLoad="1" saveData="1">
    <dbPr connection="Provider=Microsoft.Mashup.OleDb.1;Data Source=$Workbook$;Location=AmarTrading_Baskets;Extended Properties=&quot;&quot;" command="SELECT * FROM [AmarTrading_Baskets]"/>
  </connection>
  <connection id="2" xr16:uid="{C67AD92F-BC41-4A54-8CEC-662EE9F9CBA2}" keepAlive="1" name="Connection1" type="5" refreshedVersion="8" refreshOnLoad="1" saveData="1">
    <dbPr connection="Provider=Microsoft.Mashup.OleDb.1;Data Source=$Workbook$;Location=AmarTrading_SyncStatus;Extended Properties=&quot;&quot;" command="SELECT * FROM [AmarTrading_SyncStatus]"/>
  </connection>
  <connection id="3" xr16:uid="{DC2ABD69-7E26-401D-9893-501108074BAE}" keepAlive="1" name="Connection2" type="5" refreshedVersion="8" refreshOnLoad="1" saveData="1">
    <dbPr connection="Provider=Microsoft.Mashup.OleDb.1;Data Source=$Workbook$;Location=AmarTrading_Baskets;Extended Properties=&quot;&quot;" command="SELECT * FROM [AmarTrading_Baskets]"/>
  </connection>
  <connection id="4" xr16:uid="{6264EBC7-3A61-472B-B968-34989C3E3AEE}" keepAlive="1" name="Connection3" type="5" refreshedVersion="8" refreshOnLoad="1" saveData="1">
    <dbPr connection="Provider=Microsoft.Mashup.OleDb.1;Data Source=$Workbook$;Location=AmarTrading_SyncStatus;Extended Properties=&quot;&quot;" command="SELECT * FROM [AmarTrading_SyncStatus]"/>
  </connection>
  <connection id="5" xr16:uid="{4773E1A9-E76E-4A42-B6AA-0E1A3DC74C50}" keepAlive="1" name="Connection4" type="5" refreshedVersion="8" refreshOnLoad="1" saveData="1">
    <dbPr connection="Provider=Microsoft.Mashup.OleDb.1;Data Source=$Workbook$;Location=AmarTrading_Baskets;Extended Properties=&quot;&quot;" command="SELECT * FROM [AmarTrading_Baskets]"/>
  </connection>
  <connection id="6" xr16:uid="{E868A47C-7130-4B3F-A0F5-C6B13CEF14E7}" keepAlive="1" name="Connection5" type="5" refreshedVersion="8" refreshOnLoad="1" saveData="1">
    <dbPr connection="Provider=Microsoft.Mashup.OleDb.1;Data Source=$Workbook$;Location=AmarTrading_SyncStatus;Extended Properties=&quot;&quot;" command="SELECT * FROM [AmarTrading_SyncStatus]"/>
  </connection>
</connections>
</file>

<file path=xl/sharedStrings.xml><?xml version="1.0" encoding="utf-8"?>
<sst xmlns="http://schemas.openxmlformats.org/spreadsheetml/2006/main" count="313" uniqueCount="224">
  <si>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</si>
  <si>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</si>
  <si>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</si>
  <si>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</si>
  <si>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</si>
  <si>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</si>
  <si>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</si>
  <si>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</si>
  <si>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</si>
  <si>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</si>
  <si>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</si>
  <si>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</si>
  <si>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</si>
  <si>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</si>
  <si>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</si>
  <si>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</si>
  <si>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</si>
  <si>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</si>
  <si>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</si>
  <si>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</si>
  <si>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</si>
  <si>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</si>
  <si>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</si>
  <si>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</si>
  <si>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</si>
  <si>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</si>
  <si>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</si>
  <si>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</si>
  <si>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</si>
  <si>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</si>
  <si>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</si>
  <si>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</si>
  <si>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</si>
  <si>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</si>
  <si>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</si>
  <si>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</si>
  <si>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</si>
  <si>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</si>
  <si>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</si>
  <si>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</si>
  <si>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</si>
  <si>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</si>
  <si>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</si>
  <si>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</si>
  <si>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</si>
  <si>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</si>
  <si>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</si>
  <si>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</si>
  <si>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</si>
  <si>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</si>
  <si>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</si>
  <si>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</si>
  <si>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</si>
  <si>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</si>
  <si>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</si>
  <si>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</si>
  <si>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</si>
  <si>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</si>
  <si>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</si>
  <si>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</si>
  <si>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</si>
  <si>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</si>
  <si>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</si>
  <si>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</si>
  <si>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</si>
  <si>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</si>
  <si>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</si>
  <si>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</si>
  <si>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</si>
  <si>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</si>
  <si>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</si>
  <si>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</si>
  <si>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The current account/run is formula-driven below. Copy row 5 down after Power Query supplies additional account/run keys.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</si>
  <si>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</si>
  <si>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</si>
  <si>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</si>
  <si>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</si>
  <si>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</si>
  <si>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</si>
  <si>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</si>
  <si>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</si>
  <si>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</si>
  <si>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</si>
  <si>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</si>
  <si>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</si>
  <si>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</si>
  <si>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</si>
  <si>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</si>
  <si>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</si>
  <si>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</si>
  <si>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</si>
  <si>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</si>
  <si>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</si>
  <si>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</si>
  <si>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</si>
  <si>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</si>
  <si>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</si>
  <si>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</si>
  <si>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</si>
  <si>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</si>
  <si>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</si>
  <si>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</si>
  <si>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</si>
  <si>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</si>
  <si>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</si>
  <si>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</si>
  <si>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</si>
  <si>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</si>
  <si>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</si>
  <si>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</si>
  <si>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</si>
  <si>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</si>
  <si>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</si>
  <si>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</si>
  <si>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</si>
  <si>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</si>
  <si>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</si>
  <si>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</si>
  <si>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</si>
  <si>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</si>
  <si>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</si>
  <si>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</si>
  <si>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</si>
  <si>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</si>
  <si>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</si>
  <si>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</si>
  <si>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</si>
  <si>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</si>
  <si>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</si>
  <si>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</si>
  <si>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</si>
  <si>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</si>
  <si>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</si>
  <si>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</si>
  <si>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</si>
  <si>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</si>
  <si>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</si>
  <si>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</si>
  <si>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</si>
  <si>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</si>
  <si>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</si>
  <si>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</si>
  <si>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</si>
  <si>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</si>
  <si>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</si>
  <si>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</si>
  <si>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</si>
  <si>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</si>
  <si>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</si>
  <si>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</si>
  <si>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</si>
  <si>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BUY</t>
  </si>
  <si>
    <t>TP</t>
  </si>
  <si>
    <t>NORMAL_PROFIT</t>
  </si>
  <si>
    <t>Check</t>
  </si>
  <si>
    <t>Status</t>
  </si>
  <si>
    <t>Detail</t>
  </si>
  <si>
    <t>Sample rows loaded</t>
  </si>
  <si>
    <t>Current sample CSV is included as the initial Basket Data baseline.</t>
  </si>
  <si>
    <t>CSV schema</t>
  </si>
  <si>
    <t>Schema v2 sample</t>
  </si>
  <si>
    <t>Liquidity and full configuration auto-populate after schema-v3 CSV is received.</t>
  </si>
  <si>
    <t>Missing sample columns</t>
  </si>
  <si>
    <t>RunID, RunStartTime, RunStartBalance, EAName, EAVersion, Magic, PointsPerPip, Tral, TralStart, MaxSpread, TimeStart, TimeEnd, OpenTime, NewBasketDelaySeconds, SpeedEA, UseBasketTrailingTP, TrailingStart, TrailingStep, KillSwitchEnable, KillCooldownMinutes, RegimeEnable, RegimeAction, RegimeADXPeriod, RegimeADXLevel, RegimeADXBars, RegimeRangeBars, RegimeRecoveryBars, EnableTradingDaysFilter, TradeMonday, TradeTuesday, TradeWednesday, TradeThursday, TradeFriday, EnableRecoveryStepUp, RecoveryWaitMinutes, RecoveryMaxTotalLotsInBasket</t>
  </si>
  <si>
    <t>Folder/account mismatches</t>
  </si>
  <si>
    <t>Power Query flags FolderAccountMismatch when a OneDrive folder does not match AccountNumber.</t>
  </si>
  <si>
    <t>Configuration changes</t>
  </si>
  <si>
    <t>Formula monitored</t>
  </si>
  <si>
    <t>Account Analysis shows 'Configuration changed during run' when input snapshots differ.</t>
  </si>
  <si>
    <t>Defined by EA</t>
  </si>
  <si>
    <t>Counts separate entries into the near-kill zone: 12% threshold above kill point, re-armed after 2% recovery hysteresis.</t>
  </si>
  <si>
    <t>Count of basket rows where CloseReason = KILL.</t>
  </si>
  <si>
    <t>Refresh setup</t>
  </si>
  <si>
    <t>Required once</t>
  </si>
  <si>
    <t>Paste the supplied M code in Excel Data &gt; Get Data &gt; From Other Sources &gt; Blank Query &gt; Advanced Editor, then load to Basket Data.</t>
  </si>
  <si>
    <t>Power Query Setup — Editable Standard Excel Import</t>
  </si>
  <si>
    <t>Setting</t>
  </si>
  <si>
    <t>Value</t>
  </si>
  <si>
    <t>OneDrive root</t>
  </si>
  <si>
    <t>C:\CHANGE_ME\OneDrive</t>
  </si>
  <si>
    <t>Expected folder</t>
  </si>
  <si>
    <t>amartrading\Account_&lt;MT4Login&gt;\Baskets.csv</t>
  </si>
  <si>
    <t>Query source file</t>
  </si>
  <si>
    <t>automation\AmarTradingCsvSync\PowerQuery\AmarTrading_Baskets.m</t>
  </si>
  <si>
    <t>Paste this M code into a Blank Query's Advanced Editor. Change OneDriveRoot at the top, then load the result to the Basket Data sheet/table.</t>
  </si>
  <si>
    <t>'let</t>
  </si>
  <si>
    <t>'    // Edit this path once to the local OneDrive folder that contains amartrading.</t>
  </si>
  <si>
    <t>'    OneDriveRoot = "C:\\CHANGE_ME\\OneDrive",</t>
  </si>
  <si>
    <t>'    ExpectedColumns = {</t>
  </si>
  <si>
    <t>'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</si>
  <si>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>'    },</t>
  </si>
  <si>
    <t>'    Files = Folder.Files(OneDriveRoot &amp; "\\AmarTrading"),</t>
  </si>
  <si>
    <t>'    BasketFiles = Table.SelectRows(Files, each [Name] = "Baskets.csv" and Text.Contains([Folder Path], "\\Account_")),</t>
  </si>
  <si>
    <t>'    WithFolderLogin = Table.AddColumn(BasketFiles, "FolderAccountNumber", each List.Last(Text.Split(Text.TrimEnd([Folder Path], "\\"), "Account_")), type text),</t>
  </si>
  <si>
    <t>'    WithCsv = Table.AddColumn(WithFolderLogin, "Data", each Table.SelectColumns(Table.PromoteHeaders(Csv.Document([Content], [Delimiter=",", Encoding=65001, QuoteStyle=QuoteStyle.Csv]), [PromoteAllScalars=true]), ExpectedColumns, MissingField.UseNull)),</t>
  </si>
  <si>
    <t>'    Keep = Table.SelectColumns(WithCsv, {"FolderAccountNumber","Data"}),</t>
  </si>
  <si>
    <t>'    Expanded = Table.ExpandTableColumn(Keep, "Data", ExpectedColumns, ExpectedColumns),</t>
  </si>
  <si>
    <t>'    Normalized = Table.SelectColumns(Expanded, List.Combine({{"FolderAccountNumber"}, ExpectedColumns}), MissingField.UseNull),</t>
  </si>
  <si>
    <t>'    Typed = Table.TransformColumnTypes(Normalized, {</t>
  </si>
  <si>
    <t>'        {"FolderAccountNumber", type text},{"AccountNumber", type text},{"BasketID", Int64.Type},{"StartTime", type datetime},{"EndTime", type datetime},{"ClosePL", type number},{"MaxFloatingDrawdownAbs", type number},{"TimesNearKill", Int64.Type},{"RunStartTime", type datetime},{"RunStartBalance", type number},{"MaxOrdersConcurrent", Int64.Type},{"MaxTotalLots", type number},{"MaxTotalLotsInBasket", type number},{"CsvSchemaVersion", Int64.Type}</t>
  </si>
  <si>
    <t>'    }),</t>
  </si>
  <si>
    <t>'    WithLegacyRunID = Table.ReplaceValue(Typed, null, "Legacy-v2", Replacer.ReplaceValue, {"RunID"}),</t>
  </si>
  <si>
    <t>'    WithRunKey = Table.AddColumn(WithLegacyRunID, "RunKey", each [AccountNumber] &amp; "|" &amp; [RunID], type text),</t>
  </si>
  <si>
    <t>'    WithMismatch = Table.AddColumn(WithRunKey, "FolderAccountMismatch", each [FolderAccountNumber] &lt;&gt; [AccountNumber], type logical),</t>
  </si>
  <si>
    <t>'    WithConfigFingerprint = Table.AddColumn(WithMismatch, "ConfigFingerprint", each Text.Combine(List.Transform({[Magic],[PointsPerPip],[PipsStep],[TakeProfit],[Tral],[TralStart],[MaxSpread],[TimeStart],[TimeEnd],[OpenTime],[NewBasketDelaySeconds],[SpeedEA],[UseBasketTrailingTP],[TrailingStart],[TrailingStep],[KillSwitchEnable],[KillEquityLevel],[KillCooldownMinutes],[MaxOrdersInBasket],[MaxTotalLotsInBasket],[RegimeEnable],[RegimeAction],[EnableRecoveryStepUp],[RecoveryWaitMinutes],[RecoveryMaxTotalLotsInBasket]}, each if _ = null then "" else Text.From(_)), "|"), type text)</t>
  </si>
  <si>
    <t>'in</t>
  </si>
  <si>
    <t>'    WithConfigFingerprint</t>
  </si>
  <si>
    <t>FXCM</t>
  </si>
  <si>
    <t>AGOLD</t>
  </si>
  <si>
    <t>892522910_1400_AGOLD_1785121200</t>
  </si>
  <si>
    <t>AmmarTradingGoldEA</t>
  </si>
  <si>
    <t>3.00</t>
  </si>
  <si>
    <t>892522910|892522910_1400_AGOLD_1785121200</t>
  </si>
  <si>
    <t>0.1|1400|0|80|15|60|110|200|3|23|0|10|25|0|3|1.5|1|1500|1440|0|0|0|0|14|25|3|8|3|0|1|1|1|1|1|0|60|0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</si>
  <si>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</si>
  <si>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</si>
  <si>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</si>
  <si>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</si>
  <si>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</si>
  <si>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</si>
  <si>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</si>
  <si>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</si>
  <si>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Success</t>
  </si>
  <si>
    <t>965923e98d0f98d8556293b6e05f95140963b3886215d747d1da23bfa720a85f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</si>
</sst>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9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0" fontId="7" fillId="0" borderId="0" xfId="0" applyFont="1"/>
    <xf numFmtId="22" fontId="0" fillId="0" borderId="0" xfId="0" applyNumberFormat="1"/>
    <xf numFmtId="14" fontId="0" fillId="0" borderId="0" xfId="0" applyNumberFormat="1"/>
    <xf numFmtId="0" fontId="4" fillId="4" borderId="0" xfId="0" applyFont="1" applyFill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  <xf numFmtId="0" fontId="0" fillId="0" borderId="0" xfId="0" applyNumberFormat="1"/>
  </cellXfs>
  <cellStyles count="1">
    <cellStyle name="Normal" xfId="0" builtinId="0"/>
  </cellStyles>
  <dxfs count="15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6" xr16:uid="{20376D45-D7D0-4EA5-9D9F-F5CCC513E3FE}" autoFormatId="0" applyNumberFormats="0" applyBorderFormats="0" applyFontFormats="1" applyPatternFormats="1" applyAlignmentFormats="0" applyWidthHeightFormats="0">
  <queryTableRefresh nextId="13">
    <queryTableFields count="12">
      <queryTableField id="1" name="AccountNumber" tableColumnId="13"/>
      <queryTableField id="2" name="FolderAccountNumber" tableColumnId="14"/>
      <queryTableField id="3" name="FolderAccountMismatch" tableColumnId="15"/>
      <queryTableField id="4" name="Status" tableColumnId="16"/>
      <queryTableField id="5" name="RowCount" tableColumnId="17"/>
      <queryTableField id="6" name="SourceHash" tableColumnId="18"/>
      <queryTableField id="7" name="DestinationHash" tableColumnId="19"/>
      <queryTableField id="8" name="SourceLastWriteUtc" tableColumnId="20"/>
      <queryTableField id="9" name="PublishedUtc" tableColumnId="21"/>
      <queryTableField id="10" name="HeartbeatAgeHours" tableColumnId="22"/>
      <queryTableField id="11" name="IsFresh" tableColumnId="23"/>
      <queryTableField id="12" name="CloudDeliveryVerifie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5" xr16:uid="{BCE9A7D9-389A-48A5-A8B9-526EC524282F}" autoFormatId="0" applyNumberFormats="0" applyBorderFormats="0" applyFontFormats="1" applyPatternFormats="1" applyAlignmentFormats="0" applyWidthHeightFormats="0">
  <queryTableRefresh nextId="76">
    <queryTableFields count="75">
      <queryTableField id="1" name="AccountNumber" tableColumnId="76"/>
      <queryTableField id="2" name="BrokerName" tableColumnId="77"/>
      <queryTableField id="3" name="BasketID" tableColumnId="78"/>
      <queryTableField id="4" name="Symbol" tableColumnId="79"/>
      <queryTableField id="5" name="SymbolNormalized" tableColumnId="80"/>
      <queryTableField id="6" name="Timeframe" tableColumnId="81"/>
      <queryTableField id="7" name="StartTime" tableColumnId="82"/>
      <queryTableField id="8" name="EndTime" tableColumnId="83"/>
      <queryTableField id="9" name="DurationSeconds" tableColumnId="84"/>
      <queryTableField id="10" name="Direction" tableColumnId="85"/>
      <queryTableField id="11" name="OrdersCount" tableColumnId="86"/>
      <queryTableField id="12" name="TotalLots" tableColumnId="87"/>
      <queryTableField id="13" name="FixedLots" tableColumnId="88"/>
      <queryTableField id="14" name="MaxOrdersConcurrent" tableColumnId="89"/>
      <queryTableField id="15" name="MaxTotalLots" tableColumnId="90"/>
      <queryTableField id="16" name="MaxFloatingDrawdownAbs" tableColumnId="91"/>
      <queryTableField id="17" name="MaxFloatingProfit" tableColumnId="92"/>
      <queryTableField id="18" name="ClosePL" tableColumnId="93"/>
      <queryTableField id="19" name="CloseReason" tableColumnId="94"/>
      <queryTableField id="20" name="OutcomeClass" tableColumnId="95"/>
      <queryTableField id="21" name="SpreadAtEntry" tableColumnId="96"/>
      <queryTableField id="22" name="EquityAtEntry" tableColumnId="97"/>
      <queryTableField id="23" name="HeadroomAtEntry" tableColumnId="98"/>
      <queryTableField id="24" name="MinHeadroom" tableColumnId="99"/>
      <queryTableField id="25" name="TimesNearKill" tableColumnId="100"/>
      <queryTableField id="26" name="ExposureBlocks" tableColumnId="101"/>
      <queryTableField id="27" name="PipsStep" tableColumnId="102"/>
      <queryTableField id="28" name="TakeProfit" tableColumnId="103"/>
      <queryTableField id="29" name="KillEquityLevel" tableColumnId="104"/>
      <queryTableField id="30" name="MaxOrdersInBasket" tableColumnId="105"/>
      <queryTableField id="31" name="MaxTotalLotsInBasket" tableColumnId="106"/>
      <queryTableField id="32" name="EquityAtExit" tableColumnId="107"/>
      <queryTableField id="33" name="BalanceAfter" tableColumnId="108"/>
      <queryTableField id="34" name="TradeDate" tableColumnId="109"/>
      <queryTableField id="35" name="RunID" tableColumnId="110"/>
      <queryTableField id="36" name="RunStartTime" tableColumnId="111"/>
      <queryTableField id="37" name="RunStartBalance" tableColumnId="112"/>
      <queryTableField id="38" name="EAName" tableColumnId="113"/>
      <queryTableField id="39" name="EAVersion" tableColumnId="114"/>
      <queryTableField id="40" name="Magic" tableColumnId="115"/>
      <queryTableField id="41" name="PointsPerPip" tableColumnId="116"/>
      <queryTableField id="42" name="Tral" tableColumnId="117"/>
      <queryTableField id="43" name="TralStart" tableColumnId="118"/>
      <queryTableField id="44" name="MaxSpread" tableColumnId="119"/>
      <queryTableField id="45" name="TimeStart" tableColumnId="120"/>
      <queryTableField id="46" name="TimeEnd" tableColumnId="121"/>
      <queryTableField id="47" name="OpenTime" tableColumnId="122"/>
      <queryTableField id="48" name="NewBasketDelaySeconds" tableColumnId="123"/>
      <queryTableField id="49" name="SpeedEA" tableColumnId="124"/>
      <queryTableField id="50" name="UseBasketTrailingTP" tableColumnId="125"/>
      <queryTableField id="51" name="TrailingStart" tableColumnId="126"/>
      <queryTableField id="52" name="TrailingStep" tableColumnId="127"/>
      <queryTableField id="53" name="KillSwitchEnable" tableColumnId="128"/>
      <queryTableField id="54" name="KillCooldownMinutes" tableColumnId="129"/>
      <queryTableField id="55" name="RegimeEnable" tableColumnId="130"/>
      <queryTableField id="56" name="RegimeAction" tableColumnId="131"/>
      <queryTableField id="57" name="RegimeADXPeriod" tableColumnId="132"/>
      <queryTableField id="58" name="RegimeADXLevel" tableColumnId="133"/>
      <queryTableField id="59" name="RegimeADXBars" tableColumnId="134"/>
      <queryTableField id="60" name="RegimeRangeBars" tableColumnId="135"/>
      <queryTableField id="61" name="RegimeRecoveryBars" tableColumnId="136"/>
      <queryTableField id="62" name="EnableTradingDaysFilter" tableColumnId="137"/>
      <queryTableField id="63" name="TradeMonday" tableColumnId="138"/>
      <queryTableField id="64" name="TradeTuesday" tableColumnId="139"/>
      <queryTableField id="65" name="TradeWednesday" tableColumnId="140"/>
      <queryTableField id="66" name="TradeThursday" tableColumnId="141"/>
      <queryTableField id="67" name="TradeFriday" tableColumnId="142"/>
      <queryTableField id="68" name="EnableRecoveryStepUp" tableColumnId="143"/>
      <queryTableField id="69" name="RecoveryWaitMinutes" tableColumnId="144"/>
      <queryTableField id="70" name="RecoveryMaxTotalLotsInBasket" tableColumnId="145"/>
      <queryTableField id="71" name="CsvSchemaVersion" tableColumnId="146"/>
      <queryTableField id="72" name="FolderAccountNumber" tableColumnId="147"/>
      <queryTableField id="73" name="RunKey" tableColumnId="148"/>
      <queryTableField id="74" name="FolderAccountMismatch" tableColumnId="149"/>
      <queryTableField id="75" name="ConfigFingerpri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B86E8-BE27-48FD-8530-190879AFC7B0}" name="SyncStatusTable" displayName="SyncStatusTable" ref="A1:L2" tableType="queryTable" totalsRowShown="0">
  <autoFilter ref="A1:L2" xr:uid="{06AB86E8-BE27-48FD-8530-190879AFC7B0}"/>
  <tableColumns count="12">
    <tableColumn id="13" xr3:uid="{B984CCBF-4122-49CA-AFE4-B18A4CD6172E}" uniqueName="13" name="AccountNumber" queryTableFieldId="1" dataDxfId="6"/>
    <tableColumn id="14" xr3:uid="{01FF934A-564C-47D7-A21D-D586AEF4BADF}" uniqueName="14" name="FolderAccountNumber" queryTableFieldId="2" dataDxfId="5"/>
    <tableColumn id="15" xr3:uid="{B96D9748-07CF-4CCA-8792-8DB4B6BF1AC2}" uniqueName="15" name="FolderAccountMismatch" queryTableFieldId="3"/>
    <tableColumn id="16" xr3:uid="{CA178BB8-5240-45AF-BA22-98F0DD9A5D2F}" uniqueName="16" name="Status" queryTableFieldId="4" dataDxfId="4"/>
    <tableColumn id="17" xr3:uid="{A1B55B83-C3CB-46CF-987A-70C248138826}" uniqueName="17" name="RowCount" queryTableFieldId="5"/>
    <tableColumn id="18" xr3:uid="{6E84CDCC-BD4B-40E8-AC5F-B9A1DC67F9F8}" uniqueName="18" name="SourceHash" queryTableFieldId="6" dataDxfId="3"/>
    <tableColumn id="19" xr3:uid="{B58FF8EB-8C25-40C8-AD0C-08F86EB03C44}" uniqueName="19" name="DestinationHash" queryTableFieldId="7" dataDxfId="2"/>
    <tableColumn id="20" xr3:uid="{8685EDB1-7FC6-49C8-947D-85DCEBB4FA0A}" uniqueName="20" name="SourceLastWriteUtc" queryTableFieldId="8" dataDxfId="1"/>
    <tableColumn id="21" xr3:uid="{3030E866-F4D9-4B36-BE81-1F95408F46DE}" uniqueName="21" name="PublishedUtc" queryTableFieldId="9" dataDxfId="0"/>
    <tableColumn id="22" xr3:uid="{ED6842CC-6CB0-4622-91A4-4D73AE391EC1}" uniqueName="22" name="HeartbeatAgeHours" queryTableFieldId="10"/>
    <tableColumn id="23" xr3:uid="{9C3ED454-5406-49ED-8B92-ED9784DB1CCA}" uniqueName="23" name="IsFresh" queryTableFieldId="11"/>
    <tableColumn id="24" xr3:uid="{7E3840B1-373F-47F0-8104-3D5A9B4CFC45}" uniqueName="24" name="CloudDeliveryVerifie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ECEC5-62FA-4F25-A6D4-AA1AFB47DBEA}" name="BasketDataTable" displayName="BasketDataTable" ref="A1:BW2" tableType="queryTable" totalsRowShown="0">
  <autoFilter ref="A1:BW2" xr:uid="{888ECEC5-62FA-4F25-A6D4-AA1AFB47DBEA}"/>
  <tableColumns count="75">
    <tableColumn id="76" xr3:uid="{3F5E1935-F6AA-4D84-A9AC-1F40387FC056}" uniqueName="76" name="AccountNumber" queryTableFieldId="1" dataDxfId="14"/>
    <tableColumn id="77" xr3:uid="{FD760FD7-308F-42F1-B3DC-E8E241B2E355}" uniqueName="77" name="BrokerName" queryTableFieldId="2"/>
    <tableColumn id="78" xr3:uid="{80C2EA3D-CC64-4B8B-8B16-7C824F95C807}" uniqueName="78" name="BasketID" queryTableFieldId="3"/>
    <tableColumn id="79" xr3:uid="{4F4E2CC1-6518-4868-A491-53F8CA676C7B}" uniqueName="79" name="Symbol" queryTableFieldId="4"/>
    <tableColumn id="80" xr3:uid="{624049B6-0DE4-4B6E-895F-E7C201835E38}" uniqueName="80" name="SymbolNormalized" queryTableFieldId="5"/>
    <tableColumn id="81" xr3:uid="{B02D0F41-4759-4371-BDE5-EE19F727D130}" uniqueName="81" name="Timeframe" queryTableFieldId="6"/>
    <tableColumn id="82" xr3:uid="{B723AC06-88EA-4681-AC8E-A190BC541078}" uniqueName="82" name="StartTime" queryTableFieldId="7" dataDxfId="13"/>
    <tableColumn id="83" xr3:uid="{35F61C9B-C94B-4DCA-942D-C738407C0CBD}" uniqueName="83" name="EndTime" queryTableFieldId="8" dataDxfId="12"/>
    <tableColumn id="84" xr3:uid="{F9EA18CB-0751-4E26-A294-8AB4B05F7C62}" uniqueName="84" name="DurationSeconds" queryTableFieldId="9"/>
    <tableColumn id="85" xr3:uid="{7F8917C4-FC05-4266-A637-BB91375499F4}" uniqueName="85" name="Direction" queryTableFieldId="10"/>
    <tableColumn id="86" xr3:uid="{C90207BD-9366-4F69-B2BB-16AFA968A4BB}" uniqueName="86" name="OrdersCount" queryTableFieldId="11"/>
    <tableColumn id="87" xr3:uid="{6201F5DF-3036-470A-B7E7-086B71602DF5}" uniqueName="87" name="TotalLots" queryTableFieldId="12"/>
    <tableColumn id="88" xr3:uid="{CF3D3982-8228-48A3-8E03-EA2156DE699B}" uniqueName="88" name="FixedLots" queryTableFieldId="13"/>
    <tableColumn id="89" xr3:uid="{3387E778-B443-4085-9C77-412378159591}" uniqueName="89" name="MaxOrdersConcurrent" queryTableFieldId="14"/>
    <tableColumn id="90" xr3:uid="{6EC9FAF2-4DE5-4314-A630-05E8D18D2204}" uniqueName="90" name="MaxTotalLots" queryTableFieldId="15"/>
    <tableColumn id="91" xr3:uid="{A91D9135-D4D3-4C7C-80A5-A8CC735CD7E5}" uniqueName="91" name="MaxFloatingDrawdownAbs" queryTableFieldId="16"/>
    <tableColumn id="92" xr3:uid="{B16E6456-7949-4AC6-885D-B250942F5698}" uniqueName="92" name="MaxFloatingProfit" queryTableFieldId="17"/>
    <tableColumn id="93" xr3:uid="{0B58FDF2-28AA-4237-ACA3-C18305C24F2E}" uniqueName="93" name="ClosePL" queryTableFieldId="18"/>
    <tableColumn id="94" xr3:uid="{6729480E-A796-482F-B1D4-FF1CF19BF2FB}" uniqueName="94" name="CloseReason" queryTableFieldId="19"/>
    <tableColumn id="95" xr3:uid="{26F5F5D1-0255-46D9-B23A-02B6AE40DD7A}" uniqueName="95" name="OutcomeClass" queryTableFieldId="20"/>
    <tableColumn id="96" xr3:uid="{D29669D6-CFA9-4ABA-881B-1150232167DD}" uniqueName="96" name="SpreadAtEntry" queryTableFieldId="21"/>
    <tableColumn id="97" xr3:uid="{F81466E3-1A38-459D-B60D-DA79B76EF983}" uniqueName="97" name="EquityAtEntry" queryTableFieldId="22"/>
    <tableColumn id="98" xr3:uid="{FFB53047-1182-4597-AD1A-627649462A64}" uniqueName="98" name="HeadroomAtEntry" queryTableFieldId="23"/>
    <tableColumn id="99" xr3:uid="{CAD91233-411E-4557-8A8B-1720ABB0E7FD}" uniqueName="99" name="MinHeadroom" queryTableFieldId="24"/>
    <tableColumn id="100" xr3:uid="{5F889B62-89A0-4D16-B4B2-F17317CEDE07}" uniqueName="100" name="TimesNearKill" queryTableFieldId="25"/>
    <tableColumn id="101" xr3:uid="{CE0FFAD8-03DA-4E22-A3ED-B91ED3F99918}" uniqueName="101" name="ExposureBlocks" queryTableFieldId="26"/>
    <tableColumn id="102" xr3:uid="{82BA808A-0FF8-4FA8-BAB3-5708717FCD19}" uniqueName="102" name="PipsStep" queryTableFieldId="27"/>
    <tableColumn id="103" xr3:uid="{576F2A0B-0E47-40D6-994E-53F0F9258F1B}" uniqueName="103" name="TakeProfit" queryTableFieldId="28"/>
    <tableColumn id="104" xr3:uid="{8A5CC67E-AF0B-4B0A-A016-E5C214ED38BC}" uniqueName="104" name="KillEquityLevel" queryTableFieldId="29"/>
    <tableColumn id="105" xr3:uid="{B25F9E0C-D7AE-4082-9249-C87AD9D79842}" uniqueName="105" name="MaxOrdersInBasket" queryTableFieldId="30"/>
    <tableColumn id="106" xr3:uid="{37CA52C1-144B-4F70-A697-02515D1711ED}" uniqueName="106" name="MaxTotalLotsInBasket" queryTableFieldId="31"/>
    <tableColumn id="107" xr3:uid="{535F3623-F65B-4573-8B4F-0A2F6CCB8B0A}" uniqueName="107" name="EquityAtExit" queryTableFieldId="32"/>
    <tableColumn id="108" xr3:uid="{E85B4776-80C9-449F-BB64-218E80A8BC0C}" uniqueName="108" name="BalanceAfter" queryTableFieldId="33"/>
    <tableColumn id="109" xr3:uid="{755381A0-5C4E-4B66-9423-9EF48E22B719}" uniqueName="109" name="TradeDate" queryTableFieldId="34" dataDxfId="11"/>
    <tableColumn id="110" xr3:uid="{519111EC-51EB-4950-8030-FCB7E2C2BBCD}" uniqueName="110" name="RunID" queryTableFieldId="35"/>
    <tableColumn id="111" xr3:uid="{16071FC4-5698-46F7-8CE0-7AA3E371F8FF}" uniqueName="111" name="RunStartTime" queryTableFieldId="36" dataDxfId="10"/>
    <tableColumn id="112" xr3:uid="{90C42C09-7F3D-4001-BF0C-57E913926074}" uniqueName="112" name="RunStartBalance" queryTableFieldId="37"/>
    <tableColumn id="113" xr3:uid="{AC19E50A-A6DE-493D-A1D9-7C8D9BAA773D}" uniqueName="113" name="EAName" queryTableFieldId="38"/>
    <tableColumn id="114" xr3:uid="{94166F3A-7292-41DE-B3E3-93515C405887}" uniqueName="114" name="EAVersion" queryTableFieldId="39"/>
    <tableColumn id="115" xr3:uid="{3BAD011F-246E-462B-8921-9FA019495335}" uniqueName="115" name="Magic" queryTableFieldId="40"/>
    <tableColumn id="116" xr3:uid="{311E7007-B9D0-439F-AA83-83C8AA6C1270}" uniqueName="116" name="PointsPerPip" queryTableFieldId="41"/>
    <tableColumn id="117" xr3:uid="{5764318E-2E7D-41FF-9566-CE19D3B10A26}" uniqueName="117" name="Tral" queryTableFieldId="42"/>
    <tableColumn id="118" xr3:uid="{243F7D90-5F18-4D9F-B266-E20001FF8A37}" uniqueName="118" name="TralStart" queryTableFieldId="43"/>
    <tableColumn id="119" xr3:uid="{DB13793F-2180-4E86-9935-2A7DAD714F07}" uniqueName="119" name="MaxSpread" queryTableFieldId="44"/>
    <tableColumn id="120" xr3:uid="{95BCBB05-9906-49A4-A86C-3B4D64112B7A}" uniqueName="120" name="TimeStart" queryTableFieldId="45"/>
    <tableColumn id="121" xr3:uid="{E185A66E-BBE1-42DE-8F2C-6CCAEF5EB721}" uniqueName="121" name="TimeEnd" queryTableFieldId="46"/>
    <tableColumn id="122" xr3:uid="{FE5A335A-E2C5-408A-ADD1-FDBE77D3C592}" uniqueName="122" name="OpenTime" queryTableFieldId="47"/>
    <tableColumn id="123" xr3:uid="{5111A95C-D2EF-438F-AEEB-B3067C443B9C}" uniqueName="123" name="NewBasketDelaySeconds" queryTableFieldId="48"/>
    <tableColumn id="124" xr3:uid="{99D59FE0-7736-4F2B-BF6E-AB90FF60E7A0}" uniqueName="124" name="SpeedEA" queryTableFieldId="49"/>
    <tableColumn id="125" xr3:uid="{FE521646-A3EB-4E3F-BF56-FBAB663592B9}" uniqueName="125" name="UseBasketTrailingTP" queryTableFieldId="50"/>
    <tableColumn id="126" xr3:uid="{CEDC4EE2-23B2-4351-ADD5-901D161AE596}" uniqueName="126" name="TrailingStart" queryTableFieldId="51"/>
    <tableColumn id="127" xr3:uid="{468D272D-6E64-42D1-B3A4-AA6EB62A6FB1}" uniqueName="127" name="TrailingStep" queryTableFieldId="52"/>
    <tableColumn id="128" xr3:uid="{A2B2CF8D-171E-44A5-873D-B47DFE72BDB0}" uniqueName="128" name="KillSwitchEnable" queryTableFieldId="53"/>
    <tableColumn id="129" xr3:uid="{87FE2DFF-3906-4440-A305-BAA9AD27B41A}" uniqueName="129" name="KillCooldownMinutes" queryTableFieldId="54"/>
    <tableColumn id="130" xr3:uid="{71E4EBDD-C022-4AA4-A049-6CBE703DCAD6}" uniqueName="130" name="RegimeEnable" queryTableFieldId="55"/>
    <tableColumn id="131" xr3:uid="{87E63B69-F067-4600-B837-519E8101932E}" uniqueName="131" name="RegimeAction" queryTableFieldId="56"/>
    <tableColumn id="132" xr3:uid="{45A2475C-227A-4230-A805-A95A96BF537B}" uniqueName="132" name="RegimeADXPeriod" queryTableFieldId="57"/>
    <tableColumn id="133" xr3:uid="{C88FEDCE-31F1-4E65-A6D7-F0C3B2AA026B}" uniqueName="133" name="RegimeADXLevel" queryTableFieldId="58"/>
    <tableColumn id="134" xr3:uid="{EA0F8249-1B56-44BB-B4A1-147B058FAB8D}" uniqueName="134" name="RegimeADXBars" queryTableFieldId="59"/>
    <tableColumn id="135" xr3:uid="{B373D5D2-B927-48F3-8AAB-7B5B78A910D5}" uniqueName="135" name="RegimeRangeBars" queryTableFieldId="60"/>
    <tableColumn id="136" xr3:uid="{7DE3ED1E-033D-4BE1-BD70-B35E10337D17}" uniqueName="136" name="RegimeRecoveryBars" queryTableFieldId="61"/>
    <tableColumn id="137" xr3:uid="{27741990-6DB4-4B54-A6B9-D068408B5EEC}" uniqueName="137" name="EnableTradingDaysFilter" queryTableFieldId="62"/>
    <tableColumn id="138" xr3:uid="{CDF407B6-E19D-4845-BE22-52406290F16B}" uniqueName="138" name="TradeMonday" queryTableFieldId="63"/>
    <tableColumn id="139" xr3:uid="{AC50ACC4-9AE1-4F21-A5FE-D78A7DC1065E}" uniqueName="139" name="TradeTuesday" queryTableFieldId="64"/>
    <tableColumn id="140" xr3:uid="{800AEDB6-FD45-43EC-9858-0E0D704229C2}" uniqueName="140" name="TradeWednesday" queryTableFieldId="65"/>
    <tableColumn id="141" xr3:uid="{FCE919B4-7839-48E4-811B-246129948DAB}" uniqueName="141" name="TradeThursday" queryTableFieldId="66"/>
    <tableColumn id="142" xr3:uid="{63FF036A-AA25-4098-BCC4-8A862018B8F9}" uniqueName="142" name="TradeFriday" queryTableFieldId="67"/>
    <tableColumn id="143" xr3:uid="{EB5A267A-1B7A-4B7B-8272-D5D3C358087F}" uniqueName="143" name="EnableRecoveryStepUp" queryTableFieldId="68"/>
    <tableColumn id="144" xr3:uid="{DD93B724-6A06-4DF0-90A4-6BACFCCF5EE5}" uniqueName="144" name="RecoveryWaitMinutes" queryTableFieldId="69"/>
    <tableColumn id="145" xr3:uid="{CF0F41D3-59C9-40FA-9B1E-13E82B99E0B8}" uniqueName="145" name="RecoveryMaxTotalLotsInBasket" queryTableFieldId="70"/>
    <tableColumn id="146" xr3:uid="{47099743-4C90-4F29-A71A-46D1E15CF699}" uniqueName="146" name="CsvSchemaVersion" queryTableFieldId="71"/>
    <tableColumn id="147" xr3:uid="{CBE1DD23-12DE-43CB-8D9E-304CEBA45BD9}" uniqueName="147" name="FolderAccountNumber" queryTableFieldId="72" dataDxfId="9"/>
    <tableColumn id="148" xr3:uid="{9CDE7926-0562-411C-8935-D5E71B02402E}" uniqueName="148" name="RunKey" queryTableFieldId="73" dataDxfId="8"/>
    <tableColumn id="149" xr3:uid="{DB1D8EF9-F01E-4FE9-90ED-6C96AA082276}" uniqueName="149" name="FolderAccountMismatch" queryTableFieldId="74"/>
    <tableColumn id="150" xr3:uid="{66DD5ED3-3888-4B89-9ED7-D9843157F186}" uniqueName="150" name="ConfigFingerprint" queryTableFieldId="7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L2"/>
  <sheetViews>
    <sheetView tabSelected="1" workbookViewId="0"/>
  </sheetViews>
  <sheetFormatPr defaultRowHeight="14.25"/>
  <cols>
    <col min="1" max="1" width="17.125" bestFit="1" customWidth="1"/>
    <col min="2" max="2" width="23" bestFit="1" customWidth="1"/>
    <col min="3" max="3" width="24.5" bestFit="1" customWidth="1"/>
    <col min="4" max="4" width="8.5" bestFit="1" customWidth="1"/>
    <col min="5" max="5" width="12.125" bestFit="1" customWidth="1"/>
    <col min="6" max="7" width="64.5" bestFit="1" customWidth="1"/>
    <col min="8" max="8" width="20.875" bestFit="1" customWidth="1"/>
    <col min="9" max="9" width="14.75" bestFit="1" customWidth="1"/>
    <col min="10" max="10" width="20.625" bestFit="1" customWidth="1"/>
    <col min="11" max="11" width="9.5" bestFit="1" customWidth="1"/>
    <col min="12" max="12" width="22.625" bestFit="1" customWidth="1"/>
  </cols>
  <sheetData>
    <row r="1" spans="1:12">
      <c r="A1" t="s">
        <v>77</v>
      </c>
      <c r="B1" t="s">
        <v>147</v>
      </c>
      <c r="C1" t="s">
        <v>149</v>
      </c>
      <c r="D1" t="s">
        <v>155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</row>
    <row r="2" spans="1:12">
      <c r="A2" s="20" t="s">
        <v>73</v>
      </c>
      <c r="B2" s="20" t="s">
        <v>73</v>
      </c>
      <c r="C2" t="b">
        <v>0</v>
      </c>
      <c r="D2" s="20" t="s">
        <v>222</v>
      </c>
      <c r="E2">
        <v>1</v>
      </c>
      <c r="F2" s="20" t="s">
        <v>223</v>
      </c>
      <c r="G2" s="20" t="s">
        <v>223</v>
      </c>
      <c r="H2" s="14">
        <v>46257.522447696756</v>
      </c>
      <c r="I2" s="14">
        <v>46257.522447754629</v>
      </c>
      <c r="J2">
        <v>0.24542512986111109</v>
      </c>
      <c r="K2" t="b">
        <v>1</v>
      </c>
      <c r="L2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4"/>
  <sheetViews>
    <sheetView showGridLines="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</cols>
  <sheetData>
    <row r="1" spans="1:67" ht="27.9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</row>
    <row r="2" spans="1:67" ht="1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 t="s">
        <v>2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 t="s">
        <v>3</v>
      </c>
      <c r="AX2" s="18"/>
      <c r="AY2" s="18"/>
      <c r="AZ2" s="18"/>
      <c r="BA2" s="18"/>
      <c r="BB2" s="18"/>
      <c r="BC2" s="18"/>
      <c r="BD2" s="18"/>
      <c r="BE2" s="18"/>
      <c r="BF2" s="18"/>
      <c r="BG2" s="18" t="s">
        <v>4</v>
      </c>
      <c r="BH2" s="18"/>
      <c r="BI2" s="18"/>
      <c r="BJ2" s="18"/>
      <c r="BK2" s="18"/>
      <c r="BL2" s="18"/>
      <c r="BM2" s="18"/>
      <c r="BN2" s="18"/>
      <c r="BO2" s="18"/>
    </row>
    <row r="3" spans="1:6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67">
      <c r="A4" s="16" t="s">
        <v>72</v>
      </c>
      <c r="B4" s="16" t="s">
        <v>72</v>
      </c>
      <c r="C4" s="16" t="s">
        <v>72</v>
      </c>
      <c r="D4" s="16" t="s">
        <v>72</v>
      </c>
      <c r="E4" s="16" t="s">
        <v>72</v>
      </c>
      <c r="F4" s="16" t="s">
        <v>72</v>
      </c>
      <c r="G4" s="16" t="s">
        <v>72</v>
      </c>
      <c r="H4" s="16" t="s">
        <v>72</v>
      </c>
      <c r="I4" s="16" t="s">
        <v>72</v>
      </c>
      <c r="J4" s="16" t="s">
        <v>72</v>
      </c>
      <c r="K4" s="16" t="s">
        <v>72</v>
      </c>
      <c r="L4" s="16" t="s">
        <v>72</v>
      </c>
      <c r="M4" s="16" t="s">
        <v>72</v>
      </c>
      <c r="N4" s="16" t="s">
        <v>72</v>
      </c>
      <c r="O4" s="16" t="s">
        <v>72</v>
      </c>
      <c r="P4" s="16" t="s">
        <v>72</v>
      </c>
      <c r="Q4" s="16" t="s">
        <v>72</v>
      </c>
      <c r="R4" s="16" t="s">
        <v>72</v>
      </c>
      <c r="S4" s="16" t="s">
        <v>72</v>
      </c>
      <c r="T4" s="16" t="s">
        <v>72</v>
      </c>
      <c r="U4" s="16" t="s">
        <v>72</v>
      </c>
      <c r="V4" s="16" t="s">
        <v>72</v>
      </c>
      <c r="W4" s="16" t="s">
        <v>72</v>
      </c>
      <c r="X4" s="16" t="s">
        <v>72</v>
      </c>
      <c r="Y4" s="16" t="s">
        <v>72</v>
      </c>
      <c r="Z4" s="16" t="s">
        <v>72</v>
      </c>
      <c r="AA4" s="16" t="s">
        <v>72</v>
      </c>
      <c r="AB4" s="16" t="s">
        <v>72</v>
      </c>
      <c r="AC4" s="16" t="s">
        <v>72</v>
      </c>
      <c r="AD4" s="16" t="s">
        <v>72</v>
      </c>
      <c r="AE4" s="16" t="s">
        <v>72</v>
      </c>
      <c r="AF4" s="16" t="s">
        <v>72</v>
      </c>
      <c r="AG4" s="16" t="s">
        <v>72</v>
      </c>
      <c r="AH4" s="16" t="s">
        <v>72</v>
      </c>
      <c r="AI4" s="16" t="s">
        <v>72</v>
      </c>
      <c r="AJ4" s="16" t="s">
        <v>72</v>
      </c>
      <c r="AK4" s="16" t="s">
        <v>72</v>
      </c>
      <c r="AL4" s="16" t="s">
        <v>72</v>
      </c>
      <c r="AM4" s="16" t="s">
        <v>72</v>
      </c>
      <c r="AN4" s="16" t="s">
        <v>72</v>
      </c>
      <c r="AO4" s="16" t="s">
        <v>72</v>
      </c>
      <c r="AP4" s="16" t="s">
        <v>72</v>
      </c>
      <c r="AQ4" s="16" t="s">
        <v>72</v>
      </c>
      <c r="AR4" s="16" t="s">
        <v>72</v>
      </c>
      <c r="AS4" s="16" t="s">
        <v>72</v>
      </c>
      <c r="AT4" s="16" t="s">
        <v>72</v>
      </c>
      <c r="AU4" s="16" t="s">
        <v>72</v>
      </c>
      <c r="AV4" s="16" t="s">
        <v>72</v>
      </c>
      <c r="AW4" s="16" t="s">
        <v>72</v>
      </c>
      <c r="AX4" s="16" t="s">
        <v>72</v>
      </c>
      <c r="AY4" s="16" t="s">
        <v>72</v>
      </c>
      <c r="AZ4" s="16" t="s">
        <v>72</v>
      </c>
      <c r="BA4" s="16" t="s">
        <v>72</v>
      </c>
      <c r="BB4" s="16" t="s">
        <v>72</v>
      </c>
      <c r="BC4" s="16" t="s">
        <v>72</v>
      </c>
      <c r="BD4" s="16" t="s">
        <v>72</v>
      </c>
      <c r="BE4" s="16" t="s">
        <v>72</v>
      </c>
      <c r="BF4" s="16" t="s">
        <v>72</v>
      </c>
      <c r="BG4" s="16" t="s">
        <v>72</v>
      </c>
      <c r="BH4" s="16" t="s">
        <v>72</v>
      </c>
      <c r="BI4" s="16" t="s">
        <v>72</v>
      </c>
      <c r="BJ4" s="16" t="s">
        <v>72</v>
      </c>
      <c r="BK4" s="16" t="s">
        <v>72</v>
      </c>
      <c r="BL4" s="16" t="s">
        <v>72</v>
      </c>
      <c r="BM4" s="16" t="s">
        <v>72</v>
      </c>
      <c r="BN4" s="16" t="s">
        <v>72</v>
      </c>
      <c r="BO4" s="16" t="s">
        <v>72</v>
      </c>
    </row>
    <row r="5" spans="1:67">
      <c r="A5" s="5" t="s">
        <v>73</v>
      </c>
      <c r="B5" s="5" t="s">
        <v>74</v>
      </c>
      <c r="C5" s="5">
        <f>IFERROR(VLOOKUP($A5&amp;"|"&amp;$B5,'Manual Fields'!$A$2:$H$101,4,FALSE),"")</f>
        <v>0</v>
      </c>
      <c r="D5" s="6" t="str">
        <f>IFERROR(INDEX(_xlfn._xlws.FILTER('Basket Data'!$G$2:$G$2000,('Basket Data'!$A$2:$A$2000=$A5)*('Basket Data'!$AI$2:$AI$2000=$B5)),1),"")</f>
        <v/>
      </c>
      <c r="E5" s="5">
        <f>IFERROR(VLOOKUP($A5&amp;"|"&amp;$B5,'Manual Fields'!$A$2:$H$101,5,FALSE),"")</f>
        <v>0</v>
      </c>
      <c r="F5" s="8">
        <f>IFERROR(LOOKUP(2,1/('Basket Data'!$A$2:$A$2000=$A5)*('Basket Data'!$AI$2:$AI$2000=$B5),'Basket Data'!$AK$2:$AK$2000),"")</f>
        <v>1500</v>
      </c>
      <c r="G5" s="5">
        <f>IFERROR(VLOOKUP($A5&amp;"|"&amp;$B5,'Manual Fields'!$A$2:$H$101,6,FALSE),"")</f>
        <v>0</v>
      </c>
      <c r="H5" s="5">
        <f>IFERROR(VLOOKUP($A5&amp;"|"&amp;$B5,'Manual Fields'!$A$2:$H$101,7,FALSE),"")</f>
        <v>0</v>
      </c>
      <c r="I5" s="5">
        <f>IFERROR(LOOKUP(2,1/('Basket Data'!$A$2:$A$2000=$A5)*('Basket Data'!$AI$2:$AI$2000=$B5),'Basket Data'!$M$2:$M$2000),"")</f>
        <v>0.1</v>
      </c>
      <c r="J5" s="5">
        <f>IFERROR(LOOKUP(2,1/('Basket Data'!$A$2:$A$2000=$A5)*('Basket Data'!$AI$2:$AI$2000=$B5),'Basket Data'!$AA$2:$AA$2000),"")</f>
        <v>80</v>
      </c>
      <c r="K5" s="8">
        <f>IFERROR(LOOKUP(2,1/('Basket Data'!$A$2:$A$2000=$A5)*('Basket Data'!$AI$2:$AI$2000=$B5),'Basket Data'!$AB$2:$AB$2000),"")</f>
        <v>15</v>
      </c>
      <c r="L5" s="5">
        <f>IFERROR(LOOKUP(2,1/('Basket Data'!$A$2:$A$2000=$A5)*('Basket Data'!$AI$2:$AI$2000=$B5),'Basket Data'!$AP$2:$AP$2000),"")</f>
        <v>60</v>
      </c>
      <c r="M5" s="5">
        <f>IFERROR(LOOKUP(2,1/('Basket Data'!$A$2:$A$2000=$A5)*('Basket Data'!$AI$2:$AI$2000=$B5),'Basket Data'!$AQ$2:$AQ$2000),"")</f>
        <v>110</v>
      </c>
      <c r="N5" s="5">
        <f>IFERROR(LOOKUP(2,1/('Basket Data'!$A$2:$A$2000=$A5)*('Basket Data'!$AI$2:$AI$2000=$B5),'Basket Data'!$AR$2:$AR$2000),"")</f>
        <v>200</v>
      </c>
      <c r="O5" s="5">
        <f>IFERROR(LOOKUP(2,1/('Basket Data'!$A$2:$A$2000=$A5)*('Basket Data'!$AI$2:$AI$2000=$B5),'Basket Data'!$AS$2:$AS$2000),"")</f>
        <v>3</v>
      </c>
      <c r="P5" s="5">
        <f>IFERROR(LOOKUP(2,1/('Basket Data'!$A$2:$A$2000=$A5)*('Basket Data'!$AI$2:$AI$2000=$B5),'Basket Data'!$AT$2:$AT$2000),"")</f>
        <v>23</v>
      </c>
      <c r="Q5" s="5">
        <f>IFERROR(LOOKUP(2,1/('Basket Data'!$A$2:$A$2000=$A5)*('Basket Data'!$AI$2:$AI$2000=$B5),'Basket Data'!$AU$2:$AU$2000),"")</f>
        <v>0</v>
      </c>
      <c r="R5" s="5">
        <f>IFERROR(LOOKUP(2,1/('Basket Data'!$A$2:$A$2000=$A5)*('Basket Data'!$AI$2:$AI$2000=$B5),'Basket Data'!$AW$2:$AW$2000),"")</f>
        <v>25</v>
      </c>
      <c r="S5" s="5">
        <f>IFERROR(LOOKUP(2,1/('Basket Data'!$A$2:$A$2000=$A5)*('Basket Data'!$AI$2:$AI$2000=$B5),'Basket Data'!$AV$2:$AV$2000),"")</f>
        <v>10</v>
      </c>
      <c r="T5" s="5">
        <f>IFERROR(LOOKUP(2,1/('Basket Data'!$A$2:$A$2000=$A5)*('Basket Data'!$AI$2:$AI$2000=$B5),'Basket Data'!$AX$2:$AX$2000),"")</f>
        <v>0</v>
      </c>
      <c r="U5" s="8">
        <f>IFERROR(LOOKUP(2,1/('Basket Data'!$A$2:$A$2000=$A5)*('Basket Data'!$AI$2:$AI$2000=$B5),'Basket Data'!$AY$2:$AY$2000),"")</f>
        <v>3</v>
      </c>
      <c r="V5" s="8">
        <f>IFERROR(LOOKUP(2,1/('Basket Data'!$A$2:$A$2000=$A5)*('Basket Data'!$AI$2:$AI$2000=$B5),'Basket Data'!$AZ$2:$AZ$2000),"")</f>
        <v>1.5</v>
      </c>
      <c r="W5" s="5">
        <f>IFERROR(LOOKUP(2,1/('Basket Data'!$A$2:$A$2000=$A5)*('Basket Data'!$AI$2:$AI$2000=$B5),'Basket Data'!$BA$2:$BA$2000),"")</f>
        <v>1</v>
      </c>
      <c r="X5" s="8">
        <f>IFERROR(LOOKUP(2,1/('Basket Data'!$A$2:$A$2000=$A5)*('Basket Data'!$AI$2:$AI$2000=$B5),'Basket Data'!$AC$2:$AC$2000),"")</f>
        <v>1500</v>
      </c>
      <c r="Y5" s="5">
        <f>IFERROR(LOOKUP(2,1/('Basket Data'!$A$2:$A$2000=$A5)*('Basket Data'!$AI$2:$AI$2000=$B5),'Basket Data'!$BB$2:$BB$2000),"")</f>
        <v>1440</v>
      </c>
      <c r="Z5" s="5">
        <f>IFERROR(LOOKUP(2,1/('Basket Data'!$A$2:$A$2000=$A5)*('Basket Data'!$AI$2:$AI$2000=$B5),'Basket Data'!$AD$2:$AD$2000),"")</f>
        <v>0</v>
      </c>
      <c r="AA5" s="8">
        <f>IFERROR(LOOKUP(2,1/('Basket Data'!$A$2:$A$2000=$A5)*('Basket Data'!$AI$2:$AI$2000=$B5),'Basket Data'!$AE$2:$AE$2000),"")</f>
        <v>0</v>
      </c>
      <c r="AB5" s="5">
        <f>IFERROR(LOOKUP(2,1/('Basket Data'!$A$2:$A$2000=$A5)*('Basket Data'!$AI$2:$AI$2000=$B5),'Basket Data'!$BC$2:$BC$2000),"")</f>
        <v>0</v>
      </c>
      <c r="AC5" s="5">
        <f>IFERROR(LOOKUP(2,1/('Basket Data'!$A$2:$A$2000=$A5)*('Basket Data'!$AI$2:$AI$2000=$B5),'Basket Data'!$BD$2:$BD$2000),"")</f>
        <v>0</v>
      </c>
      <c r="AD5" s="5">
        <f>IFERROR(LOOKUP(2,1/('Basket Data'!$A$2:$A$2000=$A5)*('Basket Data'!$AI$2:$AI$2000=$B5),'Basket Data'!$BP$2:$BP$2000),"")</f>
        <v>0</v>
      </c>
      <c r="AE5" s="5">
        <f>IFERROR(LOOKUP(2,1/('Basket Data'!$A$2:$A$2000=$A5)*('Basket Data'!$AI$2:$AI$2000=$B5),'Basket Data'!$BQ$2:$BQ$2000),"")</f>
        <v>60</v>
      </c>
      <c r="AF5" s="8">
        <f>IFERROR(LOOKUP(2,1/('Basket Data'!$A$2:$A$2000=$A5)*('Basket Data'!$AI$2:$AI$2000=$B5),'Basket Data'!$BR$2:$BR$2000),"")</f>
        <v>0</v>
      </c>
      <c r="AG5" s="5">
        <f>IFERROR(VLOOKUP($A5&amp;"|"&amp;$B5,'Manual Fields'!$A$2:$H$101,8,FALSE),"")</f>
        <v>0</v>
      </c>
      <c r="AH5" s="8">
        <f>IFERROR(SUMIFS('Basket Data'!$R$2:$R$2000,'Basket Data'!$A$2:$A$2000,$A5,'Basket Data'!$AI$2:$AI$2000,$B5),0)</f>
        <v>0</v>
      </c>
      <c r="AI5" s="5">
        <f>IFERROR(COUNTA(_xlfn.UNIQUE(_xlfn._xlws.FILTER('Basket Data'!$AH$2:$AH$2000,('Basket Data'!$A$2:$A$2000=$A5)*('Basket Data'!$AI$2:$AI$2000=$B5)))),0)</f>
        <v>1</v>
      </c>
      <c r="AJ5" s="8">
        <f>IFERROR(AH5/AI5,0)</f>
        <v>0</v>
      </c>
      <c r="AK5" s="8">
        <f>IFERROR(LARGE(_xlfn._xlws.FILTER('Basket Data'!$P$2:$P$2000,('Basket Data'!$A$2:$A$2000=$A5)*('Basket Data'!$AI$2:$AI$2000=$B5)),1),0)</f>
        <v>0</v>
      </c>
      <c r="AL5" s="8">
        <f>IFERROR(LARGE(_xlfn._xlws.FILTER('Basket Data'!$P$2:$P$2000,('Basket Data'!$A$2:$A$2000=$A5)*('Basket Data'!$AI$2:$AI$2000=$B5)),2),0)</f>
        <v>0</v>
      </c>
      <c r="AM5" s="8">
        <f>IFERROR(LARGE(_xlfn._xlws.FILTER('Basket Data'!$P$2:$P$2000,('Basket Data'!$A$2:$A$2000=$A5)*('Basket Data'!$AI$2:$AI$2000=$B5)),3),0)</f>
        <v>0</v>
      </c>
      <c r="AN5" s="8">
        <f>IFERROR((LARGE(_xlfn._xlws.FILTER('Basket Data'!$P$2:$P$2000,('Basket Data'!$A$2:$A$2000=$A5)*('Basket Data'!$AI$2:$AI$2000=$B5)),1)+LARGE(_xlfn._xlws.FILTER('Basket Data'!$P$2:$P$2000,('Basket Data'!$A$2:$A$2000=$A5)*('Basket Data'!$AI$2:$AI$2000=$B5)),2)+LARGE(_xlfn._xlws.FILTER('Basket Data'!$P$2:$P$2000,('Basket Data'!$A$2:$A$2000=$A5)*('Basket Data'!$AI$2:$AI$2000=$B5)),3)+LARGE(_xlfn._xlws.FILTER('Basket Data'!$P$2:$P$2000,('Basket Data'!$A$2:$A$2000=$A5)*('Basket Data'!$AI$2:$AI$2000=$B5)),4)+LARGE(_xlfn._xlws.FILTER('Basket Data'!$P$2:$P$2000,('Basket Data'!$A$2:$A$2000=$A5)*('Basket Data'!$AI$2:$AI$2000=$B5)),5)+LARGE(_xlfn._xlws.FILTER('Basket Data'!$P$2:$P$2000,('Basket Data'!$A$2:$A$2000=$A5)*('Basket Data'!$AI$2:$AI$2000=$B5)),6)+LARGE(_xlfn._xlws.FILTER('Basket Data'!$P$2:$P$2000,('Basket Data'!$A$2:$A$2000=$A5)*('Basket Data'!$AI$2:$AI$2000=$B5)),7)+LARGE(_xlfn._xlws.FILTER('Basket Data'!$P$2:$P$2000,('Basket Data'!$A$2:$A$2000=$A5)*('Basket Data'!$AI$2:$AI$2000=$B5)),8)+LARGE(_xlfn._xlws.FILTER('Basket Data'!$P$2:$P$2000,('Basket Data'!$A$2:$A$2000=$A5)*('Basket Data'!$AI$2:$AI$2000=$B5)),9)+LARGE(_xlfn._xlws.FILTER('Basket Data'!$P$2:$P$2000,('Basket Data'!$A$2:$A$2000=$A5)*('Basket Data'!$AI$2:$AI$2000=$B5)),10))/MIN(10,AO5),0)</f>
        <v>0</v>
      </c>
      <c r="AO5" s="5">
        <f>COUNTIFS('Basket Data'!$A$2:$A$2000,$A5,'Basket Data'!$AI$2:$AI$2000,$B5)</f>
        <v>0</v>
      </c>
      <c r="AP5" s="5">
        <f>COUNTIFS('Basket Data'!$A$2:$A$2000,$A5,'Basket Data'!$AI$2:$AI$2000,$B5,'Basket Data'!$R$2:$R$2000,"&gt;0")</f>
        <v>0</v>
      </c>
      <c r="AQ5" s="8">
        <f>SUMIFS('Basket Data'!$R$2:$R$2000,'Basket Data'!$A$2:$A$2000,$A5,'Basket Data'!$AI$2:$AI$2000,$B5,'Basket Data'!$R$2:$R$2000,"&gt;0")</f>
        <v>0</v>
      </c>
      <c r="AR5" s="5">
        <f>COUNTIFS('Basket Data'!$A$2:$A$2000,$A5,'Basket Data'!$AI$2:$AI$2000,$B5,'Basket Data'!$R$2:$R$2000,"&lt;0")</f>
        <v>0</v>
      </c>
      <c r="AS5" s="8">
        <f>-SUMIFS('Basket Data'!$R$2:$R$2000,'Basket Data'!$A$2:$A$2000,$A5,'Basket Data'!$AI$2:$AI$2000,$B5,'Basket Data'!$R$2:$R$2000,"&lt;0")</f>
        <v>0</v>
      </c>
      <c r="AT5" s="8">
        <f>IFERROR(AH5/AO5,0)</f>
        <v>0</v>
      </c>
      <c r="AU5" s="5">
        <f>SUMIFS('Basket Data'!$Y$2:$Y$2000,'Basket Data'!$A$2:$A$2000,$A5,'Basket Data'!$AI$2:$AI$2000,$B5)</f>
        <v>0</v>
      </c>
      <c r="AV5" s="5">
        <f>COUNTIFS('Basket Data'!$A$2:$A$2000,$A5,'Basket Data'!$AI$2:$AI$2000,$B5,'Basket Data'!$S$2:$S$2000,"KILL")</f>
        <v>0</v>
      </c>
      <c r="AW5" s="5">
        <f>COUNTIFS('Basket Data'!$A$2:$A$2000,$A5,'Basket Data'!$AI$2:$AI$2000,$B5,'Basket Data'!$N$2:$N$2000,"&gt;=1")</f>
        <v>0</v>
      </c>
      <c r="AX5" s="5">
        <f>COUNTIFS('Basket Data'!$A$2:$A$2000,$A5,'Basket Data'!$AI$2:$AI$2000,$B5,'Basket Data'!$N$2:$N$2000,"&gt;=2")</f>
        <v>0</v>
      </c>
      <c r="AY5" s="5">
        <f>COUNTIFS('Basket Data'!$A$2:$A$2000,$A5,'Basket Data'!$AI$2:$AI$2000,$B5,'Basket Data'!$N$2:$N$2000,"&gt;=3")</f>
        <v>0</v>
      </c>
      <c r="AZ5" s="5">
        <f>COUNTIFS('Basket Data'!$A$2:$A$2000,$A5,'Basket Data'!$AI$2:$AI$2000,$B5,'Basket Data'!$N$2:$N$2000,"&gt;=4")</f>
        <v>0</v>
      </c>
      <c r="BA5" s="5">
        <f>COUNTIFS('Basket Data'!$A$2:$A$2000,$A5,'Basket Data'!$AI$2:$AI$2000,$B5,'Basket Data'!$N$2:$N$2000,"&gt;=5")</f>
        <v>0</v>
      </c>
      <c r="BB5" s="5">
        <f>COUNTIFS('Basket Data'!$A$2:$A$2000,$A5,'Basket Data'!$AI$2:$AI$2000,$B5,'Basket Data'!$N$2:$N$2000,"&gt;=6")</f>
        <v>0</v>
      </c>
      <c r="BC5" s="5">
        <f>COUNTIFS('Basket Data'!$A$2:$A$2000,$A5,'Basket Data'!$AI$2:$AI$2000,$B5,'Basket Data'!$N$2:$N$2000,"&gt;=7")</f>
        <v>0</v>
      </c>
      <c r="BD5" s="5">
        <f>COUNTIFS('Basket Data'!$A$2:$A$2000,$A5,'Basket Data'!$AI$2:$AI$2000,$B5,'Basket Data'!$N$2:$N$2000,"&gt;=8")</f>
        <v>0</v>
      </c>
      <c r="BE5" s="5">
        <f>COUNTIFS('Basket Data'!$A$2:$A$2000,$A5,'Basket Data'!$AI$2:$AI$2000,$B5,'Basket Data'!$N$2:$N$2000,"&gt;=9")</f>
        <v>0</v>
      </c>
      <c r="BF5" s="5">
        <f>COUNTIFS('Basket Data'!$A$2:$A$2000,$A5,'Basket Data'!$AI$2:$AI$2000,$B5,'Basket Data'!$N$2:$N$2000,"&gt;=10")</f>
        <v>0</v>
      </c>
      <c r="BG5" s="5">
        <f>SUMPRODUCT(('Basket Data'!$A$2:$A$2000=$A5)*('Basket Data'!$AI$2:$AI$2000=$B5)*('Basket Data'!$AE$2:$AE$2000&gt;0)*('Basket Data'!$O$2:$O$2000&gt;='Basket Data'!$AE$2:$AE$2000))</f>
        <v>0</v>
      </c>
      <c r="BH5" s="8">
        <f>IFERROR(AH5/AN5,0)</f>
        <v>0</v>
      </c>
      <c r="BI5" s="8">
        <f>IFERROR(AQ5/AP5,0)</f>
        <v>0</v>
      </c>
      <c r="BJ5" s="8">
        <f>IFERROR(AS5/AR5,0)</f>
        <v>0</v>
      </c>
      <c r="BK5" s="10">
        <f>IFERROR(AP5/AO5,0)</f>
        <v>0</v>
      </c>
      <c r="BL5" s="10">
        <f>IFERROR(AR5/AO5,0)</f>
        <v>0</v>
      </c>
      <c r="BM5" s="8">
        <f>(BI5*BK5)-(BJ5*BL5)</f>
        <v>0</v>
      </c>
      <c r="BN5" s="8">
        <f>IFERROR(AJ5/AN5,0)</f>
        <v>0</v>
      </c>
      <c r="BO5" s="5" t="str">
        <f>IF(AO5=0,"No basket data",IF(COUNTA(_xlfn.UNIQUE(_xlfn._xlws.FILTER('Basket Data'!$BW$2:$BW$2000,('Basket Data'!$A$2:$A$2000=$A5)*('Basket Data'!$AI$2:$AI$2000=$B5))))&gt;1,"Configuration changed during run","OK"))</f>
        <v>No basket data</v>
      </c>
    </row>
    <row r="6" spans="1:67">
      <c r="A6" s="3"/>
      <c r="B6" s="3"/>
      <c r="C6" s="4"/>
      <c r="D6" s="7"/>
      <c r="E6" s="4"/>
      <c r="F6" s="9"/>
      <c r="G6" s="4"/>
      <c r="H6" s="4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3"/>
      <c r="X6" s="9"/>
      <c r="Y6" s="3"/>
      <c r="Z6" s="3"/>
      <c r="AA6" s="9"/>
      <c r="AB6" s="3"/>
      <c r="AC6" s="3"/>
      <c r="AD6" s="3"/>
      <c r="AE6" s="3"/>
      <c r="AF6" s="9"/>
      <c r="AG6" s="4"/>
      <c r="AH6" s="9"/>
      <c r="AI6" s="3"/>
      <c r="AJ6" s="9"/>
      <c r="AK6" s="9"/>
      <c r="AL6" s="9"/>
      <c r="AM6" s="9"/>
      <c r="AN6" s="9"/>
      <c r="AO6" s="3"/>
      <c r="AP6" s="3"/>
      <c r="AQ6" s="9"/>
      <c r="AR6" s="3"/>
      <c r="AS6" s="9"/>
      <c r="AT6" s="9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11"/>
      <c r="BL6" s="11"/>
      <c r="BM6" s="9"/>
      <c r="BN6" s="9"/>
      <c r="BO6" s="3"/>
    </row>
    <row r="7" spans="1:67">
      <c r="A7" s="3"/>
      <c r="B7" s="3"/>
      <c r="C7" s="4"/>
      <c r="D7" s="7"/>
      <c r="E7" s="4"/>
      <c r="F7" s="9"/>
      <c r="G7" s="4"/>
      <c r="H7" s="4"/>
      <c r="I7" s="3"/>
      <c r="J7" s="3"/>
      <c r="K7" s="9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3"/>
      <c r="X7" s="9"/>
      <c r="Y7" s="3"/>
      <c r="Z7" s="3"/>
      <c r="AA7" s="9"/>
      <c r="AB7" s="3"/>
      <c r="AC7" s="3"/>
      <c r="AD7" s="3"/>
      <c r="AE7" s="3"/>
      <c r="AF7" s="9"/>
      <c r="AG7" s="4"/>
      <c r="AH7" s="9"/>
      <c r="AI7" s="3"/>
      <c r="AJ7" s="9"/>
      <c r="AK7" s="9"/>
      <c r="AL7" s="9"/>
      <c r="AM7" s="9"/>
      <c r="AN7" s="9"/>
      <c r="AO7" s="3"/>
      <c r="AP7" s="3"/>
      <c r="AQ7" s="9"/>
      <c r="AR7" s="3"/>
      <c r="AS7" s="9"/>
      <c r="AT7" s="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9"/>
      <c r="BI7" s="9"/>
      <c r="BJ7" s="9"/>
      <c r="BK7" s="11"/>
      <c r="BL7" s="11"/>
      <c r="BM7" s="9"/>
      <c r="BN7" s="9"/>
      <c r="BO7" s="3"/>
    </row>
    <row r="8" spans="1:67">
      <c r="A8" s="3"/>
      <c r="B8" s="3"/>
      <c r="C8" s="4"/>
      <c r="D8" s="7"/>
      <c r="E8" s="4"/>
      <c r="F8" s="9"/>
      <c r="G8" s="4"/>
      <c r="H8" s="4"/>
      <c r="I8" s="3"/>
      <c r="J8" s="3"/>
      <c r="K8" s="9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3"/>
      <c r="X8" s="9"/>
      <c r="Y8" s="3"/>
      <c r="Z8" s="3"/>
      <c r="AA8" s="9"/>
      <c r="AB8" s="3"/>
      <c r="AC8" s="3"/>
      <c r="AD8" s="3"/>
      <c r="AE8" s="3"/>
      <c r="AF8" s="9"/>
      <c r="AG8" s="4"/>
      <c r="AH8" s="9"/>
      <c r="AI8" s="3"/>
      <c r="AJ8" s="9"/>
      <c r="AK8" s="9"/>
      <c r="AL8" s="9"/>
      <c r="AM8" s="9"/>
      <c r="AN8" s="9"/>
      <c r="AO8" s="3"/>
      <c r="AP8" s="3"/>
      <c r="AQ8" s="9"/>
      <c r="AR8" s="3"/>
      <c r="AS8" s="9"/>
      <c r="AT8" s="9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9"/>
      <c r="BI8" s="9"/>
      <c r="BJ8" s="9"/>
      <c r="BK8" s="11"/>
      <c r="BL8" s="11"/>
      <c r="BM8" s="9"/>
      <c r="BN8" s="9"/>
      <c r="BO8" s="3"/>
    </row>
    <row r="9" spans="1:6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6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6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6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6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6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6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6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75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76</v>
      </c>
      <c r="B2" s="3" t="s">
        <v>73</v>
      </c>
      <c r="C2" s="3" t="s">
        <v>74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2"/>
  <sheetViews>
    <sheetView showGridLines="0" workbookViewId="0"/>
  </sheetViews>
  <sheetFormatPr defaultRowHeight="14.25"/>
  <cols>
    <col min="1" max="1" width="17.125" bestFit="1" customWidth="1"/>
    <col min="2" max="2" width="14" bestFit="1" customWidth="1"/>
    <col min="3" max="3" width="10.875" bestFit="1" customWidth="1"/>
    <col min="4" max="4" width="9.25" bestFit="1" customWidth="1"/>
    <col min="5" max="5" width="19.5" bestFit="1" customWidth="1"/>
    <col min="6" max="6" width="12.25" bestFit="1" customWidth="1"/>
    <col min="7" max="8" width="13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6.37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4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23" bestFit="1" customWidth="1"/>
    <col min="73" max="73" width="43.625" bestFit="1" customWidth="1"/>
    <col min="74" max="74" width="24.5" bestFit="1" customWidth="1"/>
    <col min="75" max="75" width="78.375" bestFit="1" customWidth="1"/>
  </cols>
  <sheetData>
    <row r="1" spans="1:7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51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  <c r="BL1" t="s">
        <v>139</v>
      </c>
      <c r="BM1" t="s">
        <v>140</v>
      </c>
      <c r="BN1" t="s">
        <v>141</v>
      </c>
      <c r="BO1" t="s">
        <v>142</v>
      </c>
      <c r="BP1" t="s">
        <v>143</v>
      </c>
      <c r="BQ1" t="s">
        <v>144</v>
      </c>
      <c r="BR1" t="s">
        <v>145</v>
      </c>
      <c r="BS1" t="s">
        <v>146</v>
      </c>
      <c r="BT1" t="s">
        <v>147</v>
      </c>
      <c r="BU1" t="s">
        <v>148</v>
      </c>
      <c r="BV1" t="s">
        <v>149</v>
      </c>
      <c r="BW1" t="s">
        <v>150</v>
      </c>
    </row>
    <row r="2" spans="1:75">
      <c r="A2" s="20" t="s">
        <v>73</v>
      </c>
      <c r="B2" t="s">
        <v>207</v>
      </c>
      <c r="C2">
        <v>1</v>
      </c>
      <c r="D2" t="s">
        <v>208</v>
      </c>
      <c r="E2" t="s">
        <v>208</v>
      </c>
      <c r="F2">
        <v>5</v>
      </c>
      <c r="G2" s="14">
        <v>46230.125</v>
      </c>
      <c r="H2" s="14">
        <v>46230.128472222219</v>
      </c>
      <c r="I2">
        <v>300</v>
      </c>
      <c r="J2" t="s">
        <v>151</v>
      </c>
      <c r="K2">
        <v>1</v>
      </c>
      <c r="L2">
        <v>0.1</v>
      </c>
      <c r="M2">
        <v>0.1</v>
      </c>
      <c r="N2">
        <v>1</v>
      </c>
      <c r="O2">
        <v>0.1</v>
      </c>
      <c r="P2">
        <v>4.5</v>
      </c>
      <c r="Q2">
        <v>8</v>
      </c>
      <c r="R2">
        <v>3.5</v>
      </c>
      <c r="S2" t="s">
        <v>152</v>
      </c>
      <c r="T2" t="s">
        <v>153</v>
      </c>
      <c r="U2">
        <v>20</v>
      </c>
      <c r="V2">
        <v>1500</v>
      </c>
      <c r="W2">
        <v>1400</v>
      </c>
      <c r="X2">
        <v>1400</v>
      </c>
      <c r="Y2">
        <v>0</v>
      </c>
      <c r="Z2">
        <v>0</v>
      </c>
      <c r="AA2">
        <v>80</v>
      </c>
      <c r="AB2">
        <v>15</v>
      </c>
      <c r="AC2">
        <v>1500</v>
      </c>
      <c r="AD2">
        <v>0</v>
      </c>
      <c r="AE2">
        <v>0</v>
      </c>
      <c r="AF2">
        <v>1503.5</v>
      </c>
      <c r="AG2">
        <v>1503.5</v>
      </c>
      <c r="AH2" s="15">
        <v>46230</v>
      </c>
      <c r="AI2" t="s">
        <v>209</v>
      </c>
      <c r="AJ2" s="14">
        <v>46230.125</v>
      </c>
      <c r="AK2">
        <v>1500</v>
      </c>
      <c r="AL2" t="s">
        <v>210</v>
      </c>
      <c r="AM2" t="s">
        <v>211</v>
      </c>
      <c r="AN2">
        <v>1400</v>
      </c>
      <c r="AO2">
        <v>0</v>
      </c>
      <c r="AP2">
        <v>60</v>
      </c>
      <c r="AQ2">
        <v>110</v>
      </c>
      <c r="AR2">
        <v>200</v>
      </c>
      <c r="AS2">
        <v>3</v>
      </c>
      <c r="AT2">
        <v>23</v>
      </c>
      <c r="AU2">
        <v>0</v>
      </c>
      <c r="AV2">
        <v>10</v>
      </c>
      <c r="AW2">
        <v>25</v>
      </c>
      <c r="AX2">
        <v>0</v>
      </c>
      <c r="AY2">
        <v>3</v>
      </c>
      <c r="AZ2">
        <v>1.5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s="20" t="s">
        <v>73</v>
      </c>
      <c r="BU2" s="20" t="s">
        <v>212</v>
      </c>
      <c r="BV2" t="b">
        <v>0</v>
      </c>
      <c r="BW2" s="20" t="s">
        <v>213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154</v>
      </c>
      <c r="B1" s="1" t="s">
        <v>155</v>
      </c>
      <c r="C1" s="1" t="s">
        <v>156</v>
      </c>
    </row>
    <row r="2" spans="1:3">
      <c r="A2" s="2" t="s">
        <v>157</v>
      </c>
      <c r="B2" s="2">
        <v>543</v>
      </c>
      <c r="C2" s="3" t="s">
        <v>158</v>
      </c>
    </row>
    <row r="3" spans="1:3">
      <c r="A3" s="2" t="s">
        <v>159</v>
      </c>
      <c r="B3" s="2" t="s">
        <v>160</v>
      </c>
      <c r="C3" s="3" t="s">
        <v>161</v>
      </c>
    </row>
    <row r="4" spans="1:3" ht="85.5">
      <c r="A4" s="2" t="s">
        <v>162</v>
      </c>
      <c r="B4" s="2">
        <v>36</v>
      </c>
      <c r="C4" s="3" t="s">
        <v>163</v>
      </c>
    </row>
    <row r="5" spans="1:3">
      <c r="A5" s="2" t="s">
        <v>164</v>
      </c>
      <c r="B5" s="2">
        <v>0</v>
      </c>
      <c r="C5" s="3" t="s">
        <v>165</v>
      </c>
    </row>
    <row r="6" spans="1:3">
      <c r="A6" s="2" t="s">
        <v>166</v>
      </c>
      <c r="B6" s="2" t="s">
        <v>167</v>
      </c>
      <c r="C6" s="3" t="s">
        <v>168</v>
      </c>
    </row>
    <row r="7" spans="1:3">
      <c r="A7" s="2" t="s">
        <v>51</v>
      </c>
      <c r="B7" s="2" t="s">
        <v>169</v>
      </c>
      <c r="C7" s="3" t="s">
        <v>170</v>
      </c>
    </row>
    <row r="8" spans="1:3">
      <c r="A8" s="2" t="s">
        <v>52</v>
      </c>
      <c r="B8" s="2" t="s">
        <v>167</v>
      </c>
      <c r="C8" s="3" t="s">
        <v>171</v>
      </c>
    </row>
    <row r="9" spans="1:3" ht="28.5">
      <c r="A9" s="2" t="s">
        <v>172</v>
      </c>
      <c r="B9" s="2" t="s">
        <v>173</v>
      </c>
      <c r="C9" s="3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showGridLines="0" workbookViewId="0"/>
  </sheetViews>
  <sheetFormatPr defaultRowHeight="14.25"/>
  <cols>
    <col min="1" max="1" width="120" customWidth="1"/>
    <col min="2" max="2" width="45" customWidth="1"/>
  </cols>
  <sheetData>
    <row r="1" spans="1:6" ht="20.25">
      <c r="A1" s="17" t="s">
        <v>175</v>
      </c>
      <c r="B1" s="17"/>
      <c r="C1" s="17"/>
      <c r="D1" s="17"/>
      <c r="E1" s="17"/>
      <c r="F1" s="17"/>
    </row>
    <row r="3" spans="1:6" ht="15">
      <c r="A3" s="1" t="s">
        <v>176</v>
      </c>
      <c r="B3" s="1" t="s">
        <v>177</v>
      </c>
    </row>
    <row r="4" spans="1:6">
      <c r="A4" s="2" t="s">
        <v>178</v>
      </c>
      <c r="B4" s="12" t="s">
        <v>179</v>
      </c>
    </row>
    <row r="5" spans="1:6">
      <c r="A5" s="2" t="s">
        <v>180</v>
      </c>
      <c r="B5" s="2" t="s">
        <v>181</v>
      </c>
    </row>
    <row r="6" spans="1:6">
      <c r="A6" s="2" t="s">
        <v>182</v>
      </c>
      <c r="B6" s="2" t="s">
        <v>183</v>
      </c>
    </row>
    <row r="8" spans="1:6">
      <c r="A8" s="19" t="s">
        <v>184</v>
      </c>
      <c r="B8" s="19"/>
      <c r="C8" s="19"/>
      <c r="D8" s="19"/>
      <c r="E8" s="19"/>
      <c r="F8" s="19"/>
    </row>
    <row r="10" spans="1:6">
      <c r="A10" s="13" t="s">
        <v>185</v>
      </c>
    </row>
    <row r="11" spans="1:6">
      <c r="A11" s="13" t="s">
        <v>186</v>
      </c>
    </row>
    <row r="12" spans="1:6">
      <c r="A12" s="13" t="s">
        <v>187</v>
      </c>
    </row>
    <row r="13" spans="1:6">
      <c r="A13" s="13" t="s">
        <v>188</v>
      </c>
    </row>
    <row r="14" spans="1:6">
      <c r="A14" s="13" t="s">
        <v>189</v>
      </c>
    </row>
    <row r="15" spans="1:6">
      <c r="A15" s="13" t="s">
        <v>190</v>
      </c>
    </row>
    <row r="16" spans="1:6">
      <c r="A16" s="13" t="s">
        <v>191</v>
      </c>
    </row>
    <row r="17" spans="1:1">
      <c r="A17" s="13" t="s">
        <v>192</v>
      </c>
    </row>
    <row r="18" spans="1:1">
      <c r="A18" s="13" t="s">
        <v>193</v>
      </c>
    </row>
    <row r="19" spans="1:1">
      <c r="A19" s="13" t="s">
        <v>194</v>
      </c>
    </row>
    <row r="20" spans="1:1">
      <c r="A20" s="13" t="s">
        <v>195</v>
      </c>
    </row>
    <row r="21" spans="1:1">
      <c r="A21" s="13" t="s">
        <v>196</v>
      </c>
    </row>
    <row r="22" spans="1:1">
      <c r="A22" s="13" t="s">
        <v>197</v>
      </c>
    </row>
    <row r="23" spans="1:1">
      <c r="A23" s="13" t="s">
        <v>198</v>
      </c>
    </row>
    <row r="24" spans="1:1">
      <c r="A24" s="13" t="s">
        <v>199</v>
      </c>
    </row>
    <row r="25" spans="1:1">
      <c r="A25" s="13" t="s">
        <v>200</v>
      </c>
    </row>
    <row r="26" spans="1:1">
      <c r="A26" s="13" t="s">
        <v>201</v>
      </c>
    </row>
    <row r="27" spans="1:1">
      <c r="A27" s="13" t="s">
        <v>202</v>
      </c>
    </row>
    <row r="28" spans="1:1">
      <c r="A28" s="13" t="s">
        <v>203</v>
      </c>
    </row>
    <row r="29" spans="1:1">
      <c r="A29" s="13" t="s">
        <v>204</v>
      </c>
    </row>
    <row r="30" spans="1:1">
      <c r="A30" s="13" t="s">
        <v>205</v>
      </c>
    </row>
    <row r="31" spans="1:1">
      <c r="A31" s="13" t="s">
        <v>206</v>
      </c>
    </row>
    <row r="32" spans="1:1">
      <c r="A32" s="13"/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2026-08-23T12:47:04Z</dcterms:modified>
</cp:coreProperties>
</file>