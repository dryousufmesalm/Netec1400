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xWorker\master-refresh-39ce\workbook\"/>
    </mc:Choice>
  </mc:AlternateContent>
  <xr:revisionPtr revIDLastSave="0" documentId="13_ncr:1_{78B41B83-1EB8-44AC-BE9C-D4D319CCEDA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VPS Verification" sheetId="7" r:id="rId1"/>
    <sheet name="Sync Status" sheetId="6" r:id="rId2"/>
    <sheet name="Account Analysis" sheetId="1" r:id="rId3"/>
    <sheet name="Manual Fields" sheetId="2" r:id="rId4"/>
    <sheet name="Basket Data" sheetId="3" r:id="rId5"/>
    <sheet name="Data Quality" sheetId="4" r:id="rId6"/>
    <sheet name="Power Query Setup" sheetId="5" r:id="rId7"/>
  </sheets>
  <definedNames>
    <definedName name="ExternalData_1" localSheetId="4" hidden="1">'Basket Data'!$A$1:$BZ$21</definedName>
    <definedName name="ExternalData_1" localSheetId="1" hidden="1">'Sync Status'!$A$1:$O$2</definedName>
    <definedName name="OneDriveRoot">'Power Query Setup'!$B$4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 a="1"/>
  <c r="B11" i="4" s="1"/>
  <c r="B10" i="4" a="1"/>
  <c r="B10" i="4" s="1"/>
  <c r="B8" i="4"/>
  <c r="B7" i="4"/>
  <c r="B5" i="4"/>
  <c r="B4" i="4"/>
  <c r="B3" i="4"/>
  <c r="B2" i="4"/>
  <c r="BY8" i="1" a="1"/>
  <c r="BY8" i="1" s="1"/>
  <c r="BX8" i="1" a="1"/>
  <c r="BX8" i="1" s="1"/>
  <c r="BW8" i="1" a="1"/>
  <c r="BW8" i="1"/>
  <c r="BV8" i="1" a="1"/>
  <c r="BV8" i="1" s="1"/>
  <c r="BU8" i="1" a="1"/>
  <c r="BU8" i="1" s="1"/>
  <c r="BT8" i="1" a="1"/>
  <c r="BT8" i="1"/>
  <c r="BS8" i="1" a="1"/>
  <c r="BS8" i="1"/>
  <c r="BR8" i="1" a="1"/>
  <c r="BR8" i="1"/>
  <c r="BQ8" i="1" a="1"/>
  <c r="BQ8" i="1"/>
  <c r="BP8" i="1" a="1"/>
  <c r="BP8" i="1"/>
  <c r="BO8" i="1" a="1"/>
  <c r="BO8" i="1" s="1"/>
  <c r="BM8" i="1"/>
  <c r="BL8" i="1"/>
  <c r="BK8" i="1"/>
  <c r="BJ8" i="1"/>
  <c r="BI8" i="1"/>
  <c r="BG8" i="1" a="1"/>
  <c r="BG8" i="1" s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J8" i="1"/>
  <c r="AI8" i="1" a="1"/>
  <c r="AI8" i="1" s="1"/>
  <c r="AH8" i="1"/>
  <c r="AG8" i="1"/>
  <c r="AF8" i="1" a="1"/>
  <c r="AF8" i="1" s="1"/>
  <c r="AE8" i="1" a="1"/>
  <c r="AE8" i="1"/>
  <c r="AD8" i="1" a="1"/>
  <c r="AD8" i="1"/>
  <c r="AC8" i="1" a="1"/>
  <c r="AC8" i="1" s="1"/>
  <c r="AB8" i="1" a="1"/>
  <c r="AB8" i="1"/>
  <c r="AA8" i="1" a="1"/>
  <c r="AA8" i="1"/>
  <c r="Z8" i="1" a="1"/>
  <c r="Z8" i="1"/>
  <c r="Y8" i="1" a="1"/>
  <c r="Y8" i="1"/>
  <c r="X8" i="1" a="1"/>
  <c r="X8" i="1"/>
  <c r="W8" i="1" a="1"/>
  <c r="W8" i="1"/>
  <c r="V8" i="1" a="1"/>
  <c r="V8" i="1" s="1"/>
  <c r="U8" i="1" a="1"/>
  <c r="U8" i="1"/>
  <c r="T8" i="1" a="1"/>
  <c r="T8" i="1"/>
  <c r="S8" i="1" a="1"/>
  <c r="S8" i="1" s="1"/>
  <c r="R8" i="1" a="1"/>
  <c r="R8" i="1"/>
  <c r="Q8" i="1" a="1"/>
  <c r="Q8" i="1" s="1"/>
  <c r="P8" i="1" a="1"/>
  <c r="P8" i="1" s="1"/>
  <c r="O8" i="1" a="1"/>
  <c r="O8" i="1" s="1"/>
  <c r="N8" i="1" a="1"/>
  <c r="N8" i="1" s="1"/>
  <c r="M8" i="1" a="1"/>
  <c r="M8" i="1" s="1"/>
  <c r="L8" i="1" a="1"/>
  <c r="L8" i="1" s="1"/>
  <c r="K8" i="1" a="1"/>
  <c r="K8" i="1" s="1"/>
  <c r="J8" i="1" a="1"/>
  <c r="J8" i="1" s="1"/>
  <c r="I8" i="1" a="1"/>
  <c r="I8" i="1" s="1"/>
  <c r="H8" i="1"/>
  <c r="G8" i="1"/>
  <c r="F8" i="1" a="1"/>
  <c r="F8" i="1" s="1"/>
  <c r="E8" i="1"/>
  <c r="D8" i="1"/>
  <c r="C8" i="1"/>
  <c r="BY7" i="1" a="1"/>
  <c r="BY7" i="1"/>
  <c r="BX7" i="1" a="1"/>
  <c r="BX7" i="1"/>
  <c r="BW7" i="1" a="1"/>
  <c r="BW7" i="1"/>
  <c r="BV7" i="1" a="1"/>
  <c r="BV7" i="1" s="1"/>
  <c r="BU7" i="1" a="1"/>
  <c r="BU7" i="1"/>
  <c r="BT7" i="1" a="1"/>
  <c r="BT7" i="1" s="1"/>
  <c r="BS7" i="1" a="1"/>
  <c r="BS7" i="1" s="1"/>
  <c r="BR7" i="1" a="1"/>
  <c r="BR7" i="1"/>
  <c r="BQ7" i="1" a="1"/>
  <c r="BQ7" i="1" s="1"/>
  <c r="BP7" i="1" a="1"/>
  <c r="BP7" i="1" s="1"/>
  <c r="BO7" i="1" a="1"/>
  <c r="BO7" i="1" s="1"/>
  <c r="BM7" i="1"/>
  <c r="BL7" i="1"/>
  <c r="BK7" i="1"/>
  <c r="BJ7" i="1"/>
  <c r="BI7" i="1"/>
  <c r="BG7" i="1" a="1"/>
  <c r="BG7" i="1" s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J7" i="1"/>
  <c r="AI7" i="1" a="1"/>
  <c r="AI7" i="1" s="1"/>
  <c r="AH7" i="1"/>
  <c r="AG7" i="1"/>
  <c r="AF7" i="1" a="1"/>
  <c r="AF7" i="1" s="1"/>
  <c r="AE7" i="1" a="1"/>
  <c r="AE7" i="1" s="1"/>
  <c r="AD7" i="1" a="1"/>
  <c r="AD7" i="1" s="1"/>
  <c r="AC7" i="1" a="1"/>
  <c r="AC7" i="1" s="1"/>
  <c r="AB7" i="1" a="1"/>
  <c r="AB7" i="1" s="1"/>
  <c r="AA7" i="1" a="1"/>
  <c r="AA7" i="1" s="1"/>
  <c r="Z7" i="1" a="1"/>
  <c r="Z7" i="1" s="1"/>
  <c r="Y7" i="1" a="1"/>
  <c r="Y7" i="1" s="1"/>
  <c r="X7" i="1" a="1"/>
  <c r="X7" i="1"/>
  <c r="W7" i="1" a="1"/>
  <c r="W7" i="1" s="1"/>
  <c r="V7" i="1" a="1"/>
  <c r="V7" i="1" s="1"/>
  <c r="U7" i="1" a="1"/>
  <c r="U7" i="1" s="1"/>
  <c r="T7" i="1" a="1"/>
  <c r="T7" i="1" s="1"/>
  <c r="S7" i="1" a="1"/>
  <c r="S7" i="1" s="1"/>
  <c r="R7" i="1" a="1"/>
  <c r="R7" i="1" s="1"/>
  <c r="Q7" i="1" a="1"/>
  <c r="Q7" i="1" s="1"/>
  <c r="P7" i="1" a="1"/>
  <c r="P7" i="1" s="1"/>
  <c r="O7" i="1" a="1"/>
  <c r="O7" i="1"/>
  <c r="N7" i="1" a="1"/>
  <c r="N7" i="1" s="1"/>
  <c r="M7" i="1" a="1"/>
  <c r="M7" i="1" s="1"/>
  <c r="L7" i="1" a="1"/>
  <c r="L7" i="1"/>
  <c r="K7" i="1" a="1"/>
  <c r="K7" i="1"/>
  <c r="J7" i="1" a="1"/>
  <c r="J7" i="1"/>
  <c r="I7" i="1" a="1"/>
  <c r="I7" i="1"/>
  <c r="H7" i="1"/>
  <c r="G7" i="1"/>
  <c r="F7" i="1" a="1"/>
  <c r="F7" i="1"/>
  <c r="E7" i="1"/>
  <c r="D7" i="1"/>
  <c r="C7" i="1"/>
  <c r="BY6" i="1" a="1"/>
  <c r="BY6" i="1" s="1"/>
  <c r="BX6" i="1" a="1"/>
  <c r="BX6" i="1" s="1"/>
  <c r="BW6" i="1" a="1"/>
  <c r="BW6" i="1"/>
  <c r="BV6" i="1" a="1"/>
  <c r="BV6" i="1" s="1"/>
  <c r="BU6" i="1" a="1"/>
  <c r="BU6" i="1" s="1"/>
  <c r="BT6" i="1" a="1"/>
  <c r="BT6" i="1" s="1"/>
  <c r="BS6" i="1" a="1"/>
  <c r="BS6" i="1" s="1"/>
  <c r="BR6" i="1" a="1"/>
  <c r="BR6" i="1" s="1"/>
  <c r="BQ6" i="1" a="1"/>
  <c r="BQ6" i="1" s="1"/>
  <c r="AL6" i="1" s="1"/>
  <c r="BP6" i="1" a="1"/>
  <c r="BP6" i="1" s="1"/>
  <c r="BO6" i="1" a="1"/>
  <c r="BO6" i="1" s="1"/>
  <c r="BM6" i="1"/>
  <c r="BL6" i="1"/>
  <c r="BK6" i="1"/>
  <c r="BJ6" i="1"/>
  <c r="BI6" i="1"/>
  <c r="BG6" i="1" a="1"/>
  <c r="BG6" i="1" s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J6" i="1"/>
  <c r="AI6" i="1" a="1"/>
  <c r="AI6" i="1"/>
  <c r="AH6" i="1"/>
  <c r="AG6" i="1"/>
  <c r="AF6" i="1" a="1"/>
  <c r="AF6" i="1" s="1"/>
  <c r="AE6" i="1" a="1"/>
  <c r="AE6" i="1" s="1"/>
  <c r="AD6" i="1" a="1"/>
  <c r="AD6" i="1"/>
  <c r="AC6" i="1" a="1"/>
  <c r="AC6" i="1" s="1"/>
  <c r="AB6" i="1" a="1"/>
  <c r="AB6" i="1"/>
  <c r="AA6" i="1" a="1"/>
  <c r="AA6" i="1"/>
  <c r="Z6" i="1" a="1"/>
  <c r="Z6" i="1" s="1"/>
  <c r="Y6" i="1" a="1"/>
  <c r="Y6" i="1" s="1"/>
  <c r="X6" i="1" a="1"/>
  <c r="X6" i="1"/>
  <c r="W6" i="1" a="1"/>
  <c r="W6" i="1"/>
  <c r="V6" i="1" a="1"/>
  <c r="V6" i="1" s="1"/>
  <c r="U6" i="1" a="1"/>
  <c r="U6" i="1" s="1"/>
  <c r="T6" i="1" a="1"/>
  <c r="T6" i="1" s="1"/>
  <c r="S6" i="1" a="1"/>
  <c r="S6" i="1" s="1"/>
  <c r="R6" i="1" a="1"/>
  <c r="R6" i="1" s="1"/>
  <c r="Q6" i="1" a="1"/>
  <c r="Q6" i="1"/>
  <c r="P6" i="1" a="1"/>
  <c r="P6" i="1" s="1"/>
  <c r="O6" i="1" a="1"/>
  <c r="O6" i="1" s="1"/>
  <c r="N6" i="1" a="1"/>
  <c r="N6" i="1" s="1"/>
  <c r="M6" i="1" a="1"/>
  <c r="M6" i="1"/>
  <c r="L6" i="1" a="1"/>
  <c r="L6" i="1" s="1"/>
  <c r="K6" i="1" a="1"/>
  <c r="K6" i="1" s="1"/>
  <c r="J6" i="1" a="1"/>
  <c r="J6" i="1"/>
  <c r="I6" i="1" a="1"/>
  <c r="I6" i="1" s="1"/>
  <c r="H6" i="1"/>
  <c r="G6" i="1"/>
  <c r="F6" i="1" a="1"/>
  <c r="F6" i="1" s="1"/>
  <c r="E6" i="1"/>
  <c r="D6" i="1"/>
  <c r="C6" i="1"/>
  <c r="BY5" i="1" a="1"/>
  <c r="BY5" i="1"/>
  <c r="BX5" i="1" a="1"/>
  <c r="BX5" i="1"/>
  <c r="BW5" i="1" a="1"/>
  <c r="BW5" i="1" s="1"/>
  <c r="BV5" i="1" a="1"/>
  <c r="BV5" i="1" s="1"/>
  <c r="BU5" i="1" a="1"/>
  <c r="BU5" i="1" s="1"/>
  <c r="BT5" i="1" a="1"/>
  <c r="BT5" i="1"/>
  <c r="BS5" i="1" a="1"/>
  <c r="BS5" i="1" s="1"/>
  <c r="BR5" i="1" a="1"/>
  <c r="BR5" i="1" s="1"/>
  <c r="AM5" i="1" s="1"/>
  <c r="BQ5" i="1" a="1"/>
  <c r="BQ5" i="1" s="1"/>
  <c r="BP5" i="1" a="1"/>
  <c r="BP5" i="1" s="1"/>
  <c r="BO5" i="1" a="1"/>
  <c r="BO5" i="1"/>
  <c r="BM5" i="1"/>
  <c r="BL5" i="1"/>
  <c r="BK5" i="1"/>
  <c r="BJ5" i="1"/>
  <c r="BI5" i="1"/>
  <c r="BG5" i="1" a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J5" i="1"/>
  <c r="AI5" i="1" a="1"/>
  <c r="AI5" i="1" s="1"/>
  <c r="AH5" i="1"/>
  <c r="AG5" i="1"/>
  <c r="AF5" i="1" a="1"/>
  <c r="AF5" i="1"/>
  <c r="AE5" i="1" a="1"/>
  <c r="AE5" i="1"/>
  <c r="AD5" i="1" a="1"/>
  <c r="AD5" i="1"/>
  <c r="AC5" i="1" a="1"/>
  <c r="AC5" i="1"/>
  <c r="AB5" i="1" a="1"/>
  <c r="AB5" i="1" s="1"/>
  <c r="AA5" i="1" a="1"/>
  <c r="AA5" i="1" s="1"/>
  <c r="Z5" i="1" a="1"/>
  <c r="Z5" i="1" s="1"/>
  <c r="Y5" i="1" a="1"/>
  <c r="Y5" i="1" s="1"/>
  <c r="X5" i="1" a="1"/>
  <c r="X5" i="1" s="1"/>
  <c r="W5" i="1" a="1"/>
  <c r="W5" i="1" s="1"/>
  <c r="V5" i="1" a="1"/>
  <c r="V5" i="1" s="1"/>
  <c r="U5" i="1" a="1"/>
  <c r="U5" i="1" s="1"/>
  <c r="T5" i="1" a="1"/>
  <c r="T5" i="1" s="1"/>
  <c r="S5" i="1" a="1"/>
  <c r="S5" i="1" s="1"/>
  <c r="R5" i="1" a="1"/>
  <c r="R5" i="1" s="1"/>
  <c r="Q5" i="1" a="1"/>
  <c r="Q5" i="1" s="1"/>
  <c r="P5" i="1" a="1"/>
  <c r="P5" i="1" s="1"/>
  <c r="O5" i="1" a="1"/>
  <c r="O5" i="1" s="1"/>
  <c r="N5" i="1" a="1"/>
  <c r="N5" i="1" s="1"/>
  <c r="M5" i="1" a="1"/>
  <c r="M5" i="1" s="1"/>
  <c r="L5" i="1" a="1"/>
  <c r="L5" i="1" s="1"/>
  <c r="K5" i="1" a="1"/>
  <c r="K5" i="1" s="1"/>
  <c r="J5" i="1" a="1"/>
  <c r="J5" i="1" s="1"/>
  <c r="I5" i="1" a="1"/>
  <c r="I5" i="1" s="1"/>
  <c r="H5" i="1"/>
  <c r="G5" i="1"/>
  <c r="F5" i="1" a="1"/>
  <c r="F5" i="1" s="1"/>
  <c r="E5" i="1"/>
  <c r="D5" i="1"/>
  <c r="C5" i="1"/>
  <c r="AL8" i="1" l="1"/>
  <c r="AM8" i="1"/>
  <c r="AK7" i="1"/>
  <c r="AK6" i="1"/>
  <c r="AL7" i="1"/>
  <c r="AM6" i="1"/>
  <c r="AM7" i="1"/>
  <c r="AL5" i="1"/>
  <c r="AN8" i="1" l="1"/>
  <c r="AK8" i="1"/>
  <c r="AN7" i="1"/>
  <c r="AN6" i="1"/>
  <c r="AN5" i="1"/>
  <c r="AK5" i="1"/>
  <c r="BN8" i="1" l="1"/>
  <c r="BH8" i="1"/>
  <c r="BH7" i="1"/>
  <c r="BN7" i="1"/>
  <c r="BN6" i="1"/>
  <c r="BH6" i="1"/>
  <c r="BN5" i="1"/>
  <c r="BH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02357-6C1E-4E2E-8857-B3CE660FDAF8}" keepAlive="1" name="Connection" type="5" refreshedVersion="8" saveData="1">
    <dbPr connection="Provider=Microsoft.Mashup.OleDb.1;Data Source=$Workbook$;Location=AmarTrading_Baskets;Extended Properties=&quot;&quot;" command="SELECT * FROM [AmarTrading_Baskets]"/>
  </connection>
  <connection id="2" xr16:uid="{0D3D8BE1-6BE0-4E61-BF5A-25C27B5F657D}" keepAlive="1" name="Connection1" type="5" refreshedVersion="8" saveData="1">
    <dbPr connection="Provider=Microsoft.Mashup.OleDb.1;Data Source=$Workbook$;Location=AmarTrading_SyncStatus;Extended Properties=&quot;&quot;" command="SELECT * FROM [AmarTrading_SyncStatu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<sst xmlns="http://schemas.openxmlformats.org/spreadsheetml/2006/main" count="653" uniqueCount="309">
  <si>
    <t>AmarTrading — Current Account / Run Analysis</t>
  </si>
  <si>
    <t>General Data</t>
  </si>
  <si>
    <t>Profit / Loss Run</t>
  </si>
  <si>
    <t>Basket Depth</t>
  </si>
  <si>
    <t>Ratios &amp; Controls</t>
  </si>
  <si>
    <t>Account #</t>
  </si>
  <si>
    <t>Run ID</t>
  </si>
  <si>
    <t>Name</t>
  </si>
  <si>
    <t>Date Created</t>
  </si>
  <si>
    <t>Account Type</t>
  </si>
  <si>
    <t>Liquidity</t>
  </si>
  <si>
    <t>Server / VPS</t>
  </si>
  <si>
    <t>MT4 Label</t>
  </si>
  <si>
    <t>Fixed Lots</t>
  </si>
  <si>
    <t>Pips Step</t>
  </si>
  <si>
    <t>Basket Target</t>
  </si>
  <si>
    <t>Trailing Distance</t>
  </si>
  <si>
    <t>Trailing Activation</t>
  </si>
  <si>
    <t>Max Spread</t>
  </si>
  <si>
    <t>Time Start</t>
  </si>
  <si>
    <t>Time End</t>
  </si>
  <si>
    <t>Open Time</t>
  </si>
  <si>
    <t>Speed EA</t>
  </si>
  <si>
    <t>New Basket Delay</t>
  </si>
  <si>
    <t>Basket Trailing Enabled</t>
  </si>
  <si>
    <t>Trailing Start</t>
  </si>
  <si>
    <t>Trailing Step</t>
  </si>
  <si>
    <t>Kill Switch Enabled</t>
  </si>
  <si>
    <t>Kill Equity Level</t>
  </si>
  <si>
    <t>Kill Cooldown</t>
  </si>
  <si>
    <t>Exposure Cap Order #</t>
  </si>
  <si>
    <t>Exposure Cap Lot #</t>
  </si>
  <si>
    <t>Regime Enable</t>
  </si>
  <si>
    <t>Regime Action</t>
  </si>
  <si>
    <t>Enable Recovery StepUp</t>
  </si>
  <si>
    <t>Recovery Wait</t>
  </si>
  <si>
    <t>Recovery Max Lots</t>
  </si>
  <si>
    <t>Notes</t>
  </si>
  <si>
    <t>Net Profit</t>
  </si>
  <si>
    <t>Trading Days</t>
  </si>
  <si>
    <t>Avg Daily</t>
  </si>
  <si>
    <t>Max DD</t>
  </si>
  <si>
    <t>2ND DD</t>
  </si>
  <si>
    <t>3RD DD</t>
  </si>
  <si>
    <t>Avg DD Biggest 10</t>
  </si>
  <si>
    <t>Total Baskets</t>
  </si>
  <si>
    <t>Win Baskets #</t>
  </si>
  <si>
    <t>Win Baskets $</t>
  </si>
  <si>
    <t>Loss Baskets #</t>
  </si>
  <si>
    <t>Loss Baskets $</t>
  </si>
  <si>
    <t>Avg Basket Profit</t>
  </si>
  <si>
    <t>TimesNearKill</t>
  </si>
  <si>
    <t>Kill 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</si>
  <si>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</si>
  <si>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</si>
  <si>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</si>
  <si>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</si>
  <si>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</si>
  <si>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</si>
  <si>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</si>
  <si>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</si>
  <si>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</si>
  <si>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10+</t>
  </si>
  <si>
    <t>Reached Cap-Lot#</t>
  </si>
  <si>
    <t>R_Run</t>
  </si>
  <si>
    <t>Avg Win</t>
  </si>
  <si>
    <t>Avg Loss</t>
  </si>
  <si>
    <t>Win Rate</t>
  </si>
  <si>
    <t>Loss Rate</t>
  </si>
  <si>
    <t>Expectancy</t>
  </si>
  <si>
    <t>Daily Risk Efficiency</t>
  </si>
  <si>
    <t>Config Status</t>
  </si>
  <si>
    <t>892522910</t>
  </si>
  <si>
    <t>Legacy-v2</t>
  </si>
  <si>
    <t>Run Key</t>
  </si>
  <si>
    <t>892522910|Legacy-v2</t>
  </si>
  <si>
    <t>AccountNumber</t>
  </si>
  <si>
    <t>BrokerName</t>
  </si>
  <si>
    <t>BasketID</t>
  </si>
  <si>
    <t>Symbol</t>
  </si>
  <si>
    <t>SymbolNormalized</t>
  </si>
  <si>
    <t>Timeframe</t>
  </si>
  <si>
    <t>StartTime</t>
  </si>
  <si>
    <t>EndTime</t>
  </si>
  <si>
    <t>DurationSeconds</t>
  </si>
  <si>
    <t>Direction</t>
  </si>
  <si>
    <t>OrdersCount</t>
  </si>
  <si>
    <t>TotalLots</t>
  </si>
  <si>
    <t>FixedLots</t>
  </si>
  <si>
    <t>MaxOrdersConcurrent</t>
  </si>
  <si>
    <t>MaxTotalLots</t>
  </si>
  <si>
    <t>MaxFloatingDrawdownAbs</t>
  </si>
  <si>
    <t>MaxFloatingProfit</t>
  </si>
  <si>
    <t>ClosePL</t>
  </si>
  <si>
    <t>CloseReason</t>
  </si>
  <si>
    <t>OutcomeClass</t>
  </si>
  <si>
    <t>SpreadAtEntry</t>
  </si>
  <si>
    <t>EquityAtEntry</t>
  </si>
  <si>
    <t>HeadroomAtEntry</t>
  </si>
  <si>
    <t>MinHeadroom</t>
  </si>
  <si>
    <t>ExposureBlocks</t>
  </si>
  <si>
    <t>PipsStep</t>
  </si>
  <si>
    <t>TakeProfit</t>
  </si>
  <si>
    <t>KillEquityLevel</t>
  </si>
  <si>
    <t>MaxOrdersInBasket</t>
  </si>
  <si>
    <t>MaxTotalLotsInBasket</t>
  </si>
  <si>
    <t>EquityAtExit</t>
  </si>
  <si>
    <t>BalanceAfter</t>
  </si>
  <si>
    <t>TradeDate</t>
  </si>
  <si>
    <t>RunID</t>
  </si>
  <si>
    <t>RunStartTime</t>
  </si>
  <si>
    <t>RunStartBalance</t>
  </si>
  <si>
    <t>EAName</t>
  </si>
  <si>
    <t>EAVersion</t>
  </si>
  <si>
    <t>Magic</t>
  </si>
  <si>
    <t>PointsPerPip</t>
  </si>
  <si>
    <t>Tral</t>
  </si>
  <si>
    <t>TralStart</t>
  </si>
  <si>
    <t>MaxSpread</t>
  </si>
  <si>
    <t>TimeStart</t>
  </si>
  <si>
    <t>TimeEnd</t>
  </si>
  <si>
    <t>OpenTime</t>
  </si>
  <si>
    <t>NewBasketDelaySeconds</t>
  </si>
  <si>
    <t>SpeedEA</t>
  </si>
  <si>
    <t>UseBasketTrailingTP</t>
  </si>
  <si>
    <t>TrailingStart</t>
  </si>
  <si>
    <t>TrailingStep</t>
  </si>
  <si>
    <t>KillSwitchEnable</t>
  </si>
  <si>
    <t>KillCooldownMinutes</t>
  </si>
  <si>
    <t>RegimeEnable</t>
  </si>
  <si>
    <t>RegimeAction</t>
  </si>
  <si>
    <t>RegimeADXPeriod</t>
  </si>
  <si>
    <t>RegimeADXLevel</t>
  </si>
  <si>
    <t>RegimeADXBars</t>
  </si>
  <si>
    <t>RegimeRangeBars</t>
  </si>
  <si>
    <t>RegimeRecoveryBars</t>
  </si>
  <si>
    <t>EnableTradingDaysFilter</t>
  </si>
  <si>
    <t>TradeMonday</t>
  </si>
  <si>
    <t>TradeTuesday</t>
  </si>
  <si>
    <t>TradeWednesday</t>
  </si>
  <si>
    <t>TradeThursday</t>
  </si>
  <si>
    <t>TradeFriday</t>
  </si>
  <si>
    <t>EnableRecoveryStepUp</t>
  </si>
  <si>
    <t>RecoveryWaitMinutes</t>
  </si>
  <si>
    <t>RecoveryMaxTotalLotsInBasket</t>
  </si>
  <si>
    <t>CsvSchemaVersion</t>
  </si>
  <si>
    <t>FolderAccountNumber</t>
  </si>
  <si>
    <t>RunKey</t>
  </si>
  <si>
    <t>FolderAccountMismatch</t>
  </si>
  <si>
    <t>ConfigFingerprint</t>
  </si>
  <si>
    <t>Check</t>
  </si>
  <si>
    <t>Status</t>
  </si>
  <si>
    <t>CSV schema</t>
  </si>
  <si>
    <t>Folder/account mismatches</t>
  </si>
  <si>
    <t>Configuration changes</t>
  </si>
  <si>
    <t>Formula monitored</t>
  </si>
  <si>
    <t>Refresh setup</t>
  </si>
  <si>
    <t>Power Query Setup — Editable Standard Excel Import</t>
  </si>
  <si>
    <t>Setting</t>
  </si>
  <si>
    <t>Value</t>
  </si>
  <si>
    <t>OneDrive root</t>
  </si>
  <si>
    <t>Expected folder</t>
  </si>
  <si>
    <t>RowCount</t>
  </si>
  <si>
    <t>SourceHash</t>
  </si>
  <si>
    <t>DestinationHash</t>
  </si>
  <si>
    <t>SourceLastWriteUtc</t>
  </si>
  <si>
    <t>PublishedUtc</t>
  </si>
  <si>
    <t>HeartbeatAgeHours</t>
  </si>
  <si>
    <t>IsFresh</t>
  </si>
  <si>
    <t>CloudDeliveryVerified</t>
  </si>
  <si>
    <t>Embedded query names</t>
  </si>
  <si>
    <t>AmarTrading_Baskets; AmarTrading_SyncStatus</t>
  </si>
  <si>
    <t>The two AmarTrading queries are embedded in this workbook. Edit OneDrive root above, then choose Refresh All.</t>
  </si>
  <si>
    <t>shared AmarTrading_Baskets =</t>
  </si>
  <si>
    <t>let</t>
  </si>
  <si>
    <t xml:space="preserve">    OneDriveRoot = Text.Trim(Text.From(Excel.CurrentWorkbook(){[Name="OneDriveRoot"]}[Content]{0}[Column1])),</t>
  </si>
  <si>
    <t xml:space="preserve">    ExpectedColumns = {</t>
  </si>
  <si>
    <t xml:space="preserve">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t>
  </si>
  <si>
    <t xml:space="preserve">    },</t>
  </si>
  <si>
    <t xml:space="preserve">    FingerprintFields = {</t>
  </si>
  <si>
    <t xml:space="preserve">        "FixedLots","Magic","PointsPerPip","PipsStep","TakeProfit","Tral","TralStart","MaxSpread",</t>
  </si>
  <si>
    <t xml:space="preserve">        "TimeStart","TimeEnd","OpenTime","NewBasketDelaySeconds","SpeedEA","UseBasketTrailingTP",</t>
  </si>
  <si>
    <t xml:space="preserve">        "TrailingStart","TrailingStep","KillSwitchEnable","KillEquityLevel","KillCooldownMinutes",</t>
  </si>
  <si>
    <t xml:space="preserve">        "MaxOrdersInBasket","MaxTotalLotsInBasket","RegimeEnable","RegimeAction","RegimeADXPeriod",</t>
  </si>
  <si>
    <t xml:space="preserve">        "RegimeADXLevel","RegimeADXBars","RegimeRangeBars","RegimeRecoveryBars","EnableTradingDaysFilter",</t>
  </si>
  <si>
    <t xml:space="preserve">        "TradeMonday","TradeTuesday","TradeWednesday","TradeThursday","TradeFriday",</t>
  </si>
  <si>
    <t xml:space="preserve">        "EnableRecoveryStepUp","RecoveryWaitMinutes","RecoveryMaxTotalLotsInBasket"</t>
  </si>
  <si>
    <t xml:space="preserve">    GetFolderFiles = (FolderPath as text, Priority as number) as table =&gt;</t>
  </si>
  <si>
    <t xml:space="preserve">        let</t>
  </si>
  <si>
    <t xml:space="preserve">            Loaded = try Table.Buffer(Folder.Files(FolderPath)) otherwise #table(type table [Content = binary, Name = text, #"Folder Path" = text], {}),</t>
  </si>
  <si>
    <t xml:space="preserve">            WithPriority = Table.AddColumn(Loaded, "FolderPriority", each Priority, Int64.Type)</t>
  </si>
  <si>
    <t xml:space="preserve">        in</t>
  </si>
  <si>
    <t xml:space="preserve">            WithPriority,</t>
  </si>
  <si>
    <t xml:space="preserve">    CanonicalFiles = GetFolderFiles(OneDriveRoot &amp; "\amartrading", 0),</t>
  </si>
  <si>
    <t xml:space="preserve">    LegacyFiles = GetFolderFiles(OneDriveRoot &amp; "\AmmarTrading", 1),</t>
  </si>
  <si>
    <t xml:space="preserve">    Files = Table.Combine({CanonicalFiles, LegacyFiles}),</t>
  </si>
  <si>
    <t xml:space="preserve">    BasketFiles = Table.SelectRows(Files, each [Name] = "Baskets.csv" and Text.StartsWith(List.Last(Text.Split(Text.TrimEnd([Folder Path], "\"), "\")), "Account_")),</t>
  </si>
  <si>
    <t xml:space="preserve">    WithFolderLogin = Table.AddColumn(BasketFiles, "FolderAccountNumber", each Text.AfterDelimiter(List.Last(Text.Split(Text.TrimEnd([Folder Path], "\"), "\")), "Account_"), type text),</t>
  </si>
  <si>
    <t xml:space="preserve">    CanonicalAccounts = List.Buffer(Table.SelectRows(WithFolderLogin, each [FolderPriority] = 0)[FolderAccountNumber]),</t>
  </si>
  <si>
    <t xml:space="preserve">    PreferredFiles = Table.SelectRows(WithFolderLogin, each [FolderPriority] = 0 or not List.Contains(CanonicalAccounts, [FolderAccountNumber])),</t>
  </si>
  <si>
    <t xml:space="preserve">    WithCsv = Table.AddColumn(PreferredFiles, "Data", each Table.SelectColumns(Table.PromoteHeaders(Csv.Document([Content], [Delimiter=",", Encoding=65001, QuoteStyle=QuoteStyle.Csv]), [PromoteAllScalars=true]), ExpectedColumns, MissingField.UseNull)),</t>
  </si>
  <si>
    <t xml:space="preserve">    Keep = Table.SelectColumns(WithCsv, {"FolderAccountNumber","Data"}),</t>
  </si>
  <si>
    <t xml:space="preserve">    Expanded = Table.ExpandTableColumn(Keep, "Data", ExpectedColumns, ExpectedColumns),</t>
  </si>
  <si>
    <t xml:space="preserve">    Typed = Table.TransformColumnTypes(Expanded, {</t>
  </si>
  <si>
    <t xml:space="preserve">        {"FolderAccountNumber", type text},{"AccountNumber", type text},{"BasketID", Int64.Type},{"Timeframe", Int64.Type},</t>
  </si>
  <si>
    <t xml:space="preserve">        {"StartTime", type datetime},{"EndTime", type datetime},{"DurationSeconds", Int64.Type},{"OrdersCount", Int64.Type},</t>
  </si>
  <si>
    <t xml:space="preserve">        {"TotalLots", type number},{"FixedLots", type number},{"MaxOrdersConcurrent", Int64.Type},{"MaxTotalLots", type number},</t>
  </si>
  <si>
    <t xml:space="preserve">        {"MaxFloatingDrawdownAbs", type number},{"MaxFloatingProfit", type number},{"ClosePL", type number},{"SpreadAtEntry", type number},</t>
  </si>
  <si>
    <t xml:space="preserve">        {"EquityAtEntry", type number},{"HeadroomAtEntry", type number},{"MinHeadroom", type number},{"TimesNearKill", Int64.Type},</t>
  </si>
  <si>
    <t xml:space="preserve">        {"ExposureBlocks", Int64.Type},{"PipsStep", Int64.Type},{"TakeProfit", type number},{"KillEquityLevel", type number},</t>
  </si>
  <si>
    <t xml:space="preserve">        {"MaxOrdersInBasket", Int64.Type},{"MaxTotalLotsInBasket", type number},{"EquityAtExit", type number},{"BalanceAfter", type number},</t>
  </si>
  <si>
    <t xml:space="preserve">        {"TradeDate", type date},{"RunStartTime", type datetime},{"RunStartBalance", type number},{"Magic", Int64.Type},</t>
  </si>
  <si>
    <t xml:space="preserve">        {"PointsPerPip", Int64.Type},{"Tral", Int64.Type},{"TralStart", Int64.Type},{"MaxSpread", Int64.Type},</t>
  </si>
  <si>
    <t xml:space="preserve">        {"TimeStart", Int64.Type},{"TimeEnd", Int64.Type},{"OpenTime", Int64.Type},{"NewBasketDelaySeconds", Int64.Type},</t>
  </si>
  <si>
    <t xml:space="preserve">        {"SpeedEA", Int64.Type},{"UseBasketTrailingTP", Int64.Type},{"TrailingStart", type number},{"TrailingStep", type number},</t>
  </si>
  <si>
    <t xml:space="preserve">        {"KillSwitchEnable", Int64.Type},{"KillCooldownMinutes", Int64.Type},{"RegimeEnable", Int64.Type},{"RegimeAction", Int64.Type},</t>
  </si>
  <si>
    <t xml:space="preserve">        {"RegimeADXPeriod", Int64.Type},{"RegimeADXLevel", type number},{"RegimeADXBars", Int64.Type},{"RegimeRangeBars", Int64.Type},</t>
  </si>
  <si>
    <t xml:space="preserve">        {"RegimeRecoveryBars", Int64.Type},{"EnableTradingDaysFilter", Int64.Type},{"TradeMonday", Int64.Type},{"TradeTuesday", Int64.Type},</t>
  </si>
  <si>
    <t xml:space="preserve">        {"TradeWednesday", Int64.Type},{"TradeThursday", Int64.Type},{"TradeFriday", Int64.Type},{"EnableRecoveryStepUp", Int64.Type},</t>
  </si>
  <si>
    <t xml:space="preserve">        {"RecoveryWaitMinutes", Int64.Type},{"RecoveryMaxTotalLotsInBasket", type number},{"CsvSchemaVersion", Int64.Type}</t>
  </si>
  <si>
    <t xml:space="preserve">    }, "en-US"),</t>
  </si>
  <si>
    <t xml:space="preserve">    WithLegacyRunID = Table.ReplaceValue(Typed, null, "Legacy-v2", Replacer.ReplaceValue, {"RunID"}),</t>
  </si>
  <si>
    <t xml:space="preserve">    WithRunKey = Table.AddColumn(WithLegacyRunID, "RunKey", each [AccountNumber] &amp; "|" &amp; [RunID], type text),</t>
  </si>
  <si>
    <t xml:space="preserve">    WithMismatch = Table.AddColumn(WithRunKey, "FolderAccountMismatch", each [FolderAccountNumber] &lt;&gt; [AccountNumber], type logical),</t>
  </si>
  <si>
    <t xml:space="preserve">    WithConfigFingerprint = Table.AddColumn(WithMismatch, "ConfigFingerprint", (row) =&gt; Text.Combine(List.Transform(FingerprintFields, (field) =&gt; let value = Record.Field(row, field) in if value = null then "" else Text.From(value, "en-US")), "|"), type text),</t>
  </si>
  <si>
    <t xml:space="preserve">    FinalColumns = List.Combine({ExpectedColumns, {"FolderAccountNumber","RunKey","FolderAccountMismatch","ConfigFingerprint"}}),</t>
  </si>
  <si>
    <t xml:space="preserve">    Final = Table.ReorderColumns(WithConfigFingerprint, FinalColumns, MissingField.UseNull)</t>
  </si>
  <si>
    <t>in</t>
  </si>
  <si>
    <t xml:space="preserve">    Final</t>
  </si>
  <si>
    <t>shared AmarTrading_SyncStatus =</t>
  </si>
  <si>
    <t xml:space="preserve">    FreshnessHours = 26,</t>
  </si>
  <si>
    <t xml:space="preserve">    StatusFiles = Table.SelectRows(Files, each [Name] = "SyncStatus.json" and Text.StartsWith(List.Last(Text.Split(Text.TrimEnd([Folder Path], "\"), "\")), "Account_")),</t>
  </si>
  <si>
    <t xml:space="preserve">    WithFolderLogin = Table.AddColumn(StatusFiles, "FolderAccountNumber", each Text.AfterDelimiter(List.Last(Text.Split(Text.TrimEnd([Folder Path], "\"), "\")), "Account_"), type text),</t>
  </si>
  <si>
    <t xml:space="preserve">    WithJson = Table.AddColumn(PreferredFiles, "StatusRecord", each Json.Document([Content])),</t>
  </si>
  <si>
    <t xml:space="preserve">    Keep = Table.SelectColumns(WithJson, {"FolderAccountNumber","StatusRecord"}),</t>
  </si>
  <si>
    <t xml:space="preserve">    Expanded = Table.ExpandRecordColumn(Keep, "StatusRecord", {"AccountNumber","Status","RowCount","SourceHash","DestinationHash","SourceLastWriteUtc","PublishedUtc","CloudDeliveryVerified"}, {"AccountNumber","Status","RowCount","SourceHash","DestinationHash","SourceLastWriteUtc","PublishedUtc","CloudDeliveryVerified"}),</t>
  </si>
  <si>
    <t xml:space="preserve">    Typed = Table.TransformColumnTypes(Expanded, {{"FolderAccountNumber", type text},{"AccountNumber", type text},{"Status", type text},{"RowCount", Int64.Type},{"SourceHash", type text},{"DestinationHash", type text},{"SourceLastWriteUtc", type datetimezone},{"PublishedUtc", type datetimezone},{"CloudDeliveryVerified", type logical}}, "en-US"),</t>
  </si>
  <si>
    <t xml:space="preserve">    WithMismatch = Table.AddColumn(Typed, "FolderAccountMismatch", each [FolderAccountNumber] &lt;&gt; [AccountNumber], type logical),</t>
  </si>
  <si>
    <t xml:space="preserve">    WithAge = Table.AddColumn(WithMismatch, "HeartbeatAgeHours", each if [PublishedUtc] = null then null else Duration.TotalHours(DateTimeZone.UtcNow() - [PublishedUtc]), type number),</t>
  </si>
  <si>
    <t xml:space="preserve">    WithFreshness = Table.AddColumn(WithAge, "IsFresh", each [Status] = "Success" and [HeartbeatAgeHours] &lt;&gt; null and [HeartbeatAgeHours] &gt;= -0.0833 and [HeartbeatAgeHours] &lt;= FreshnessHours, type logical),</t>
  </si>
  <si>
    <t xml:space="preserve">    Final = Table.ReorderColumns(WithFreshness, {"AccountNumber","FolderAccountNumber","FolderAccountMismatch","Status","RowCount","SourceHash","DestinationHash","SourceLastWriteUtc","PublishedUtc","HeartbeatAgeHours","IsFresh","CloudDeliveryVerified"})</t>
  </si>
  <si>
    <t>892525830</t>
  </si>
  <si>
    <t>Success</t>
  </si>
  <si>
    <t>892525831</t>
  </si>
  <si>
    <t>892525833</t>
  </si>
  <si>
    <t>892525834</t>
  </si>
  <si>
    <t>BUY</t>
  </si>
  <si>
    <t>892525830_1400_XAUUSD_1787893638</t>
  </si>
  <si>
    <t>AmmarTradingGoldEA</t>
  </si>
  <si>
    <t>3.00</t>
  </si>
  <si>
    <t>TP</t>
  </si>
  <si>
    <t>892525831_1400_XAUUSD_1788139132</t>
  </si>
  <si>
    <t>892525833_1400_XAUUSD_1788139132</t>
  </si>
  <si>
    <t>892525834_1400_XAUUSD_1787961419</t>
  </si>
  <si>
    <t>NORMAL_PROFIT</t>
  </si>
  <si>
    <t>AmarTrading - REAL VPS verification</t>
  </si>
  <si>
    <t>Source VPS: fxut8768197</t>
  </si>
  <si>
    <t>Snapshot UTC: 2026-09-04T21:47:16.2806658Z</t>
  </si>
  <si>
    <t>Local OneDrive: C:\Users\Dryou\OneDrive</t>
  </si>
  <si>
    <t>Account</t>
  </si>
  <si>
    <t>CSV rows</t>
  </si>
  <si>
    <t>Excel rows</t>
  </si>
  <si>
    <t>CSV ClosePL</t>
  </si>
  <si>
    <t>Excel ClosePL</t>
  </si>
  <si>
    <t>Result</t>
  </si>
  <si>
    <t>PASS</t>
  </si>
  <si>
    <t>PASS: Refresh All matches all 1,062 CSV rows across four real accounts.</t>
  </si>
  <si>
    <t>PASS: 8 copied file hashes match the VPS snapshot.</t>
  </si>
  <si>
    <t>Cloud sync on VPS needs OneDrive sign-in. This test uses a copied snapshot.</t>
  </si>
  <si>
    <t>Current result</t>
  </si>
  <si>
    <t>Meaning</t>
  </si>
  <si>
    <t>Imported basket rows</t>
  </si>
  <si>
    <t>Live table row count after Refresh All; no sample baseline.</t>
  </si>
  <si>
    <t>Derived from the imported CsvSchemaVersion column.</t>
  </si>
  <si>
    <t>Account/run groups</t>
  </si>
  <si>
    <t>Zero means imported account identifiers agree with their folders.</t>
  </si>
  <si>
    <t>Account Analysis compares configuration fingerprints within each run.</t>
  </si>
  <si>
    <t>Status records</t>
  </si>
  <si>
    <t>Local heartbeat records; cloud delivery requires separate verification.</t>
  </si>
  <si>
    <t>Fresh heartbeats</t>
  </si>
  <si>
    <t>Derived from heartbeat timestamps and status.</t>
  </si>
  <si>
    <t>Queries embedded</t>
  </si>
  <si>
    <t>Set OneDriveRoot on Power Query Setup, then Data &gt; Refresh All. No M code pasting is needed.</t>
  </si>
  <si>
    <t>PASS: Account Analysis and Data Quality also match the real CSV data.</t>
  </si>
  <si>
    <t>Account/run analysis (Excel 2019 compatible). Refresh All updates imported data; current account/run groups are listed below.</t>
  </si>
  <si>
    <t>Count of populated Account Analysis rows; no dynamic spill reference.</t>
  </si>
  <si>
    <t>Analysis group coverage</t>
  </si>
  <si>
    <t>Every imported account/run pair must have a matching Account Analysis row.</t>
  </si>
  <si>
    <t>Duplicate analysis keys</t>
  </si>
  <si>
    <t>Account and Run ID together must be unique.</t>
  </si>
  <si>
    <t>Excel compatibility</t>
  </si>
  <si>
    <t>Excel 2019 formulas</t>
  </si>
  <si>
    <t>Analysis rows are prefilled for current groups; copy a complete row through hidden drawdown helpers for a new group.</t>
  </si>
  <si>
    <t>VpsId</t>
  </si>
  <si>
    <t>VpsName</t>
  </si>
  <si>
    <t>AccountKey</t>
  </si>
  <si>
    <t>18335349</t>
  </si>
  <si>
    <t>FXCM</t>
  </si>
  <si>
    <t>AGOLD</t>
  </si>
  <si>
    <t>RUN-OLD</t>
  </si>
  <si>
    <t>newvps01</t>
  </si>
  <si>
    <t>New VPS</t>
  </si>
  <si>
    <t>newvps01|18335349</t>
  </si>
  <si>
    <t>18335349|RUN-OLD</t>
  </si>
  <si>
    <t>0.1|1400|0|80|15|60|110|200|3|23|0|10|25|0|3|1.5|1|1500|1440|0|0|0|0|14|25|3|8|3|0|1|1|1|1|1|0|60|0</t>
  </si>
  <si>
    <t>aaaaaaaaaaaaaaaaaaaaaaaaaaaaaaaaaaaaaaaaaaaaaaaaaaaaaaaaaaaaaaaa</t>
  </si>
  <si>
    <t>bbbbbbbbbbbbbbbbbbbbbbbbbbbbbbbbbbbbbbbbbbbbbbbbbbbbbbbbbbbbbbbb</t>
  </si>
  <si>
    <t>C:\CHANGE_ME\OneDrive</t>
  </si>
  <si>
    <t>amartrading\VPS_&lt;id&gt;\Account_&lt;MT4Login&gt;\Baskets.csv (flat Account_* kept only when no newer VPS copy exists)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</si>
</sst>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10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sz val="11"/>
      <color rgb="FF000000"/>
      <name val="Carlito"/>
    </font>
    <font>
      <i/>
      <sz val="11"/>
      <name val="Carlito"/>
    </font>
    <font>
      <sz val="9"/>
      <name val="Consolas"/>
    </font>
    <font>
      <sz val="8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9E3D3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7B7B7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164" fontId="5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165" fontId="0" fillId="0" borderId="2" xfId="0" applyNumberFormat="1" applyBorder="1" applyAlignment="1">
      <alignment wrapText="1"/>
    </xf>
    <xf numFmtId="10" fontId="5" fillId="5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0" fontId="2" fillId="6" borderId="2" xfId="0" applyFont="1" applyFill="1" applyBorder="1"/>
    <xf numFmtId="22" fontId="0" fillId="0" borderId="0" xfId="0" applyNumberFormat="1"/>
    <xf numFmtId="14" fontId="0" fillId="0" borderId="0" xfId="0" applyNumberFormat="1"/>
    <xf numFmtId="0" fontId="7" fillId="0" borderId="0" xfId="0" quotePrefix="1" applyFont="1"/>
    <xf numFmtId="0" fontId="0" fillId="0" borderId="0" xfId="0" quotePrefix="1"/>
    <xf numFmtId="0" fontId="9" fillId="0" borderId="0" xfId="0" applyFont="1"/>
    <xf numFmtId="0" fontId="9" fillId="0" borderId="3" xfId="0" applyFont="1" applyBorder="1"/>
    <xf numFmtId="0" fontId="0" fillId="0" borderId="3" xfId="0" applyBorder="1"/>
    <xf numFmtId="4" fontId="0" fillId="0" borderId="3" xfId="0" applyNumberFormat="1" applyBorder="1"/>
    <xf numFmtId="49" fontId="5" fillId="5" borderId="2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wrapText="1"/>
    </xf>
    <xf numFmtId="0" fontId="4" fillId="4" borderId="4" xfId="0" applyFont="1" applyFill="1" applyBorder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3457BC31-61A0-4D1E-8187-FCB5A215D08E}" autoFormatId="0" applyNumberFormats="0" applyBorderFormats="0" applyFontFormats="1" applyPatternFormats="1" applyAlignmentFormats="0" applyWidthHeightFormats="0">
  <queryTableRefresh nextId="16">
    <queryTableFields count="15">
      <queryTableField id="1" name="VpsId" tableColumnId="16"/>
      <queryTableField id="2" name="VpsName" tableColumnId="17"/>
      <queryTableField id="3" name="AccountKey" tableColumnId="18"/>
      <queryTableField id="4" name="AccountNumber" tableColumnId="19"/>
      <queryTableField id="5" name="FolderAccountNumber" tableColumnId="20"/>
      <queryTableField id="6" name="FolderAccountMismatch" tableColumnId="21"/>
      <queryTableField id="7" name="Status" tableColumnId="22"/>
      <queryTableField id="8" name="RowCount" tableColumnId="23"/>
      <queryTableField id="9" name="SourceHash" tableColumnId="24"/>
      <queryTableField id="10" name="DestinationHash" tableColumnId="25"/>
      <queryTableField id="11" name="SourceLastWriteUtc" tableColumnId="26"/>
      <queryTableField id="12" name="PublishedUtc" tableColumnId="27"/>
      <queryTableField id="13" name="HeartbeatAgeHours" tableColumnId="28"/>
      <queryTableField id="14" name="IsFresh" tableColumnId="29"/>
      <queryTableField id="15" name="CloudDeliveryVerified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9D6FE5F-A04E-40DE-A637-7E0D79E11AFA}" autoFormatId="0" applyNumberFormats="0" applyBorderFormats="0" applyFontFormats="1" applyPatternFormats="1" applyAlignmentFormats="0" applyWidthHeightFormats="0">
  <queryTableRefresh nextId="79">
    <queryTableFields count="78">
      <queryTableField id="1" name="AccountNumber" tableColumnId="79"/>
      <queryTableField id="2" name="BrokerName" tableColumnId="80"/>
      <queryTableField id="3" name="BasketID" tableColumnId="81"/>
      <queryTableField id="4" name="Symbol" tableColumnId="82"/>
      <queryTableField id="5" name="SymbolNormalized" tableColumnId="83"/>
      <queryTableField id="6" name="Timeframe" tableColumnId="84"/>
      <queryTableField id="7" name="StartTime" tableColumnId="85"/>
      <queryTableField id="8" name="EndTime" tableColumnId="86"/>
      <queryTableField id="9" name="DurationSeconds" tableColumnId="87"/>
      <queryTableField id="10" name="Direction" tableColumnId="88"/>
      <queryTableField id="11" name="OrdersCount" tableColumnId="89"/>
      <queryTableField id="12" name="TotalLots" tableColumnId="90"/>
      <queryTableField id="13" name="FixedLots" tableColumnId="91"/>
      <queryTableField id="14" name="MaxOrdersConcurrent" tableColumnId="92"/>
      <queryTableField id="15" name="MaxTotalLots" tableColumnId="93"/>
      <queryTableField id="16" name="MaxFloatingDrawdownAbs" tableColumnId="94"/>
      <queryTableField id="17" name="MaxFloatingProfit" tableColumnId="95"/>
      <queryTableField id="18" name="ClosePL" tableColumnId="96"/>
      <queryTableField id="19" name="CloseReason" tableColumnId="97"/>
      <queryTableField id="20" name="OutcomeClass" tableColumnId="98"/>
      <queryTableField id="21" name="SpreadAtEntry" tableColumnId="99"/>
      <queryTableField id="22" name="EquityAtEntry" tableColumnId="100"/>
      <queryTableField id="23" name="HeadroomAtEntry" tableColumnId="101"/>
      <queryTableField id="24" name="MinHeadroom" tableColumnId="102"/>
      <queryTableField id="25" name="TimesNearKill" tableColumnId="103"/>
      <queryTableField id="26" name="ExposureBlocks" tableColumnId="104"/>
      <queryTableField id="27" name="PipsStep" tableColumnId="105"/>
      <queryTableField id="28" name="TakeProfit" tableColumnId="106"/>
      <queryTableField id="29" name="KillEquityLevel" tableColumnId="107"/>
      <queryTableField id="30" name="MaxOrdersInBasket" tableColumnId="108"/>
      <queryTableField id="31" name="MaxTotalLotsInBasket" tableColumnId="109"/>
      <queryTableField id="32" name="EquityAtExit" tableColumnId="110"/>
      <queryTableField id="33" name="BalanceAfter" tableColumnId="111"/>
      <queryTableField id="34" name="TradeDate" tableColumnId="112"/>
      <queryTableField id="35" name="RunID" tableColumnId="113"/>
      <queryTableField id="36" name="RunStartTime" tableColumnId="114"/>
      <queryTableField id="37" name="RunStartBalance" tableColumnId="115"/>
      <queryTableField id="38" name="EAName" tableColumnId="116"/>
      <queryTableField id="39" name="EAVersion" tableColumnId="117"/>
      <queryTableField id="40" name="Magic" tableColumnId="118"/>
      <queryTableField id="41" name="PointsPerPip" tableColumnId="119"/>
      <queryTableField id="42" name="Tral" tableColumnId="120"/>
      <queryTableField id="43" name="TralStart" tableColumnId="121"/>
      <queryTableField id="44" name="MaxSpread" tableColumnId="122"/>
      <queryTableField id="45" name="TimeStart" tableColumnId="123"/>
      <queryTableField id="46" name="TimeEnd" tableColumnId="124"/>
      <queryTableField id="47" name="OpenTime" tableColumnId="125"/>
      <queryTableField id="48" name="NewBasketDelaySeconds" tableColumnId="126"/>
      <queryTableField id="49" name="SpeedEA" tableColumnId="127"/>
      <queryTableField id="50" name="UseBasketTrailingTP" tableColumnId="128"/>
      <queryTableField id="51" name="TrailingStart" tableColumnId="129"/>
      <queryTableField id="52" name="TrailingStep" tableColumnId="130"/>
      <queryTableField id="53" name="KillSwitchEnable" tableColumnId="131"/>
      <queryTableField id="54" name="KillCooldownMinutes" tableColumnId="132"/>
      <queryTableField id="55" name="RegimeEnable" tableColumnId="133"/>
      <queryTableField id="56" name="RegimeAction" tableColumnId="134"/>
      <queryTableField id="57" name="RegimeADXPeriod" tableColumnId="135"/>
      <queryTableField id="58" name="RegimeADXLevel" tableColumnId="136"/>
      <queryTableField id="59" name="RegimeADXBars" tableColumnId="137"/>
      <queryTableField id="60" name="RegimeRangeBars" tableColumnId="138"/>
      <queryTableField id="61" name="RegimeRecoveryBars" tableColumnId="139"/>
      <queryTableField id="62" name="EnableTradingDaysFilter" tableColumnId="140"/>
      <queryTableField id="63" name="TradeMonday" tableColumnId="141"/>
      <queryTableField id="64" name="TradeTuesday" tableColumnId="142"/>
      <queryTableField id="65" name="TradeWednesday" tableColumnId="143"/>
      <queryTableField id="66" name="TradeThursday" tableColumnId="144"/>
      <queryTableField id="67" name="TradeFriday" tableColumnId="145"/>
      <queryTableField id="68" name="EnableRecoveryStepUp" tableColumnId="146"/>
      <queryTableField id="69" name="RecoveryWaitMinutes" tableColumnId="147"/>
      <queryTableField id="70" name="RecoveryMaxTotalLotsInBasket" tableColumnId="148"/>
      <queryTableField id="71" name="CsvSchemaVersion" tableColumnId="149"/>
      <queryTableField id="72" name="VpsId" tableColumnId="150"/>
      <queryTableField id="73" name="VpsName" tableColumnId="151"/>
      <queryTableField id="74" name="FolderAccountNumber" tableColumnId="152"/>
      <queryTableField id="75" name="AccountKey" tableColumnId="153"/>
      <queryTableField id="76" name="RunKey" tableColumnId="154"/>
      <queryTableField id="77" name="FolderAccountMismatch" tableColumnId="155"/>
      <queryTableField id="78" name="ConfigFingerprint" tableColumnId="1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1C5680-5722-476D-AA6E-B146AD37666C}" name="SyncStatusTable" displayName="SyncStatusTable" ref="A1:O2" tableType="queryTable" totalsRowShown="0">
  <autoFilter ref="A1:O2" xr:uid="{DE1C5680-5722-476D-AA6E-B146AD37666C}"/>
  <tableColumns count="15">
    <tableColumn id="16" xr3:uid="{B8E24695-3E2F-417E-9540-E49BCB745250}" uniqueName="16" name="VpsId" queryTableFieldId="1"/>
    <tableColumn id="17" xr3:uid="{33F53E95-C1C7-4A7E-A578-8ADCF7323A12}" uniqueName="17" name="VpsName" queryTableFieldId="2" dataDxfId="18"/>
    <tableColumn id="18" xr3:uid="{AF275ADF-FAA8-4788-A06D-1E64ECBD7F5D}" uniqueName="18" name="AccountKey" queryTableFieldId="3" dataDxfId="17"/>
    <tableColumn id="19" xr3:uid="{1ABC1FC3-54F7-4527-9F18-B2905291A1E2}" uniqueName="19" name="AccountNumber" queryTableFieldId="4" dataDxfId="16"/>
    <tableColumn id="20" xr3:uid="{A49786E3-FBBB-40B4-8A98-74AC7CAFC975}" uniqueName="20" name="FolderAccountNumber" queryTableFieldId="5" dataDxfId="15"/>
    <tableColumn id="21" xr3:uid="{2A2D33D4-6067-4DF7-929F-50863E367D9B}" uniqueName="21" name="FolderAccountMismatch" queryTableFieldId="6"/>
    <tableColumn id="22" xr3:uid="{2BDD15E7-92CA-40BE-AFAC-8B42FC1E7A6C}" uniqueName="22" name="Status" queryTableFieldId="7" dataDxfId="14"/>
    <tableColumn id="23" xr3:uid="{EAE15681-BF3B-462F-8B3A-456C962062E5}" uniqueName="23" name="RowCount" queryTableFieldId="8"/>
    <tableColumn id="24" xr3:uid="{CDFBD65B-DE3F-42BB-A81E-2BB8750DA436}" uniqueName="24" name="SourceHash" queryTableFieldId="9" dataDxfId="13"/>
    <tableColumn id="25" xr3:uid="{B2756584-205E-4073-BFFA-CA90B7E56B67}" uniqueName="25" name="DestinationHash" queryTableFieldId="10" dataDxfId="12"/>
    <tableColumn id="26" xr3:uid="{12689E76-9E03-4CC0-A402-B0F8C9A65B97}" uniqueName="26" name="SourceLastWriteUtc" queryTableFieldId="11" dataDxfId="11"/>
    <tableColumn id="27" xr3:uid="{0587C323-DA3A-4DB6-9CDB-10C542080362}" uniqueName="27" name="PublishedUtc" queryTableFieldId="12" dataDxfId="10"/>
    <tableColumn id="28" xr3:uid="{C307BC5F-C780-4DC6-8818-5A0FAB6B1290}" uniqueName="28" name="HeartbeatAgeHours" queryTableFieldId="13"/>
    <tableColumn id="29" xr3:uid="{45F50088-C663-4DDC-89B3-BE6E19D10935}" uniqueName="29" name="IsFresh" queryTableFieldId="14"/>
    <tableColumn id="30" xr3:uid="{22557C18-FA6A-4164-BB63-DFCEEE36144B}" uniqueName="30" name="CloudDeliveryVerifie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nualFieldsTable" displayName="ManualFieldsTable" ref="A1:H101" totalsRowShown="0">
  <tableColumns count="8">
    <tableColumn id="1" xr3:uid="{00000000-0010-0000-0000-000001000000}" name="Run Key"/>
    <tableColumn id="2" xr3:uid="{00000000-0010-0000-0000-000002000000}" name="Account #"/>
    <tableColumn id="3" xr3:uid="{00000000-0010-0000-0000-000003000000}" name="Run ID"/>
    <tableColumn id="4" xr3:uid="{00000000-0010-0000-0000-000004000000}" name="Name"/>
    <tableColumn id="5" xr3:uid="{00000000-0010-0000-0000-000005000000}" name="Account Type"/>
    <tableColumn id="6" xr3:uid="{00000000-0010-0000-0000-000006000000}" name="Server / VPS"/>
    <tableColumn id="7" xr3:uid="{00000000-0010-0000-0000-000007000000}" name="MT4 Label"/>
    <tableColumn id="8" xr3:uid="{00000000-0010-0000-00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AF06F-0A9F-4755-A6A3-A42835B28C70}" name="BasketDataTable" displayName="BasketDataTable" ref="A1:BZ21" tableType="queryTable" totalsRowShown="0">
  <autoFilter ref="A1:BZ21" xr:uid="{EF6AF06F-0A9F-4755-A6A3-A42835B28C70}"/>
  <tableColumns count="78">
    <tableColumn id="79" xr3:uid="{B0DF962C-31FB-45C5-BFB8-5F475D303ABA}" uniqueName="79" name="AccountNumber" queryTableFieldId="1" dataDxfId="9"/>
    <tableColumn id="80" xr3:uid="{F01641F2-FDED-4A17-AB93-B4050D4E2192}" uniqueName="80" name="BrokerName" queryTableFieldId="2"/>
    <tableColumn id="81" xr3:uid="{8BD25FB4-EDF1-4FD7-9000-525688E3E6B6}" uniqueName="81" name="BasketID" queryTableFieldId="3"/>
    <tableColumn id="82" xr3:uid="{3EB98326-5CE0-45A1-979C-4F96ACA674D3}" uniqueName="82" name="Symbol" queryTableFieldId="4"/>
    <tableColumn id="83" xr3:uid="{8FDB7FB5-A340-4A01-85BE-9E8DB4F69F1E}" uniqueName="83" name="SymbolNormalized" queryTableFieldId="5"/>
    <tableColumn id="84" xr3:uid="{9C201B48-A2A7-4AF6-A0BC-F8E3567727FF}" uniqueName="84" name="Timeframe" queryTableFieldId="6"/>
    <tableColumn id="85" xr3:uid="{31374B4B-5816-4FA1-B43D-6E19FFD2CB4A}" uniqueName="85" name="StartTime" queryTableFieldId="7" dataDxfId="8"/>
    <tableColumn id="86" xr3:uid="{9914BCE2-0282-4D59-8197-DEDFEA004317}" uniqueName="86" name="EndTime" queryTableFieldId="8" dataDxfId="7"/>
    <tableColumn id="87" xr3:uid="{BC37BE41-24CF-4539-9C70-F6D052B6D956}" uniqueName="87" name="DurationSeconds" queryTableFieldId="9"/>
    <tableColumn id="88" xr3:uid="{3F028597-2F7E-44FB-9809-369B4DBA314A}" uniqueName="88" name="Direction" queryTableFieldId="10"/>
    <tableColumn id="89" xr3:uid="{19FDE3B4-659A-4FA9-BA96-E788DEE50047}" uniqueName="89" name="OrdersCount" queryTableFieldId="11"/>
    <tableColumn id="90" xr3:uid="{D71308CD-6942-4E20-B118-B655494AFD04}" uniqueName="90" name="TotalLots" queryTableFieldId="12"/>
    <tableColumn id="91" xr3:uid="{2C8E9F0E-D30B-40AD-8710-C2247C2DF752}" uniqueName="91" name="FixedLots" queryTableFieldId="13"/>
    <tableColumn id="92" xr3:uid="{6C375CAB-A8C0-4BC4-8EA9-AEA339B5818B}" uniqueName="92" name="MaxOrdersConcurrent" queryTableFieldId="14"/>
    <tableColumn id="93" xr3:uid="{7E69D675-C192-40D9-96EA-03FDBA41F5A5}" uniqueName="93" name="MaxTotalLots" queryTableFieldId="15"/>
    <tableColumn id="94" xr3:uid="{3DAC878A-6D00-4560-A92F-653841433E10}" uniqueName="94" name="MaxFloatingDrawdownAbs" queryTableFieldId="16"/>
    <tableColumn id="95" xr3:uid="{A989C7C0-5BAD-4185-A598-D590AAB02401}" uniqueName="95" name="MaxFloatingProfit" queryTableFieldId="17"/>
    <tableColumn id="96" xr3:uid="{64C28517-F07F-4ECD-B03F-A15D3415D406}" uniqueName="96" name="ClosePL" queryTableFieldId="18"/>
    <tableColumn id="97" xr3:uid="{0A295A27-5C5A-4842-A406-CE840122FDF2}" uniqueName="97" name="CloseReason" queryTableFieldId="19"/>
    <tableColumn id="98" xr3:uid="{9C8F2EEB-05FB-4009-A4DD-A098A9A623D8}" uniqueName="98" name="OutcomeClass" queryTableFieldId="20"/>
    <tableColumn id="99" xr3:uid="{57EB785A-D1B2-414A-AB7B-8AFEE0C177B1}" uniqueName="99" name="SpreadAtEntry" queryTableFieldId="21"/>
    <tableColumn id="100" xr3:uid="{C9B7DBF5-0713-4A13-9AFF-DAAAA3D5FC06}" uniqueName="100" name="EquityAtEntry" queryTableFieldId="22"/>
    <tableColumn id="101" xr3:uid="{7C880C2C-856C-48DB-9BCD-7627C2D73A41}" uniqueName="101" name="HeadroomAtEntry" queryTableFieldId="23"/>
    <tableColumn id="102" xr3:uid="{7D17AE2F-3A48-4234-A142-05261D3BE6CF}" uniqueName="102" name="MinHeadroom" queryTableFieldId="24"/>
    <tableColumn id="103" xr3:uid="{E83DE4D9-C420-438B-9C2B-7B9804ED0105}" uniqueName="103" name="TimesNearKill" queryTableFieldId="25"/>
    <tableColumn id="104" xr3:uid="{E1276AA2-90E8-4002-8A68-66F5D2C4197D}" uniqueName="104" name="ExposureBlocks" queryTableFieldId="26"/>
    <tableColumn id="105" xr3:uid="{F3E5C264-6B56-4275-A864-53CE36827E8D}" uniqueName="105" name="PipsStep" queryTableFieldId="27"/>
    <tableColumn id="106" xr3:uid="{0FE5F9E5-94F5-4F7E-B23B-8D3461C5A734}" uniqueName="106" name="TakeProfit" queryTableFieldId="28"/>
    <tableColumn id="107" xr3:uid="{FBBB8A2A-8041-49E0-A88C-9882CD12B868}" uniqueName="107" name="KillEquityLevel" queryTableFieldId="29"/>
    <tableColumn id="108" xr3:uid="{727A8C3C-EDC7-461B-B4EE-2B6EF6BC302B}" uniqueName="108" name="MaxOrdersInBasket" queryTableFieldId="30"/>
    <tableColumn id="109" xr3:uid="{0D97EE83-545E-4568-9040-D6254632D9C4}" uniqueName="109" name="MaxTotalLotsInBasket" queryTableFieldId="31"/>
    <tableColumn id="110" xr3:uid="{6A85E497-83C7-43D3-81CF-A83E6AD6B2EE}" uniqueName="110" name="EquityAtExit" queryTableFieldId="32"/>
    <tableColumn id="111" xr3:uid="{5F76D053-BE20-40F4-A43F-FC035B934E62}" uniqueName="111" name="BalanceAfter" queryTableFieldId="33"/>
    <tableColumn id="112" xr3:uid="{A5416770-D27B-4FD9-B343-C18A46E4ACB1}" uniqueName="112" name="TradeDate" queryTableFieldId="34" dataDxfId="6"/>
    <tableColumn id="113" xr3:uid="{97FFB765-2061-44E9-88F2-AE85B9D8CAF1}" uniqueName="113" name="RunID" queryTableFieldId="35"/>
    <tableColumn id="114" xr3:uid="{D60397EB-B63D-494F-BF37-A372CC2F3EEB}" uniqueName="114" name="RunStartTime" queryTableFieldId="36" dataDxfId="5"/>
    <tableColumn id="115" xr3:uid="{7EAF95BE-A9D1-4336-9520-4D846EFEB0F9}" uniqueName="115" name="RunStartBalance" queryTableFieldId="37"/>
    <tableColumn id="116" xr3:uid="{D5D3CA33-600D-4D4B-BCCF-94A0E3852E35}" uniqueName="116" name="EAName" queryTableFieldId="38"/>
    <tableColumn id="117" xr3:uid="{42C0EBBE-F7E2-44A6-B791-749CAA96491E}" uniqueName="117" name="EAVersion" queryTableFieldId="39"/>
    <tableColumn id="118" xr3:uid="{BD36DBE6-3855-4705-A8F9-1F4424A28A39}" uniqueName="118" name="Magic" queryTableFieldId="40"/>
    <tableColumn id="119" xr3:uid="{6145D723-44C7-42C1-B4C0-424FEFA8CACD}" uniqueName="119" name="PointsPerPip" queryTableFieldId="41"/>
    <tableColumn id="120" xr3:uid="{563A2BE2-BED1-4326-B69F-9C62D8CCCF3C}" uniqueName="120" name="Tral" queryTableFieldId="42"/>
    <tableColumn id="121" xr3:uid="{C22411FB-2DB2-418A-8CC3-C52D9268565F}" uniqueName="121" name="TralStart" queryTableFieldId="43"/>
    <tableColumn id="122" xr3:uid="{93DE8ABA-E858-45DF-8ECC-3777F5D1BAFC}" uniqueName="122" name="MaxSpread" queryTableFieldId="44"/>
    <tableColumn id="123" xr3:uid="{D27058A9-F29C-4800-940A-872B2FDDA932}" uniqueName="123" name="TimeStart" queryTableFieldId="45"/>
    <tableColumn id="124" xr3:uid="{6886EC90-202A-4182-A922-70FB0DCCA3CB}" uniqueName="124" name="TimeEnd" queryTableFieldId="46"/>
    <tableColumn id="125" xr3:uid="{99123B54-4220-430E-AC21-581C2D759863}" uniqueName="125" name="OpenTime" queryTableFieldId="47"/>
    <tableColumn id="126" xr3:uid="{42D98FDA-02FD-40C9-9CE3-C045EFE2DA76}" uniqueName="126" name="NewBasketDelaySeconds" queryTableFieldId="48"/>
    <tableColumn id="127" xr3:uid="{A7B5233C-BB16-4EA5-BCB5-CF06D2002011}" uniqueName="127" name="SpeedEA" queryTableFieldId="49"/>
    <tableColumn id="128" xr3:uid="{FBB92CF6-75BF-4872-94AE-178171A6037D}" uniqueName="128" name="UseBasketTrailingTP" queryTableFieldId="50"/>
    <tableColumn id="129" xr3:uid="{B0F35A78-6D22-41CC-8F79-A0369ED1E1DD}" uniqueName="129" name="TrailingStart" queryTableFieldId="51"/>
    <tableColumn id="130" xr3:uid="{9820650E-DE1C-42ED-8559-22FBD1E7678C}" uniqueName="130" name="TrailingStep" queryTableFieldId="52"/>
    <tableColumn id="131" xr3:uid="{E9D986C6-7925-4356-B7D1-6A0263E7CBD4}" uniqueName="131" name="KillSwitchEnable" queryTableFieldId="53"/>
    <tableColumn id="132" xr3:uid="{5590D9AF-77CB-4A7E-B152-AE9E65AE0168}" uniqueName="132" name="KillCooldownMinutes" queryTableFieldId="54"/>
    <tableColumn id="133" xr3:uid="{11141884-0301-4922-B5D3-625860BB70E3}" uniqueName="133" name="RegimeEnable" queryTableFieldId="55"/>
    <tableColumn id="134" xr3:uid="{4D58CB79-5C41-4B10-AB04-D8F2AE824C04}" uniqueName="134" name="RegimeAction" queryTableFieldId="56"/>
    <tableColumn id="135" xr3:uid="{41177486-B813-4298-8E27-91357D318EEB}" uniqueName="135" name="RegimeADXPeriod" queryTableFieldId="57"/>
    <tableColumn id="136" xr3:uid="{F34F4060-645B-4FBF-8026-457669BF04C2}" uniqueName="136" name="RegimeADXLevel" queryTableFieldId="58"/>
    <tableColumn id="137" xr3:uid="{6111DF82-03B0-4CA9-BBBA-9F12AA93D557}" uniqueName="137" name="RegimeADXBars" queryTableFieldId="59"/>
    <tableColumn id="138" xr3:uid="{D0BF8BE3-E4F3-42C7-A28F-BCA872506D64}" uniqueName="138" name="RegimeRangeBars" queryTableFieldId="60"/>
    <tableColumn id="139" xr3:uid="{BE279D5F-E323-4076-80B4-35AF88054520}" uniqueName="139" name="RegimeRecoveryBars" queryTableFieldId="61"/>
    <tableColumn id="140" xr3:uid="{35A18261-279D-4CD1-81FF-C22A8ADF0547}" uniqueName="140" name="EnableTradingDaysFilter" queryTableFieldId="62"/>
    <tableColumn id="141" xr3:uid="{4337BA12-F2DB-422E-8701-34A2019B874A}" uniqueName="141" name="TradeMonday" queryTableFieldId="63"/>
    <tableColumn id="142" xr3:uid="{9052396C-82F1-4184-BA29-4520761ACED5}" uniqueName="142" name="TradeTuesday" queryTableFieldId="64"/>
    <tableColumn id="143" xr3:uid="{845D41DA-D24C-4F36-8E92-30EC3F5DF93D}" uniqueName="143" name="TradeWednesday" queryTableFieldId="65"/>
    <tableColumn id="144" xr3:uid="{E4F61DB1-62B9-467F-8BCE-4680295A1A2B}" uniqueName="144" name="TradeThursday" queryTableFieldId="66"/>
    <tableColumn id="145" xr3:uid="{4BC37B88-7510-4CD2-A239-CA110849C0B9}" uniqueName="145" name="TradeFriday" queryTableFieldId="67"/>
    <tableColumn id="146" xr3:uid="{4AF8B52B-B8EB-4152-84C9-F8606A98E0E5}" uniqueName="146" name="EnableRecoveryStepUp" queryTableFieldId="68"/>
    <tableColumn id="147" xr3:uid="{97586E81-D745-4C06-9D34-DB2D7AAEC658}" uniqueName="147" name="RecoveryWaitMinutes" queryTableFieldId="69"/>
    <tableColumn id="148" xr3:uid="{1E6405C2-E079-401A-994E-94A163409071}" uniqueName="148" name="RecoveryMaxTotalLotsInBasket" queryTableFieldId="70"/>
    <tableColumn id="149" xr3:uid="{2595EB90-AE0F-4BFE-92AD-D7F249039A5B}" uniqueName="149" name="CsvSchemaVersion" queryTableFieldId="71"/>
    <tableColumn id="150" xr3:uid="{5349AE05-B2CC-4506-BBE1-7650D233F29C}" uniqueName="150" name="VpsId" queryTableFieldId="72"/>
    <tableColumn id="151" xr3:uid="{035C7CD5-D257-4FFC-B43D-A62AD82C7106}" uniqueName="151" name="VpsName" queryTableFieldId="73" dataDxfId="4"/>
    <tableColumn id="152" xr3:uid="{256CCE2D-B5FD-49E5-B534-228C0FAFA907}" uniqueName="152" name="FolderAccountNumber" queryTableFieldId="74" dataDxfId="3"/>
    <tableColumn id="153" xr3:uid="{AA266B52-92B2-4094-9D0A-807E869B52CE}" uniqueName="153" name="AccountKey" queryTableFieldId="75" dataDxfId="2"/>
    <tableColumn id="154" xr3:uid="{8428BF75-92C0-4C73-9BEC-55FA3C14B82E}" uniqueName="154" name="RunKey" queryTableFieldId="76" dataDxfId="1"/>
    <tableColumn id="155" xr3:uid="{BD2E8CE9-16A1-4AF9-A22F-79A07A2A641F}" uniqueName="155" name="FolderAccountMismatch" queryTableFieldId="77"/>
    <tableColumn id="156" xr3:uid="{B22CE4F3-3AAB-4D25-9B7B-AB9BF680BFB1}" uniqueName="156" name="ConfigFingerprint" queryTableFieldId="7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1210-A85F-4BDB-BA0D-6A62D1F3D05B}">
  <dimension ref="A1:F15"/>
  <sheetViews>
    <sheetView tabSelected="1" zoomScale="60" zoomScaleNormal="60" workbookViewId="0"/>
  </sheetViews>
  <sheetFormatPr defaultRowHeight="14.25"/>
  <cols>
    <col min="1" max="1" width="25.625" customWidth="1"/>
    <col min="2" max="6" width="18.625" customWidth="1"/>
  </cols>
  <sheetData>
    <row r="1" spans="1:6" ht="15">
      <c r="A1" s="17" t="s">
        <v>255</v>
      </c>
      <c r="B1" s="17"/>
      <c r="C1" s="17"/>
      <c r="D1" s="17"/>
      <c r="E1" s="17"/>
      <c r="F1" s="17"/>
    </row>
    <row r="2" spans="1:6">
      <c r="A2" t="s">
        <v>256</v>
      </c>
    </row>
    <row r="3" spans="1:6">
      <c r="A3" t="s">
        <v>257</v>
      </c>
    </row>
    <row r="4" spans="1:6">
      <c r="A4" t="s">
        <v>258</v>
      </c>
    </row>
    <row r="6" spans="1:6" ht="15">
      <c r="A6" s="18" t="s">
        <v>259</v>
      </c>
      <c r="B6" s="18" t="s">
        <v>260</v>
      </c>
      <c r="C6" s="18" t="s">
        <v>261</v>
      </c>
      <c r="D6" s="18" t="s">
        <v>262</v>
      </c>
      <c r="E6" s="18" t="s">
        <v>263</v>
      </c>
      <c r="F6" s="18" t="s">
        <v>264</v>
      </c>
    </row>
    <row r="7" spans="1:6">
      <c r="A7" s="19">
        <v>892525830</v>
      </c>
      <c r="B7" s="19">
        <v>323</v>
      </c>
      <c r="C7" s="19">
        <v>323</v>
      </c>
      <c r="D7" s="20">
        <v>-2127.4899999999998</v>
      </c>
      <c r="E7" s="20">
        <v>-2127.4899999999998</v>
      </c>
      <c r="F7" s="19" t="s">
        <v>265</v>
      </c>
    </row>
    <row r="8" spans="1:6">
      <c r="A8" s="19">
        <v>892525831</v>
      </c>
      <c r="B8" s="19">
        <v>327</v>
      </c>
      <c r="C8" s="19">
        <v>327</v>
      </c>
      <c r="D8" s="20">
        <v>794.31</v>
      </c>
      <c r="E8" s="20">
        <v>794.31</v>
      </c>
      <c r="F8" s="19" t="s">
        <v>265</v>
      </c>
    </row>
    <row r="9" spans="1:6">
      <c r="A9" s="19">
        <v>892525833</v>
      </c>
      <c r="B9" s="19">
        <v>261</v>
      </c>
      <c r="C9" s="19">
        <v>261</v>
      </c>
      <c r="D9" s="20">
        <v>-3328.87</v>
      </c>
      <c r="E9" s="20">
        <v>-3328.87</v>
      </c>
      <c r="F9" s="19" t="s">
        <v>265</v>
      </c>
    </row>
    <row r="10" spans="1:6">
      <c r="A10" s="19">
        <v>892525834</v>
      </c>
      <c r="B10" s="19">
        <v>151</v>
      </c>
      <c r="C10" s="19">
        <v>151</v>
      </c>
      <c r="D10" s="20">
        <v>223.81</v>
      </c>
      <c r="E10" s="20">
        <v>223.81</v>
      </c>
      <c r="F10" s="19" t="s">
        <v>265</v>
      </c>
    </row>
    <row r="12" spans="1:6">
      <c r="A12" t="s">
        <v>266</v>
      </c>
    </row>
    <row r="13" spans="1:6">
      <c r="A13" t="s">
        <v>267</v>
      </c>
    </row>
    <row r="14" spans="1:6">
      <c r="A14" t="s">
        <v>268</v>
      </c>
    </row>
    <row r="15" spans="1:6">
      <c r="A15" t="s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7FC-A30E-4261-B206-32FDB4042ABF}">
  <dimension ref="A1:O2"/>
  <sheetViews>
    <sheetView workbookViewId="0"/>
  </sheetViews>
  <sheetFormatPr defaultRowHeight="14.25"/>
  <cols>
    <col min="1" max="1" width="9.125" bestFit="1" customWidth="1"/>
    <col min="2" max="2" width="11.125" bestFit="1" customWidth="1"/>
    <col min="3" max="3" width="17.75" bestFit="1" customWidth="1"/>
    <col min="4" max="4" width="17.125" bestFit="1" customWidth="1"/>
    <col min="5" max="5" width="23" bestFit="1" customWidth="1"/>
    <col min="6" max="6" width="24.5" bestFit="1" customWidth="1"/>
    <col min="7" max="7" width="8.5" bestFit="1" customWidth="1"/>
    <col min="8" max="8" width="12.125" bestFit="1" customWidth="1"/>
    <col min="9" max="10" width="66.625" bestFit="1" customWidth="1"/>
    <col min="11" max="11" width="20.875" bestFit="1" customWidth="1"/>
    <col min="12" max="12" width="14.75" bestFit="1" customWidth="1"/>
    <col min="13" max="13" width="20.625" bestFit="1" customWidth="1"/>
    <col min="14" max="14" width="9.5" bestFit="1" customWidth="1"/>
    <col min="15" max="15" width="22.625" bestFit="1" customWidth="1"/>
  </cols>
  <sheetData>
    <row r="1" spans="1:15">
      <c r="A1" t="s">
        <v>293</v>
      </c>
      <c r="B1" t="s">
        <v>294</v>
      </c>
      <c r="C1" t="s">
        <v>295</v>
      </c>
      <c r="D1" t="s">
        <v>76</v>
      </c>
      <c r="E1" t="s">
        <v>146</v>
      </c>
      <c r="F1" t="s">
        <v>148</v>
      </c>
      <c r="G1" t="s">
        <v>151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</row>
    <row r="2" spans="1:15">
      <c r="A2" t="s">
        <v>300</v>
      </c>
      <c r="B2" t="s">
        <v>301</v>
      </c>
      <c r="C2" t="s">
        <v>302</v>
      </c>
      <c r="D2" t="s">
        <v>296</v>
      </c>
      <c r="E2" t="s">
        <v>296</v>
      </c>
      <c r="F2" t="b">
        <v>0</v>
      </c>
      <c r="G2" t="s">
        <v>242</v>
      </c>
      <c r="H2">
        <v>20</v>
      </c>
      <c r="I2" t="s">
        <v>305</v>
      </c>
      <c r="J2" t="s">
        <v>306</v>
      </c>
      <c r="K2" s="13">
        <v>46302.75</v>
      </c>
      <c r="L2" s="13">
        <v>46302.753472222219</v>
      </c>
      <c r="M2">
        <v>18.34045722022222</v>
      </c>
      <c r="N2" t="b">
        <v>1</v>
      </c>
      <c r="O2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4"/>
  <sheetViews>
    <sheetView showGridLines="0" zoomScale="70" zoomScaleNormal="70" workbookViewId="0">
      <selection sqref="A1:BO1"/>
    </sheetView>
  </sheetViews>
  <sheetFormatPr defaultRowHeight="14.25"/>
  <cols>
    <col min="1" max="2" width="12" customWidth="1"/>
    <col min="3" max="3" width="22" customWidth="1"/>
    <col min="4" max="12" width="12" customWidth="1"/>
    <col min="13" max="13" width="16" customWidth="1"/>
    <col min="14" max="19" width="12" customWidth="1"/>
    <col min="20" max="20" width="16" customWidth="1"/>
    <col min="21" max="22" width="12" customWidth="1"/>
    <col min="23" max="23" width="16" customWidth="1"/>
    <col min="24" max="25" width="12" customWidth="1"/>
    <col min="26" max="26" width="16" customWidth="1"/>
    <col min="27" max="29" width="12" customWidth="1"/>
    <col min="30" max="30" width="16" customWidth="1"/>
    <col min="31" max="32" width="12" customWidth="1"/>
    <col min="33" max="33" width="32" customWidth="1"/>
    <col min="34" max="65" width="12" customWidth="1"/>
    <col min="66" max="66" width="16" customWidth="1"/>
    <col min="67" max="67" width="26" customWidth="1"/>
    <col min="68" max="77" width="0" hidden="1" customWidth="1"/>
  </cols>
  <sheetData>
    <row r="1" spans="1:77" ht="27.9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</row>
    <row r="2" spans="1:77" ht="1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 t="s">
        <v>2</v>
      </c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 t="s">
        <v>3</v>
      </c>
      <c r="AX2" s="25"/>
      <c r="AY2" s="25"/>
      <c r="AZ2" s="25"/>
      <c r="BA2" s="25"/>
      <c r="BB2" s="25"/>
      <c r="BC2" s="25"/>
      <c r="BD2" s="25"/>
      <c r="BE2" s="25"/>
      <c r="BF2" s="25"/>
      <c r="BG2" s="25" t="s">
        <v>4</v>
      </c>
      <c r="BH2" s="25"/>
      <c r="BI2" s="25"/>
      <c r="BJ2" s="25"/>
      <c r="BK2" s="25"/>
      <c r="BL2" s="25"/>
      <c r="BM2" s="25"/>
      <c r="BN2" s="25"/>
      <c r="BO2" s="25"/>
    </row>
    <row r="3" spans="1:77" ht="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</row>
    <row r="4" spans="1:77">
      <c r="A4" s="23" t="s">
        <v>284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</row>
    <row r="5" spans="1:77" ht="57">
      <c r="A5" s="21" t="s">
        <v>241</v>
      </c>
      <c r="B5" s="21" t="s">
        <v>247</v>
      </c>
      <c r="C5" s="5" t="str">
        <f>IFERROR(VLOOKUP($A5&amp;"|"&amp;$B5,ManualFieldsTable[],4,FALSE),"")</f>
        <v/>
      </c>
      <c r="D5" s="6" t="str">
        <f>IFERROR(INDEX(BasketDataTable[StartTime],MATCH($A5&amp;"|"&amp;$B5,BasketDataTable[RunKey],0)),"")</f>
        <v/>
      </c>
      <c r="E5" s="5" t="str">
        <f>IFERROR(VLOOKUP($A5&amp;"|"&amp;$B5,ManualFieldsTable[],5,FALSE),"")</f>
        <v/>
      </c>
      <c r="F5" s="8" t="str" cm="1">
        <f t="array" ref="F5">IFERROR(LOOKUP(2,1/((BasketDataTable[AccountNumber]=$A5)*(BasketDataTable[RunID]=$B5)),BasketDataTable[RunStartBalance]),"")</f>
        <v/>
      </c>
      <c r="G5" s="5" t="str">
        <f>IFERROR(VLOOKUP($A5&amp;"|"&amp;$B5,ManualFieldsTable[],6,FALSE),"")</f>
        <v/>
      </c>
      <c r="H5" s="5" t="str">
        <f>IFERROR(VLOOKUP($A5&amp;"|"&amp;$B5,ManualFieldsTable[],7,FALSE),"")</f>
        <v/>
      </c>
      <c r="I5" s="5" t="str" cm="1">
        <f t="array" ref="I5">IFERROR(LOOKUP(2,1/((BasketDataTable[AccountNumber]=$A5)*(BasketDataTable[RunID]=$B5)),BasketDataTable[FixedLots]),"")</f>
        <v/>
      </c>
      <c r="J5" s="5" t="str" cm="1">
        <f t="array" ref="J5">IFERROR(LOOKUP(2,1/((BasketDataTable[AccountNumber]=$A5)*(BasketDataTable[RunID]=$B5)),BasketDataTable[PipsStep]),"")</f>
        <v/>
      </c>
      <c r="K5" s="8" t="str" cm="1">
        <f t="array" ref="K5">IFERROR(LOOKUP(2,1/((BasketDataTable[AccountNumber]=$A5)*(BasketDataTable[RunID]=$B5)),BasketDataTable[TakeProfit]),"")</f>
        <v/>
      </c>
      <c r="L5" s="5" t="str" cm="1">
        <f t="array" ref="L5">IFERROR(LOOKUP(2,1/((BasketDataTable[AccountNumber]=$A5)*(BasketDataTable[RunID]=$B5)),BasketDataTable[Tral]),"")</f>
        <v/>
      </c>
      <c r="M5" s="5" t="str" cm="1">
        <f t="array" ref="M5">IFERROR(LOOKUP(2,1/((BasketDataTable[AccountNumber]=$A5)*(BasketDataTable[RunID]=$B5)),BasketDataTable[TralStart]),"")</f>
        <v/>
      </c>
      <c r="N5" s="5" t="str" cm="1">
        <f t="array" ref="N5">IFERROR(LOOKUP(2,1/((BasketDataTable[AccountNumber]=$A5)*(BasketDataTable[RunID]=$B5)),BasketDataTable[MaxSpread]),"")</f>
        <v/>
      </c>
      <c r="O5" s="5" t="str" cm="1">
        <f t="array" ref="O5">IFERROR(LOOKUP(2,1/((BasketDataTable[AccountNumber]=$A5)*(BasketDataTable[RunID]=$B5)),BasketDataTable[TimeStart]),"")</f>
        <v/>
      </c>
      <c r="P5" s="5" t="str" cm="1">
        <f t="array" ref="P5">IFERROR(LOOKUP(2,1/((BasketDataTable[AccountNumber]=$A5)*(BasketDataTable[RunID]=$B5)),BasketDataTable[TimeEnd]),"")</f>
        <v/>
      </c>
      <c r="Q5" s="5" t="str" cm="1">
        <f t="array" ref="Q5">IFERROR(LOOKUP(2,1/((BasketDataTable[AccountNumber]=$A5)*(BasketDataTable[RunID]=$B5)),BasketDataTable[OpenTime]),"")</f>
        <v/>
      </c>
      <c r="R5" s="5" t="str" cm="1">
        <f t="array" ref="R5">IFERROR(LOOKUP(2,1/((BasketDataTable[AccountNumber]=$A5)*(BasketDataTable[RunID]=$B5)),BasketDataTable[SpeedEA]),"")</f>
        <v/>
      </c>
      <c r="S5" s="5" t="str" cm="1">
        <f t="array" ref="S5">IFERROR(LOOKUP(2,1/((BasketDataTable[AccountNumber]=$A5)*(BasketDataTable[RunID]=$B5)),BasketDataTable[NewBasketDelaySeconds]),"")</f>
        <v/>
      </c>
      <c r="T5" s="5" t="str" cm="1">
        <f t="array" ref="T5">IFERROR(LOOKUP(2,1/((BasketDataTable[AccountNumber]=$A5)*(BasketDataTable[RunID]=$B5)),BasketDataTable[UseBasketTrailingTP]),"")</f>
        <v/>
      </c>
      <c r="U5" s="8" t="str" cm="1">
        <f t="array" ref="U5">IFERROR(LOOKUP(2,1/((BasketDataTable[AccountNumber]=$A5)*(BasketDataTable[RunID]=$B5)),BasketDataTable[TrailingStart]),"")</f>
        <v/>
      </c>
      <c r="V5" s="8" t="str" cm="1">
        <f t="array" ref="V5">IFERROR(LOOKUP(2,1/((BasketDataTable[AccountNumber]=$A5)*(BasketDataTable[RunID]=$B5)),BasketDataTable[TrailingStep]),"")</f>
        <v/>
      </c>
      <c r="W5" s="5" t="str" cm="1">
        <f t="array" ref="W5">IFERROR(LOOKUP(2,1/((BasketDataTable[AccountNumber]=$A5)*(BasketDataTable[RunID]=$B5)),BasketDataTable[KillSwitchEnable]),"")</f>
        <v/>
      </c>
      <c r="X5" s="8" t="str" cm="1">
        <f t="array" ref="X5">IFERROR(LOOKUP(2,1/((BasketDataTable[AccountNumber]=$A5)*(BasketDataTable[RunID]=$B5)),BasketDataTable[KillEquityLevel]),"")</f>
        <v/>
      </c>
      <c r="Y5" s="5" t="str" cm="1">
        <f t="array" ref="Y5">IFERROR(LOOKUP(2,1/((BasketDataTable[AccountNumber]=$A5)*(BasketDataTable[RunID]=$B5)),BasketDataTable[KillCooldownMinutes]),"")</f>
        <v/>
      </c>
      <c r="Z5" s="5" t="str" cm="1">
        <f t="array" ref="Z5">IFERROR(LOOKUP(2,1/((BasketDataTable[AccountNumber]=$A5)*(BasketDataTable[RunID]=$B5)),BasketDataTable[MaxOrdersInBasket]),"")</f>
        <v/>
      </c>
      <c r="AA5" s="8" t="str" cm="1">
        <f t="array" ref="AA5">IFERROR(LOOKUP(2,1/((BasketDataTable[AccountNumber]=$A5)*(BasketDataTable[RunID]=$B5)),BasketDataTable[MaxTotalLotsInBasket]),"")</f>
        <v/>
      </c>
      <c r="AB5" s="5" t="str" cm="1">
        <f t="array" ref="AB5">IFERROR(LOOKUP(2,1/((BasketDataTable[AccountNumber]=$A5)*(BasketDataTable[RunID]=$B5)),BasketDataTable[RegimeEnable]),"")</f>
        <v/>
      </c>
      <c r="AC5" s="5" t="str" cm="1">
        <f t="array" ref="AC5">IFERROR(LOOKUP(2,1/((BasketDataTable[AccountNumber]=$A5)*(BasketDataTable[RunID]=$B5)),BasketDataTable[RegimeAction]),"")</f>
        <v/>
      </c>
      <c r="AD5" s="5" t="str" cm="1">
        <f t="array" ref="AD5">IFERROR(LOOKUP(2,1/((BasketDataTable[AccountNumber]=$A5)*(BasketDataTable[RunID]=$B5)),BasketDataTable[EnableRecoveryStepUp]),"")</f>
        <v/>
      </c>
      <c r="AE5" s="5" t="str" cm="1">
        <f t="array" ref="AE5">IFERROR(LOOKUP(2,1/((BasketDataTable[AccountNumber]=$A5)*(BasketDataTable[RunID]=$B5)),BasketDataTable[RecoveryWaitMinutes]),"")</f>
        <v/>
      </c>
      <c r="AF5" s="8" t="str" cm="1">
        <f t="array" ref="AF5">IFERROR(LOOKUP(2,1/((BasketDataTable[AccountNumber]=$A5)*(BasketDataTable[RunID]=$B5)),BasketDataTable[RecoveryMaxTotalLotsInBasket]),"")</f>
        <v/>
      </c>
      <c r="AG5" s="5" t="str">
        <f>IFERROR(VLOOKUP($A5&amp;"|"&amp;$B5,ManualFieldsTable[],8,FALSE),"")</f>
        <v/>
      </c>
      <c r="AH5" s="8">
        <f>IFERROR(SUMIFS(BasketDataTable[ClosePL],BasketDataTable[AccountNumber],$A5,BasketDataTable[RunID],$B5),0)</f>
        <v>0</v>
      </c>
      <c r="AI5" s="5" cm="1">
        <f t="array" ref="AI5">IFERROR(SUMPRODUCT((((BasketDataTable[AccountNumber]=$A5)*(BasketDataTable[RunID]=$B5)))*(BasketDataTable[TradeDate]&lt;&gt;"")/COUNTIFS(BasketDataTable[AccountNumber],BasketDataTable[AccountNumber],BasketDataTable[RunID],BasketDataTable[RunID],BasketDataTable[TradeDate],BasketDataTable[TradeDate])),0)</f>
        <v>0</v>
      </c>
      <c r="AJ5" s="8">
        <f>IFERROR(AH5/AI5,0)</f>
        <v>0</v>
      </c>
      <c r="AK5" s="8" t="str">
        <f t="shared" ref="AK5:AM8" si="0">BP5</f>
        <v/>
      </c>
      <c r="AL5" s="8" t="str">
        <f t="shared" si="0"/>
        <v/>
      </c>
      <c r="AM5" s="8" t="str">
        <f t="shared" si="0"/>
        <v/>
      </c>
      <c r="AN5" s="8">
        <f>IFERROR(AVERAGE(BP5:BY5),0)</f>
        <v>0</v>
      </c>
      <c r="AO5" s="5">
        <f>COUNTIFS(BasketDataTable[AccountNumber],$A5,BasketDataTable[RunID],$B5)</f>
        <v>0</v>
      </c>
      <c r="AP5" s="5">
        <f>COUNTIFS(BasketDataTable[AccountNumber],$A5,BasketDataTable[RunID],$B5,BasketDataTable[ClosePL],"&gt;0")</f>
        <v>0</v>
      </c>
      <c r="AQ5" s="8">
        <f>SUMIFS(BasketDataTable[ClosePL],BasketDataTable[AccountNumber],$A5,BasketDataTable[RunID],$B5,BasketDataTable[ClosePL],"&gt;0")</f>
        <v>0</v>
      </c>
      <c r="AR5" s="5">
        <f>COUNTIFS(BasketDataTable[AccountNumber],$A5,BasketDataTable[RunID],$B5,BasketDataTable[ClosePL],"&lt;0")</f>
        <v>0</v>
      </c>
      <c r="AS5" s="8">
        <f>-SUMIFS(BasketDataTable[ClosePL],BasketDataTable[AccountNumber],$A5,BasketDataTable[RunID],$B5,BasketDataTable[ClosePL],"&lt;0")</f>
        <v>0</v>
      </c>
      <c r="AT5" s="8">
        <f>IFERROR(AH5/AO5,0)</f>
        <v>0</v>
      </c>
      <c r="AU5" s="5">
        <f>SUMIFS(BasketDataTable[TimesNearKill],BasketDataTable[AccountNumber],$A5,BasketDataTable[RunID],$B5)</f>
        <v>0</v>
      </c>
      <c r="AV5" s="5">
        <f>COUNTIFS(BasketDataTable[AccountNumber],$A5,BasketDataTable[RunID],$B5,BasketDataTable[CloseReason],"KILL")</f>
        <v>0</v>
      </c>
      <c r="AW5" s="5">
        <f>COUNTIFS(BasketDataTable[AccountNumber],$A5,BasketDataTable[RunID],$B5,BasketDataTable[MaxOrdersConcurrent],"&gt;=1")</f>
        <v>0</v>
      </c>
      <c r="AX5" s="5">
        <f>COUNTIFS(BasketDataTable[AccountNumber],$A5,BasketDataTable[RunID],$B5,BasketDataTable[MaxOrdersConcurrent],"&gt;=2")</f>
        <v>0</v>
      </c>
      <c r="AY5" s="5">
        <f>COUNTIFS(BasketDataTable[AccountNumber],$A5,BasketDataTable[RunID],$B5,BasketDataTable[MaxOrdersConcurrent],"&gt;=3")</f>
        <v>0</v>
      </c>
      <c r="AZ5" s="5">
        <f>COUNTIFS(BasketDataTable[AccountNumber],$A5,BasketDataTable[RunID],$B5,BasketDataTable[MaxOrdersConcurrent],"&gt;=4")</f>
        <v>0</v>
      </c>
      <c r="BA5" s="5">
        <f>COUNTIFS(BasketDataTable[AccountNumber],$A5,BasketDataTable[RunID],$B5,BasketDataTable[MaxOrdersConcurrent],"&gt;=5")</f>
        <v>0</v>
      </c>
      <c r="BB5" s="5">
        <f>COUNTIFS(BasketDataTable[AccountNumber],$A5,BasketDataTable[RunID],$B5,BasketDataTable[MaxOrdersConcurrent],"&gt;=6")</f>
        <v>0</v>
      </c>
      <c r="BC5" s="5">
        <f>COUNTIFS(BasketDataTable[AccountNumber],$A5,BasketDataTable[RunID],$B5,BasketDataTable[MaxOrdersConcurrent],"&gt;=7")</f>
        <v>0</v>
      </c>
      <c r="BD5" s="5">
        <f>COUNTIFS(BasketDataTable[AccountNumber],$A5,BasketDataTable[RunID],$B5,BasketDataTable[MaxOrdersConcurrent],"&gt;=8")</f>
        <v>0</v>
      </c>
      <c r="BE5" s="5">
        <f>COUNTIFS(BasketDataTable[AccountNumber],$A5,BasketDataTable[RunID],$B5,BasketDataTable[MaxOrdersConcurrent],"&gt;=9")</f>
        <v>0</v>
      </c>
      <c r="BF5" s="5">
        <f>COUNTIFS(BasketDataTable[AccountNumber],$A5,BasketDataTable[RunID],$B5,BasketDataTable[MaxOrdersConcurrent],"&gt;=10")</f>
        <v>0</v>
      </c>
      <c r="BG5" s="5" cm="1">
        <f t="array" ref="BG5">SUMPRODUCT(((BasketDataTable[AccountNumber]=$A5)*(BasketDataTable[RunID]=$B5))*(BasketDataTable[MaxTotalLotsInBasket]&gt;0)*(BasketDataTable[MaxTotalLots]&gt;=BasketDataTable[MaxTotalLotsInBasket]))</f>
        <v>0</v>
      </c>
      <c r="BH5" s="8">
        <f>IFERROR(AH5/AN5,0)</f>
        <v>0</v>
      </c>
      <c r="BI5" s="8">
        <f>IFERROR(AQ5/AP5,0)</f>
        <v>0</v>
      </c>
      <c r="BJ5" s="8">
        <f>IFERROR(AS5/AR5,0)</f>
        <v>0</v>
      </c>
      <c r="BK5" s="10">
        <f>IFERROR(AP5/AO5,0)</f>
        <v>0</v>
      </c>
      <c r="BL5" s="10">
        <f>IFERROR(AR5/AO5,0)</f>
        <v>0</v>
      </c>
      <c r="BM5" s="8">
        <f>(BI5*BK5)-(BJ5*BL5)</f>
        <v>0</v>
      </c>
      <c r="BN5" s="8">
        <f>IFERROR(AJ5/AN5,0)</f>
        <v>0</v>
      </c>
      <c r="BO5" s="5" t="str" cm="1">
        <f t="array" ref="BO5">IF(AO5=0,"No basket data",IF(SUMPRODUCT(((BasketDataTable[AccountNumber]=$A5)*(BasketDataTable[RunID]=$B5)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No basket data</v>
      </c>
      <c r="BP5" t="str" cm="1">
        <f t="array" ref="BP5">IF($AO5&gt;=1,IFERROR(_xlfn.AGGREGATE(14,6,BasketDataTable[MaxFloatingDrawdownAbs]/((BasketDataTable[AccountNumber]=$A5)*(BasketDataTable[RunID]=$B5)),1),""),"")</f>
        <v/>
      </c>
      <c r="BQ5" t="str" cm="1">
        <f t="array" ref="BQ5">IF($AO5&gt;=2,IFERROR(_xlfn.AGGREGATE(14,6,BasketDataTable[MaxFloatingDrawdownAbs]/((BasketDataTable[AccountNumber]=$A5)*(BasketDataTable[RunID]=$B5)),2),""),"")</f>
        <v/>
      </c>
      <c r="BR5" t="str" cm="1">
        <f t="array" ref="BR5">IF($AO5&gt;=3,IFERROR(_xlfn.AGGREGATE(14,6,BasketDataTable[MaxFloatingDrawdownAbs]/((BasketDataTable[AccountNumber]=$A5)*(BasketDataTable[RunID]=$B5)),3),""),"")</f>
        <v/>
      </c>
      <c r="BS5" t="str" cm="1">
        <f t="array" ref="BS5">IF($AO5&gt;=4,IFERROR(_xlfn.AGGREGATE(14,6,BasketDataTable[MaxFloatingDrawdownAbs]/((BasketDataTable[AccountNumber]=$A5)*(BasketDataTable[RunID]=$B5)),4),""),"")</f>
        <v/>
      </c>
      <c r="BT5" t="str" cm="1">
        <f t="array" ref="BT5">IF($AO5&gt;=5,IFERROR(_xlfn.AGGREGATE(14,6,BasketDataTable[MaxFloatingDrawdownAbs]/((BasketDataTable[AccountNumber]=$A5)*(BasketDataTable[RunID]=$B5)),5),""),"")</f>
        <v/>
      </c>
      <c r="BU5" t="str" cm="1">
        <f t="array" ref="BU5">IF($AO5&gt;=6,IFERROR(_xlfn.AGGREGATE(14,6,BasketDataTable[MaxFloatingDrawdownAbs]/((BasketDataTable[AccountNumber]=$A5)*(BasketDataTable[RunID]=$B5)),6),""),"")</f>
        <v/>
      </c>
      <c r="BV5" t="str" cm="1">
        <f t="array" ref="BV5">IF($AO5&gt;=7,IFERROR(_xlfn.AGGREGATE(14,6,BasketDataTable[MaxFloatingDrawdownAbs]/((BasketDataTable[AccountNumber]=$A5)*(BasketDataTable[RunID]=$B5)),7),""),"")</f>
        <v/>
      </c>
      <c r="BW5" t="str" cm="1">
        <f t="array" ref="BW5">IF($AO5&gt;=8,IFERROR(_xlfn.AGGREGATE(14,6,BasketDataTable[MaxFloatingDrawdownAbs]/((BasketDataTable[AccountNumber]=$A5)*(BasketDataTable[RunID]=$B5)),8),""),"")</f>
        <v/>
      </c>
      <c r="BX5" t="str" cm="1">
        <f t="array" ref="BX5">IF($AO5&gt;=9,IFERROR(_xlfn.AGGREGATE(14,6,BasketDataTable[MaxFloatingDrawdownAbs]/((BasketDataTable[AccountNumber]=$A5)*(BasketDataTable[RunID]=$B5)),9),""),"")</f>
        <v/>
      </c>
      <c r="BY5" t="str" cm="1">
        <f t="array" ref="BY5">IF($AO5&gt;=10,IFERROR(_xlfn.AGGREGATE(14,6,BasketDataTable[MaxFloatingDrawdownAbs]/((BasketDataTable[AccountNumber]=$A5)*(BasketDataTable[RunID]=$B5)),10),""),"")</f>
        <v/>
      </c>
    </row>
    <row r="6" spans="1:77" ht="57">
      <c r="A6" s="22" t="s">
        <v>243</v>
      </c>
      <c r="B6" s="22" t="s">
        <v>251</v>
      </c>
      <c r="C6" s="4" t="str">
        <f>IFERROR(VLOOKUP($A6&amp;"|"&amp;$B6,ManualFieldsTable[],4,FALSE),"")</f>
        <v/>
      </c>
      <c r="D6" s="7" t="str">
        <f>IFERROR(INDEX(BasketDataTable[StartTime],MATCH($A6&amp;"|"&amp;$B6,BasketDataTable[RunKey],0)),"")</f>
        <v/>
      </c>
      <c r="E6" s="4" t="str">
        <f>IFERROR(VLOOKUP($A6&amp;"|"&amp;$B6,ManualFieldsTable[],5,FALSE),"")</f>
        <v/>
      </c>
      <c r="F6" s="9" t="str" cm="1">
        <f t="array" ref="F6">IFERROR(LOOKUP(2,1/((BasketDataTable[AccountNumber]=$A6)*(BasketDataTable[RunID]=$B6)),BasketDataTable[RunStartBalance]),"")</f>
        <v/>
      </c>
      <c r="G6" s="4" t="str">
        <f>IFERROR(VLOOKUP($A6&amp;"|"&amp;$B6,ManualFieldsTable[],6,FALSE),"")</f>
        <v/>
      </c>
      <c r="H6" s="4" t="str">
        <f>IFERROR(VLOOKUP($A6&amp;"|"&amp;$B6,ManualFieldsTable[],7,FALSE),"")</f>
        <v/>
      </c>
      <c r="I6" s="3" t="str" cm="1">
        <f t="array" ref="I6">IFERROR(LOOKUP(2,1/((BasketDataTable[AccountNumber]=$A6)*(BasketDataTable[RunID]=$B6)),BasketDataTable[FixedLots]),"")</f>
        <v/>
      </c>
      <c r="J6" s="3" t="str" cm="1">
        <f t="array" ref="J6">IFERROR(LOOKUP(2,1/((BasketDataTable[AccountNumber]=$A6)*(BasketDataTable[RunID]=$B6)),BasketDataTable[PipsStep]),"")</f>
        <v/>
      </c>
      <c r="K6" s="9" t="str" cm="1">
        <f t="array" ref="K6">IFERROR(LOOKUP(2,1/((BasketDataTable[AccountNumber]=$A6)*(BasketDataTable[RunID]=$B6)),BasketDataTable[TakeProfit]),"")</f>
        <v/>
      </c>
      <c r="L6" s="3" t="str" cm="1">
        <f t="array" ref="L6">IFERROR(LOOKUP(2,1/((BasketDataTable[AccountNumber]=$A6)*(BasketDataTable[RunID]=$B6)),BasketDataTable[Tral]),"")</f>
        <v/>
      </c>
      <c r="M6" s="3" t="str" cm="1">
        <f t="array" ref="M6">IFERROR(LOOKUP(2,1/((BasketDataTable[AccountNumber]=$A6)*(BasketDataTable[RunID]=$B6)),BasketDataTable[TralStart]),"")</f>
        <v/>
      </c>
      <c r="N6" s="3" t="str" cm="1">
        <f t="array" ref="N6">IFERROR(LOOKUP(2,1/((BasketDataTable[AccountNumber]=$A6)*(BasketDataTable[RunID]=$B6)),BasketDataTable[MaxSpread]),"")</f>
        <v/>
      </c>
      <c r="O6" s="3" t="str" cm="1">
        <f t="array" ref="O6">IFERROR(LOOKUP(2,1/((BasketDataTable[AccountNumber]=$A6)*(BasketDataTable[RunID]=$B6)),BasketDataTable[TimeStart]),"")</f>
        <v/>
      </c>
      <c r="P6" s="3" t="str" cm="1">
        <f t="array" ref="P6">IFERROR(LOOKUP(2,1/((BasketDataTable[AccountNumber]=$A6)*(BasketDataTable[RunID]=$B6)),BasketDataTable[TimeEnd]),"")</f>
        <v/>
      </c>
      <c r="Q6" s="3" t="str" cm="1">
        <f t="array" ref="Q6">IFERROR(LOOKUP(2,1/((BasketDataTable[AccountNumber]=$A6)*(BasketDataTable[RunID]=$B6)),BasketDataTable[OpenTime]),"")</f>
        <v/>
      </c>
      <c r="R6" s="3" t="str" cm="1">
        <f t="array" ref="R6">IFERROR(LOOKUP(2,1/((BasketDataTable[AccountNumber]=$A6)*(BasketDataTable[RunID]=$B6)),BasketDataTable[SpeedEA]),"")</f>
        <v/>
      </c>
      <c r="S6" s="3" t="str" cm="1">
        <f t="array" ref="S6">IFERROR(LOOKUP(2,1/((BasketDataTable[AccountNumber]=$A6)*(BasketDataTable[RunID]=$B6)),BasketDataTable[NewBasketDelaySeconds]),"")</f>
        <v/>
      </c>
      <c r="T6" s="3" t="str" cm="1">
        <f t="array" ref="T6">IFERROR(LOOKUP(2,1/((BasketDataTable[AccountNumber]=$A6)*(BasketDataTable[RunID]=$B6)),BasketDataTable[UseBasketTrailingTP]),"")</f>
        <v/>
      </c>
      <c r="U6" s="9" t="str" cm="1">
        <f t="array" ref="U6">IFERROR(LOOKUP(2,1/((BasketDataTable[AccountNumber]=$A6)*(BasketDataTable[RunID]=$B6)),BasketDataTable[TrailingStart]),"")</f>
        <v/>
      </c>
      <c r="V6" s="9" t="str" cm="1">
        <f t="array" ref="V6">IFERROR(LOOKUP(2,1/((BasketDataTable[AccountNumber]=$A6)*(BasketDataTable[RunID]=$B6)),BasketDataTable[TrailingStep]),"")</f>
        <v/>
      </c>
      <c r="W6" s="3" t="str" cm="1">
        <f t="array" ref="W6">IFERROR(LOOKUP(2,1/((BasketDataTable[AccountNumber]=$A6)*(BasketDataTable[RunID]=$B6)),BasketDataTable[KillSwitchEnable]),"")</f>
        <v/>
      </c>
      <c r="X6" s="9" t="str" cm="1">
        <f t="array" ref="X6">IFERROR(LOOKUP(2,1/((BasketDataTable[AccountNumber]=$A6)*(BasketDataTable[RunID]=$B6)),BasketDataTable[KillEquityLevel]),"")</f>
        <v/>
      </c>
      <c r="Y6" s="3" t="str" cm="1">
        <f t="array" ref="Y6">IFERROR(LOOKUP(2,1/((BasketDataTable[AccountNumber]=$A6)*(BasketDataTable[RunID]=$B6)),BasketDataTable[KillCooldownMinutes]),"")</f>
        <v/>
      </c>
      <c r="Z6" s="3" t="str" cm="1">
        <f t="array" ref="Z6">IFERROR(LOOKUP(2,1/((BasketDataTable[AccountNumber]=$A6)*(BasketDataTable[RunID]=$B6)),BasketDataTable[MaxOrdersInBasket]),"")</f>
        <v/>
      </c>
      <c r="AA6" s="9" t="str" cm="1">
        <f t="array" ref="AA6">IFERROR(LOOKUP(2,1/((BasketDataTable[AccountNumber]=$A6)*(BasketDataTable[RunID]=$B6)),BasketDataTable[MaxTotalLotsInBasket]),"")</f>
        <v/>
      </c>
      <c r="AB6" s="3" t="str" cm="1">
        <f t="array" ref="AB6">IFERROR(LOOKUP(2,1/((BasketDataTable[AccountNumber]=$A6)*(BasketDataTable[RunID]=$B6)),BasketDataTable[RegimeEnable]),"")</f>
        <v/>
      </c>
      <c r="AC6" s="3" t="str" cm="1">
        <f t="array" ref="AC6">IFERROR(LOOKUP(2,1/((BasketDataTable[AccountNumber]=$A6)*(BasketDataTable[RunID]=$B6)),BasketDataTable[RegimeAction]),"")</f>
        <v/>
      </c>
      <c r="AD6" s="3" t="str" cm="1">
        <f t="array" ref="AD6">IFERROR(LOOKUP(2,1/((BasketDataTable[AccountNumber]=$A6)*(BasketDataTable[RunID]=$B6)),BasketDataTable[EnableRecoveryStepUp]),"")</f>
        <v/>
      </c>
      <c r="AE6" s="3" t="str" cm="1">
        <f t="array" ref="AE6">IFERROR(LOOKUP(2,1/((BasketDataTable[AccountNumber]=$A6)*(BasketDataTable[RunID]=$B6)),BasketDataTable[RecoveryWaitMinutes]),"")</f>
        <v/>
      </c>
      <c r="AF6" s="9" t="str" cm="1">
        <f t="array" ref="AF6">IFERROR(LOOKUP(2,1/((BasketDataTable[AccountNumber]=$A6)*(BasketDataTable[RunID]=$B6)),BasketDataTable[RecoveryMaxTotalLotsInBasket]),"")</f>
        <v/>
      </c>
      <c r="AG6" s="4" t="str">
        <f>IFERROR(VLOOKUP($A6&amp;"|"&amp;$B6,ManualFieldsTable[],8,FALSE),"")</f>
        <v/>
      </c>
      <c r="AH6" s="9">
        <f>IFERROR(SUMIFS(BasketDataTable[ClosePL],BasketDataTable[AccountNumber],$A6,BasketDataTable[RunID],$B6),0)</f>
        <v>0</v>
      </c>
      <c r="AI6" s="3" cm="1">
        <f t="array" ref="AI6">IFERROR(SUMPRODUCT((((BasketDataTable[AccountNumber]=$A6)*(BasketDataTable[RunID]=$B6)))*(BasketDataTable[TradeDate]&lt;&gt;"")/COUNTIFS(BasketDataTable[AccountNumber],BasketDataTable[AccountNumber],BasketDataTable[RunID],BasketDataTable[RunID],BasketDataTable[TradeDate],BasketDataTable[TradeDate])),0)</f>
        <v>0</v>
      </c>
      <c r="AJ6" s="9">
        <f>IFERROR(AH6/AI6,0)</f>
        <v>0</v>
      </c>
      <c r="AK6" s="9" t="str">
        <f t="shared" si="0"/>
        <v/>
      </c>
      <c r="AL6" s="9" t="str">
        <f t="shared" si="0"/>
        <v/>
      </c>
      <c r="AM6" s="9" t="str">
        <f t="shared" si="0"/>
        <v/>
      </c>
      <c r="AN6" s="9">
        <f>IFERROR(AVERAGE(BP6:BY6),0)</f>
        <v>0</v>
      </c>
      <c r="AO6" s="3">
        <f>COUNTIFS(BasketDataTable[AccountNumber],$A6,BasketDataTable[RunID],$B6)</f>
        <v>0</v>
      </c>
      <c r="AP6" s="3">
        <f>COUNTIFS(BasketDataTable[AccountNumber],$A6,BasketDataTable[RunID],$B6,BasketDataTable[ClosePL],"&gt;0")</f>
        <v>0</v>
      </c>
      <c r="AQ6" s="9">
        <f>SUMIFS(BasketDataTable[ClosePL],BasketDataTable[AccountNumber],$A6,BasketDataTable[RunID],$B6,BasketDataTable[ClosePL],"&gt;0")</f>
        <v>0</v>
      </c>
      <c r="AR6" s="3">
        <f>COUNTIFS(BasketDataTable[AccountNumber],$A6,BasketDataTable[RunID],$B6,BasketDataTable[ClosePL],"&lt;0")</f>
        <v>0</v>
      </c>
      <c r="AS6" s="9">
        <f>-SUMIFS(BasketDataTable[ClosePL],BasketDataTable[AccountNumber],$A6,BasketDataTable[RunID],$B6,BasketDataTable[ClosePL],"&lt;0")</f>
        <v>0</v>
      </c>
      <c r="AT6" s="9">
        <f>IFERROR(AH6/AO6,0)</f>
        <v>0</v>
      </c>
      <c r="AU6" s="3">
        <f>SUMIFS(BasketDataTable[TimesNearKill],BasketDataTable[AccountNumber],$A6,BasketDataTable[RunID],$B6)</f>
        <v>0</v>
      </c>
      <c r="AV6" s="3">
        <f>COUNTIFS(BasketDataTable[AccountNumber],$A6,BasketDataTable[RunID],$B6,BasketDataTable[CloseReason],"KILL")</f>
        <v>0</v>
      </c>
      <c r="AW6" s="3">
        <f>COUNTIFS(BasketDataTable[AccountNumber],$A6,BasketDataTable[RunID],$B6,BasketDataTable[MaxOrdersConcurrent],"&gt;=1")</f>
        <v>0</v>
      </c>
      <c r="AX6" s="3">
        <f>COUNTIFS(BasketDataTable[AccountNumber],$A6,BasketDataTable[RunID],$B6,BasketDataTable[MaxOrdersConcurrent],"&gt;=2")</f>
        <v>0</v>
      </c>
      <c r="AY6" s="3">
        <f>COUNTIFS(BasketDataTable[AccountNumber],$A6,BasketDataTable[RunID],$B6,BasketDataTable[MaxOrdersConcurrent],"&gt;=3")</f>
        <v>0</v>
      </c>
      <c r="AZ6" s="3">
        <f>COUNTIFS(BasketDataTable[AccountNumber],$A6,BasketDataTable[RunID],$B6,BasketDataTable[MaxOrdersConcurrent],"&gt;=4")</f>
        <v>0</v>
      </c>
      <c r="BA6" s="3">
        <f>COUNTIFS(BasketDataTable[AccountNumber],$A6,BasketDataTable[RunID],$B6,BasketDataTable[MaxOrdersConcurrent],"&gt;=5")</f>
        <v>0</v>
      </c>
      <c r="BB6" s="3">
        <f>COUNTIFS(BasketDataTable[AccountNumber],$A6,BasketDataTable[RunID],$B6,BasketDataTable[MaxOrdersConcurrent],"&gt;=6")</f>
        <v>0</v>
      </c>
      <c r="BC6" s="3">
        <f>COUNTIFS(BasketDataTable[AccountNumber],$A6,BasketDataTable[RunID],$B6,BasketDataTable[MaxOrdersConcurrent],"&gt;=7")</f>
        <v>0</v>
      </c>
      <c r="BD6" s="3">
        <f>COUNTIFS(BasketDataTable[AccountNumber],$A6,BasketDataTable[RunID],$B6,BasketDataTable[MaxOrdersConcurrent],"&gt;=8")</f>
        <v>0</v>
      </c>
      <c r="BE6" s="3">
        <f>COUNTIFS(BasketDataTable[AccountNumber],$A6,BasketDataTable[RunID],$B6,BasketDataTable[MaxOrdersConcurrent],"&gt;=9")</f>
        <v>0</v>
      </c>
      <c r="BF6" s="3">
        <f>COUNTIFS(BasketDataTable[AccountNumber],$A6,BasketDataTable[RunID],$B6,BasketDataTable[MaxOrdersConcurrent],"&gt;=10")</f>
        <v>0</v>
      </c>
      <c r="BG6" s="3" cm="1">
        <f t="array" ref="BG6">SUMPRODUCT(((BasketDataTable[AccountNumber]=$A6)*(BasketDataTable[RunID]=$B6))*(BasketDataTable[MaxTotalLotsInBasket]&gt;0)*(BasketDataTable[MaxTotalLots]&gt;=BasketDataTable[MaxTotalLotsInBasket]))</f>
        <v>0</v>
      </c>
      <c r="BH6" s="9">
        <f>IFERROR(AH6/AN6,0)</f>
        <v>0</v>
      </c>
      <c r="BI6" s="9">
        <f>IFERROR(AQ6/AP6,0)</f>
        <v>0</v>
      </c>
      <c r="BJ6" s="9">
        <f>IFERROR(AS6/AR6,0)</f>
        <v>0</v>
      </c>
      <c r="BK6" s="11">
        <f>IFERROR(AP6/AO6,0)</f>
        <v>0</v>
      </c>
      <c r="BL6" s="11">
        <f>IFERROR(AR6/AO6,0)</f>
        <v>0</v>
      </c>
      <c r="BM6" s="9">
        <f>(BI6*BK6)-(BJ6*BL6)</f>
        <v>0</v>
      </c>
      <c r="BN6" s="9">
        <f>IFERROR(AJ6/AN6,0)</f>
        <v>0</v>
      </c>
      <c r="BO6" s="3" t="str" cm="1">
        <f t="array" ref="BO6">IF(AO6=0,"No basket data",IF(SUMPRODUCT(((BasketDataTable[AccountNumber]=$A6)*(BasketDataTable[RunID]=$B6)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No basket data</v>
      </c>
      <c r="BP6" t="str" cm="1">
        <f t="array" ref="BP6">IF($AO6&gt;=1,IFERROR(_xlfn.AGGREGATE(14,6,BasketDataTable[MaxFloatingDrawdownAbs]/((BasketDataTable[AccountNumber]=$A6)*(BasketDataTable[RunID]=$B6)),1),""),"")</f>
        <v/>
      </c>
      <c r="BQ6" t="str" cm="1">
        <f t="array" ref="BQ6">IF($AO6&gt;=2,IFERROR(_xlfn.AGGREGATE(14,6,BasketDataTable[MaxFloatingDrawdownAbs]/((BasketDataTable[AccountNumber]=$A6)*(BasketDataTable[RunID]=$B6)),2),""),"")</f>
        <v/>
      </c>
      <c r="BR6" t="str" cm="1">
        <f t="array" ref="BR6">IF($AO6&gt;=3,IFERROR(_xlfn.AGGREGATE(14,6,BasketDataTable[MaxFloatingDrawdownAbs]/((BasketDataTable[AccountNumber]=$A6)*(BasketDataTable[RunID]=$B6)),3),""),"")</f>
        <v/>
      </c>
      <c r="BS6" t="str" cm="1">
        <f t="array" ref="BS6">IF($AO6&gt;=4,IFERROR(_xlfn.AGGREGATE(14,6,BasketDataTable[MaxFloatingDrawdownAbs]/((BasketDataTable[AccountNumber]=$A6)*(BasketDataTable[RunID]=$B6)),4),""),"")</f>
        <v/>
      </c>
      <c r="BT6" t="str" cm="1">
        <f t="array" ref="BT6">IF($AO6&gt;=5,IFERROR(_xlfn.AGGREGATE(14,6,BasketDataTable[MaxFloatingDrawdownAbs]/((BasketDataTable[AccountNumber]=$A6)*(BasketDataTable[RunID]=$B6)),5),""),"")</f>
        <v/>
      </c>
      <c r="BU6" t="str" cm="1">
        <f t="array" ref="BU6">IF($AO6&gt;=6,IFERROR(_xlfn.AGGREGATE(14,6,BasketDataTable[MaxFloatingDrawdownAbs]/((BasketDataTable[AccountNumber]=$A6)*(BasketDataTable[RunID]=$B6)),6),""),"")</f>
        <v/>
      </c>
      <c r="BV6" t="str" cm="1">
        <f t="array" ref="BV6">IF($AO6&gt;=7,IFERROR(_xlfn.AGGREGATE(14,6,BasketDataTable[MaxFloatingDrawdownAbs]/((BasketDataTable[AccountNumber]=$A6)*(BasketDataTable[RunID]=$B6)),7),""),"")</f>
        <v/>
      </c>
      <c r="BW6" t="str" cm="1">
        <f t="array" ref="BW6">IF($AO6&gt;=8,IFERROR(_xlfn.AGGREGATE(14,6,BasketDataTable[MaxFloatingDrawdownAbs]/((BasketDataTable[AccountNumber]=$A6)*(BasketDataTable[RunID]=$B6)),8),""),"")</f>
        <v/>
      </c>
      <c r="BX6" t="str" cm="1">
        <f t="array" ref="BX6">IF($AO6&gt;=9,IFERROR(_xlfn.AGGREGATE(14,6,BasketDataTable[MaxFloatingDrawdownAbs]/((BasketDataTable[AccountNumber]=$A6)*(BasketDataTable[RunID]=$B6)),9),""),"")</f>
        <v/>
      </c>
      <c r="BY6" t="str" cm="1">
        <f t="array" ref="BY6">IF($AO6&gt;=10,IFERROR(_xlfn.AGGREGATE(14,6,BasketDataTable[MaxFloatingDrawdownAbs]/((BasketDataTable[AccountNumber]=$A6)*(BasketDataTable[RunID]=$B6)),10),""),"")</f>
        <v/>
      </c>
    </row>
    <row r="7" spans="1:77" ht="57">
      <c r="A7" s="22" t="s">
        <v>244</v>
      </c>
      <c r="B7" s="22" t="s">
        <v>252</v>
      </c>
      <c r="C7" s="4" t="str">
        <f>IFERROR(VLOOKUP($A7&amp;"|"&amp;$B7,ManualFieldsTable[],4,FALSE),"")</f>
        <v/>
      </c>
      <c r="D7" s="7" t="str">
        <f>IFERROR(INDEX(BasketDataTable[StartTime],MATCH($A7&amp;"|"&amp;$B7,BasketDataTable[RunKey],0)),"")</f>
        <v/>
      </c>
      <c r="E7" s="4" t="str">
        <f>IFERROR(VLOOKUP($A7&amp;"|"&amp;$B7,ManualFieldsTable[],5,FALSE),"")</f>
        <v/>
      </c>
      <c r="F7" s="9" t="str" cm="1">
        <f t="array" ref="F7">IFERROR(LOOKUP(2,1/((BasketDataTable[AccountNumber]=$A7)*(BasketDataTable[RunID]=$B7)),BasketDataTable[RunStartBalance]),"")</f>
        <v/>
      </c>
      <c r="G7" s="4" t="str">
        <f>IFERROR(VLOOKUP($A7&amp;"|"&amp;$B7,ManualFieldsTable[],6,FALSE),"")</f>
        <v/>
      </c>
      <c r="H7" s="4" t="str">
        <f>IFERROR(VLOOKUP($A7&amp;"|"&amp;$B7,ManualFieldsTable[],7,FALSE),"")</f>
        <v/>
      </c>
      <c r="I7" s="3" t="str" cm="1">
        <f t="array" ref="I7">IFERROR(LOOKUP(2,1/((BasketDataTable[AccountNumber]=$A7)*(BasketDataTable[RunID]=$B7)),BasketDataTable[FixedLots]),"")</f>
        <v/>
      </c>
      <c r="J7" s="3" t="str" cm="1">
        <f t="array" ref="J7">IFERROR(LOOKUP(2,1/((BasketDataTable[AccountNumber]=$A7)*(BasketDataTable[RunID]=$B7)),BasketDataTable[PipsStep]),"")</f>
        <v/>
      </c>
      <c r="K7" s="9" t="str" cm="1">
        <f t="array" ref="K7">IFERROR(LOOKUP(2,1/((BasketDataTable[AccountNumber]=$A7)*(BasketDataTable[RunID]=$B7)),BasketDataTable[TakeProfit]),"")</f>
        <v/>
      </c>
      <c r="L7" s="3" t="str" cm="1">
        <f t="array" ref="L7">IFERROR(LOOKUP(2,1/((BasketDataTable[AccountNumber]=$A7)*(BasketDataTable[RunID]=$B7)),BasketDataTable[Tral]),"")</f>
        <v/>
      </c>
      <c r="M7" s="3" t="str" cm="1">
        <f t="array" ref="M7">IFERROR(LOOKUP(2,1/((BasketDataTable[AccountNumber]=$A7)*(BasketDataTable[RunID]=$B7)),BasketDataTable[TralStart]),"")</f>
        <v/>
      </c>
      <c r="N7" s="3" t="str" cm="1">
        <f t="array" ref="N7">IFERROR(LOOKUP(2,1/((BasketDataTable[AccountNumber]=$A7)*(BasketDataTable[RunID]=$B7)),BasketDataTable[MaxSpread]),"")</f>
        <v/>
      </c>
      <c r="O7" s="3" t="str" cm="1">
        <f t="array" ref="O7">IFERROR(LOOKUP(2,1/((BasketDataTable[AccountNumber]=$A7)*(BasketDataTable[RunID]=$B7)),BasketDataTable[TimeStart]),"")</f>
        <v/>
      </c>
      <c r="P7" s="3" t="str" cm="1">
        <f t="array" ref="P7">IFERROR(LOOKUP(2,1/((BasketDataTable[AccountNumber]=$A7)*(BasketDataTable[RunID]=$B7)),BasketDataTable[TimeEnd]),"")</f>
        <v/>
      </c>
      <c r="Q7" s="3" t="str" cm="1">
        <f t="array" ref="Q7">IFERROR(LOOKUP(2,1/((BasketDataTable[AccountNumber]=$A7)*(BasketDataTable[RunID]=$B7)),BasketDataTable[OpenTime]),"")</f>
        <v/>
      </c>
      <c r="R7" s="3" t="str" cm="1">
        <f t="array" ref="R7">IFERROR(LOOKUP(2,1/((BasketDataTable[AccountNumber]=$A7)*(BasketDataTable[RunID]=$B7)),BasketDataTable[SpeedEA]),"")</f>
        <v/>
      </c>
      <c r="S7" s="3" t="str" cm="1">
        <f t="array" ref="S7">IFERROR(LOOKUP(2,1/((BasketDataTable[AccountNumber]=$A7)*(BasketDataTable[RunID]=$B7)),BasketDataTable[NewBasketDelaySeconds]),"")</f>
        <v/>
      </c>
      <c r="T7" s="3" t="str" cm="1">
        <f t="array" ref="T7">IFERROR(LOOKUP(2,1/((BasketDataTable[AccountNumber]=$A7)*(BasketDataTable[RunID]=$B7)),BasketDataTable[UseBasketTrailingTP]),"")</f>
        <v/>
      </c>
      <c r="U7" s="9" t="str" cm="1">
        <f t="array" ref="U7">IFERROR(LOOKUP(2,1/((BasketDataTable[AccountNumber]=$A7)*(BasketDataTable[RunID]=$B7)),BasketDataTable[TrailingStart]),"")</f>
        <v/>
      </c>
      <c r="V7" s="9" t="str" cm="1">
        <f t="array" ref="V7">IFERROR(LOOKUP(2,1/((BasketDataTable[AccountNumber]=$A7)*(BasketDataTable[RunID]=$B7)),BasketDataTable[TrailingStep]),"")</f>
        <v/>
      </c>
      <c r="W7" s="3" t="str" cm="1">
        <f t="array" ref="W7">IFERROR(LOOKUP(2,1/((BasketDataTable[AccountNumber]=$A7)*(BasketDataTable[RunID]=$B7)),BasketDataTable[KillSwitchEnable]),"")</f>
        <v/>
      </c>
      <c r="X7" s="9" t="str" cm="1">
        <f t="array" ref="X7">IFERROR(LOOKUP(2,1/((BasketDataTable[AccountNumber]=$A7)*(BasketDataTable[RunID]=$B7)),BasketDataTable[KillEquityLevel]),"")</f>
        <v/>
      </c>
      <c r="Y7" s="3" t="str" cm="1">
        <f t="array" ref="Y7">IFERROR(LOOKUP(2,1/((BasketDataTable[AccountNumber]=$A7)*(BasketDataTable[RunID]=$B7)),BasketDataTable[KillCooldownMinutes]),"")</f>
        <v/>
      </c>
      <c r="Z7" s="3" t="str" cm="1">
        <f t="array" ref="Z7">IFERROR(LOOKUP(2,1/((BasketDataTable[AccountNumber]=$A7)*(BasketDataTable[RunID]=$B7)),BasketDataTable[MaxOrdersInBasket]),"")</f>
        <v/>
      </c>
      <c r="AA7" s="9" t="str" cm="1">
        <f t="array" ref="AA7">IFERROR(LOOKUP(2,1/((BasketDataTable[AccountNumber]=$A7)*(BasketDataTable[RunID]=$B7)),BasketDataTable[MaxTotalLotsInBasket]),"")</f>
        <v/>
      </c>
      <c r="AB7" s="3" t="str" cm="1">
        <f t="array" ref="AB7">IFERROR(LOOKUP(2,1/((BasketDataTable[AccountNumber]=$A7)*(BasketDataTable[RunID]=$B7)),BasketDataTable[RegimeEnable]),"")</f>
        <v/>
      </c>
      <c r="AC7" s="3" t="str" cm="1">
        <f t="array" ref="AC7">IFERROR(LOOKUP(2,1/((BasketDataTable[AccountNumber]=$A7)*(BasketDataTable[RunID]=$B7)),BasketDataTable[RegimeAction]),"")</f>
        <v/>
      </c>
      <c r="AD7" s="3" t="str" cm="1">
        <f t="array" ref="AD7">IFERROR(LOOKUP(2,1/((BasketDataTable[AccountNumber]=$A7)*(BasketDataTable[RunID]=$B7)),BasketDataTable[EnableRecoveryStepUp]),"")</f>
        <v/>
      </c>
      <c r="AE7" s="3" t="str" cm="1">
        <f t="array" ref="AE7">IFERROR(LOOKUP(2,1/((BasketDataTable[AccountNumber]=$A7)*(BasketDataTable[RunID]=$B7)),BasketDataTable[RecoveryWaitMinutes]),"")</f>
        <v/>
      </c>
      <c r="AF7" s="9" t="str" cm="1">
        <f t="array" ref="AF7">IFERROR(LOOKUP(2,1/((BasketDataTable[AccountNumber]=$A7)*(BasketDataTable[RunID]=$B7)),BasketDataTable[RecoveryMaxTotalLotsInBasket]),"")</f>
        <v/>
      </c>
      <c r="AG7" s="4" t="str">
        <f>IFERROR(VLOOKUP($A7&amp;"|"&amp;$B7,ManualFieldsTable[],8,FALSE),"")</f>
        <v/>
      </c>
      <c r="AH7" s="9">
        <f>IFERROR(SUMIFS(BasketDataTable[ClosePL],BasketDataTable[AccountNumber],$A7,BasketDataTable[RunID],$B7),0)</f>
        <v>0</v>
      </c>
      <c r="AI7" s="3" cm="1">
        <f t="array" ref="AI7">IFERROR(SUMPRODUCT((((BasketDataTable[AccountNumber]=$A7)*(BasketDataTable[RunID]=$B7)))*(BasketDataTable[TradeDate]&lt;&gt;"")/COUNTIFS(BasketDataTable[AccountNumber],BasketDataTable[AccountNumber],BasketDataTable[RunID],BasketDataTable[RunID],BasketDataTable[TradeDate],BasketDataTable[TradeDate])),0)</f>
        <v>0</v>
      </c>
      <c r="AJ7" s="9">
        <f>IFERROR(AH7/AI7,0)</f>
        <v>0</v>
      </c>
      <c r="AK7" s="9" t="str">
        <f t="shared" si="0"/>
        <v/>
      </c>
      <c r="AL7" s="9" t="str">
        <f t="shared" si="0"/>
        <v/>
      </c>
      <c r="AM7" s="9" t="str">
        <f t="shared" si="0"/>
        <v/>
      </c>
      <c r="AN7" s="9">
        <f>IFERROR(AVERAGE(BP7:BY7),0)</f>
        <v>0</v>
      </c>
      <c r="AO7" s="3">
        <f>COUNTIFS(BasketDataTable[AccountNumber],$A7,BasketDataTable[RunID],$B7)</f>
        <v>0</v>
      </c>
      <c r="AP7" s="3">
        <f>COUNTIFS(BasketDataTable[AccountNumber],$A7,BasketDataTable[RunID],$B7,BasketDataTable[ClosePL],"&gt;0")</f>
        <v>0</v>
      </c>
      <c r="AQ7" s="9">
        <f>SUMIFS(BasketDataTable[ClosePL],BasketDataTable[AccountNumber],$A7,BasketDataTable[RunID],$B7,BasketDataTable[ClosePL],"&gt;0")</f>
        <v>0</v>
      </c>
      <c r="AR7" s="3">
        <f>COUNTIFS(BasketDataTable[AccountNumber],$A7,BasketDataTable[RunID],$B7,BasketDataTable[ClosePL],"&lt;0")</f>
        <v>0</v>
      </c>
      <c r="AS7" s="9">
        <f>-SUMIFS(BasketDataTable[ClosePL],BasketDataTable[AccountNumber],$A7,BasketDataTable[RunID],$B7,BasketDataTable[ClosePL],"&lt;0")</f>
        <v>0</v>
      </c>
      <c r="AT7" s="9">
        <f>IFERROR(AH7/AO7,0)</f>
        <v>0</v>
      </c>
      <c r="AU7" s="3">
        <f>SUMIFS(BasketDataTable[TimesNearKill],BasketDataTable[AccountNumber],$A7,BasketDataTable[RunID],$B7)</f>
        <v>0</v>
      </c>
      <c r="AV7" s="3">
        <f>COUNTIFS(BasketDataTable[AccountNumber],$A7,BasketDataTable[RunID],$B7,BasketDataTable[CloseReason],"KILL")</f>
        <v>0</v>
      </c>
      <c r="AW7" s="3">
        <f>COUNTIFS(BasketDataTable[AccountNumber],$A7,BasketDataTable[RunID],$B7,BasketDataTable[MaxOrdersConcurrent],"&gt;=1")</f>
        <v>0</v>
      </c>
      <c r="AX7" s="3">
        <f>COUNTIFS(BasketDataTable[AccountNumber],$A7,BasketDataTable[RunID],$B7,BasketDataTable[MaxOrdersConcurrent],"&gt;=2")</f>
        <v>0</v>
      </c>
      <c r="AY7" s="3">
        <f>COUNTIFS(BasketDataTable[AccountNumber],$A7,BasketDataTable[RunID],$B7,BasketDataTable[MaxOrdersConcurrent],"&gt;=3")</f>
        <v>0</v>
      </c>
      <c r="AZ7" s="3">
        <f>COUNTIFS(BasketDataTable[AccountNumber],$A7,BasketDataTable[RunID],$B7,BasketDataTable[MaxOrdersConcurrent],"&gt;=4")</f>
        <v>0</v>
      </c>
      <c r="BA7" s="3">
        <f>COUNTIFS(BasketDataTable[AccountNumber],$A7,BasketDataTable[RunID],$B7,BasketDataTable[MaxOrdersConcurrent],"&gt;=5")</f>
        <v>0</v>
      </c>
      <c r="BB7" s="3">
        <f>COUNTIFS(BasketDataTable[AccountNumber],$A7,BasketDataTable[RunID],$B7,BasketDataTable[MaxOrdersConcurrent],"&gt;=6")</f>
        <v>0</v>
      </c>
      <c r="BC7" s="3">
        <f>COUNTIFS(BasketDataTable[AccountNumber],$A7,BasketDataTable[RunID],$B7,BasketDataTable[MaxOrdersConcurrent],"&gt;=7")</f>
        <v>0</v>
      </c>
      <c r="BD7" s="3">
        <f>COUNTIFS(BasketDataTable[AccountNumber],$A7,BasketDataTable[RunID],$B7,BasketDataTable[MaxOrdersConcurrent],"&gt;=8")</f>
        <v>0</v>
      </c>
      <c r="BE7" s="3">
        <f>COUNTIFS(BasketDataTable[AccountNumber],$A7,BasketDataTable[RunID],$B7,BasketDataTable[MaxOrdersConcurrent],"&gt;=9")</f>
        <v>0</v>
      </c>
      <c r="BF7" s="3">
        <f>COUNTIFS(BasketDataTable[AccountNumber],$A7,BasketDataTable[RunID],$B7,BasketDataTable[MaxOrdersConcurrent],"&gt;=10")</f>
        <v>0</v>
      </c>
      <c r="BG7" s="3" cm="1">
        <f t="array" ref="BG7">SUMPRODUCT(((BasketDataTable[AccountNumber]=$A7)*(BasketDataTable[RunID]=$B7))*(BasketDataTable[MaxTotalLotsInBasket]&gt;0)*(BasketDataTable[MaxTotalLots]&gt;=BasketDataTable[MaxTotalLotsInBasket]))</f>
        <v>0</v>
      </c>
      <c r="BH7" s="9">
        <f>IFERROR(AH7/AN7,0)</f>
        <v>0</v>
      </c>
      <c r="BI7" s="9">
        <f>IFERROR(AQ7/AP7,0)</f>
        <v>0</v>
      </c>
      <c r="BJ7" s="9">
        <f>IFERROR(AS7/AR7,0)</f>
        <v>0</v>
      </c>
      <c r="BK7" s="11">
        <f>IFERROR(AP7/AO7,0)</f>
        <v>0</v>
      </c>
      <c r="BL7" s="11">
        <f>IFERROR(AR7/AO7,0)</f>
        <v>0</v>
      </c>
      <c r="BM7" s="9">
        <f>(BI7*BK7)-(BJ7*BL7)</f>
        <v>0</v>
      </c>
      <c r="BN7" s="9">
        <f>IFERROR(AJ7/AN7,0)</f>
        <v>0</v>
      </c>
      <c r="BO7" s="3" t="str" cm="1">
        <f t="array" ref="BO7">IF(AO7=0,"No basket data",IF(SUMPRODUCT(((BasketDataTable[AccountNumber]=$A7)*(BasketDataTable[RunID]=$B7)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No basket data</v>
      </c>
      <c r="BP7" t="str" cm="1">
        <f t="array" ref="BP7">IF($AO7&gt;=1,IFERROR(_xlfn.AGGREGATE(14,6,BasketDataTable[MaxFloatingDrawdownAbs]/((BasketDataTable[AccountNumber]=$A7)*(BasketDataTable[RunID]=$B7)),1),""),"")</f>
        <v/>
      </c>
      <c r="BQ7" t="str" cm="1">
        <f t="array" ref="BQ7">IF($AO7&gt;=2,IFERROR(_xlfn.AGGREGATE(14,6,BasketDataTable[MaxFloatingDrawdownAbs]/((BasketDataTable[AccountNumber]=$A7)*(BasketDataTable[RunID]=$B7)),2),""),"")</f>
        <v/>
      </c>
      <c r="BR7" t="str" cm="1">
        <f t="array" ref="BR7">IF($AO7&gt;=3,IFERROR(_xlfn.AGGREGATE(14,6,BasketDataTable[MaxFloatingDrawdownAbs]/((BasketDataTable[AccountNumber]=$A7)*(BasketDataTable[RunID]=$B7)),3),""),"")</f>
        <v/>
      </c>
      <c r="BS7" t="str" cm="1">
        <f t="array" ref="BS7">IF($AO7&gt;=4,IFERROR(_xlfn.AGGREGATE(14,6,BasketDataTable[MaxFloatingDrawdownAbs]/((BasketDataTable[AccountNumber]=$A7)*(BasketDataTable[RunID]=$B7)),4),""),"")</f>
        <v/>
      </c>
      <c r="BT7" t="str" cm="1">
        <f t="array" ref="BT7">IF($AO7&gt;=5,IFERROR(_xlfn.AGGREGATE(14,6,BasketDataTable[MaxFloatingDrawdownAbs]/((BasketDataTable[AccountNumber]=$A7)*(BasketDataTable[RunID]=$B7)),5),""),"")</f>
        <v/>
      </c>
      <c r="BU7" t="str" cm="1">
        <f t="array" ref="BU7">IF($AO7&gt;=6,IFERROR(_xlfn.AGGREGATE(14,6,BasketDataTable[MaxFloatingDrawdownAbs]/((BasketDataTable[AccountNumber]=$A7)*(BasketDataTable[RunID]=$B7)),6),""),"")</f>
        <v/>
      </c>
      <c r="BV7" t="str" cm="1">
        <f t="array" ref="BV7">IF($AO7&gt;=7,IFERROR(_xlfn.AGGREGATE(14,6,BasketDataTable[MaxFloatingDrawdownAbs]/((BasketDataTable[AccountNumber]=$A7)*(BasketDataTable[RunID]=$B7)),7),""),"")</f>
        <v/>
      </c>
      <c r="BW7" t="str" cm="1">
        <f t="array" ref="BW7">IF($AO7&gt;=8,IFERROR(_xlfn.AGGREGATE(14,6,BasketDataTable[MaxFloatingDrawdownAbs]/((BasketDataTable[AccountNumber]=$A7)*(BasketDataTable[RunID]=$B7)),8),""),"")</f>
        <v/>
      </c>
      <c r="BX7" t="str" cm="1">
        <f t="array" ref="BX7">IF($AO7&gt;=9,IFERROR(_xlfn.AGGREGATE(14,6,BasketDataTable[MaxFloatingDrawdownAbs]/((BasketDataTable[AccountNumber]=$A7)*(BasketDataTable[RunID]=$B7)),9),""),"")</f>
        <v/>
      </c>
      <c r="BY7" t="str" cm="1">
        <f t="array" ref="BY7">IF($AO7&gt;=10,IFERROR(_xlfn.AGGREGATE(14,6,BasketDataTable[MaxFloatingDrawdownAbs]/((BasketDataTable[AccountNumber]=$A7)*(BasketDataTable[RunID]=$B7)),10),""),"")</f>
        <v/>
      </c>
    </row>
    <row r="8" spans="1:77" ht="57">
      <c r="A8" s="22" t="s">
        <v>245</v>
      </c>
      <c r="B8" s="22" t="s">
        <v>253</v>
      </c>
      <c r="C8" s="4" t="str">
        <f>IFERROR(VLOOKUP($A8&amp;"|"&amp;$B8,ManualFieldsTable[],4,FALSE),"")</f>
        <v/>
      </c>
      <c r="D8" s="7" t="str">
        <f>IFERROR(INDEX(BasketDataTable[StartTime],MATCH($A8&amp;"|"&amp;$B8,BasketDataTable[RunKey],0)),"")</f>
        <v/>
      </c>
      <c r="E8" s="4" t="str">
        <f>IFERROR(VLOOKUP($A8&amp;"|"&amp;$B8,ManualFieldsTable[],5,FALSE),"")</f>
        <v/>
      </c>
      <c r="F8" s="9" t="str" cm="1">
        <f t="array" ref="F8">IFERROR(LOOKUP(2,1/((BasketDataTable[AccountNumber]=$A8)*(BasketDataTable[RunID]=$B8)),BasketDataTable[RunStartBalance]),"")</f>
        <v/>
      </c>
      <c r="G8" s="4" t="str">
        <f>IFERROR(VLOOKUP($A8&amp;"|"&amp;$B8,ManualFieldsTable[],6,FALSE),"")</f>
        <v/>
      </c>
      <c r="H8" s="4" t="str">
        <f>IFERROR(VLOOKUP($A8&amp;"|"&amp;$B8,ManualFieldsTable[],7,FALSE),"")</f>
        <v/>
      </c>
      <c r="I8" s="3" t="str" cm="1">
        <f t="array" ref="I8">IFERROR(LOOKUP(2,1/((BasketDataTable[AccountNumber]=$A8)*(BasketDataTable[RunID]=$B8)),BasketDataTable[FixedLots]),"")</f>
        <v/>
      </c>
      <c r="J8" s="3" t="str" cm="1">
        <f t="array" ref="J8">IFERROR(LOOKUP(2,1/((BasketDataTable[AccountNumber]=$A8)*(BasketDataTable[RunID]=$B8)),BasketDataTable[PipsStep]),"")</f>
        <v/>
      </c>
      <c r="K8" s="9" t="str" cm="1">
        <f t="array" ref="K8">IFERROR(LOOKUP(2,1/((BasketDataTable[AccountNumber]=$A8)*(BasketDataTable[RunID]=$B8)),BasketDataTable[TakeProfit]),"")</f>
        <v/>
      </c>
      <c r="L8" s="3" t="str" cm="1">
        <f t="array" ref="L8">IFERROR(LOOKUP(2,1/((BasketDataTable[AccountNumber]=$A8)*(BasketDataTable[RunID]=$B8)),BasketDataTable[Tral]),"")</f>
        <v/>
      </c>
      <c r="M8" s="3" t="str" cm="1">
        <f t="array" ref="M8">IFERROR(LOOKUP(2,1/((BasketDataTable[AccountNumber]=$A8)*(BasketDataTable[RunID]=$B8)),BasketDataTable[TralStart]),"")</f>
        <v/>
      </c>
      <c r="N8" s="3" t="str" cm="1">
        <f t="array" ref="N8">IFERROR(LOOKUP(2,1/((BasketDataTable[AccountNumber]=$A8)*(BasketDataTable[RunID]=$B8)),BasketDataTable[MaxSpread]),"")</f>
        <v/>
      </c>
      <c r="O8" s="3" t="str" cm="1">
        <f t="array" ref="O8">IFERROR(LOOKUP(2,1/((BasketDataTable[AccountNumber]=$A8)*(BasketDataTable[RunID]=$B8)),BasketDataTable[TimeStart]),"")</f>
        <v/>
      </c>
      <c r="P8" s="3" t="str" cm="1">
        <f t="array" ref="P8">IFERROR(LOOKUP(2,1/((BasketDataTable[AccountNumber]=$A8)*(BasketDataTable[RunID]=$B8)),BasketDataTable[TimeEnd]),"")</f>
        <v/>
      </c>
      <c r="Q8" s="3" t="str" cm="1">
        <f t="array" ref="Q8">IFERROR(LOOKUP(2,1/((BasketDataTable[AccountNumber]=$A8)*(BasketDataTable[RunID]=$B8)),BasketDataTable[OpenTime]),"")</f>
        <v/>
      </c>
      <c r="R8" s="3" t="str" cm="1">
        <f t="array" ref="R8">IFERROR(LOOKUP(2,1/((BasketDataTable[AccountNumber]=$A8)*(BasketDataTable[RunID]=$B8)),BasketDataTable[SpeedEA]),"")</f>
        <v/>
      </c>
      <c r="S8" s="3" t="str" cm="1">
        <f t="array" ref="S8">IFERROR(LOOKUP(2,1/((BasketDataTable[AccountNumber]=$A8)*(BasketDataTable[RunID]=$B8)),BasketDataTable[NewBasketDelaySeconds]),"")</f>
        <v/>
      </c>
      <c r="T8" s="3" t="str" cm="1">
        <f t="array" ref="T8">IFERROR(LOOKUP(2,1/((BasketDataTable[AccountNumber]=$A8)*(BasketDataTable[RunID]=$B8)),BasketDataTable[UseBasketTrailingTP]),"")</f>
        <v/>
      </c>
      <c r="U8" s="9" t="str" cm="1">
        <f t="array" ref="U8">IFERROR(LOOKUP(2,1/((BasketDataTable[AccountNumber]=$A8)*(BasketDataTable[RunID]=$B8)),BasketDataTable[TrailingStart]),"")</f>
        <v/>
      </c>
      <c r="V8" s="9" t="str" cm="1">
        <f t="array" ref="V8">IFERROR(LOOKUP(2,1/((BasketDataTable[AccountNumber]=$A8)*(BasketDataTable[RunID]=$B8)),BasketDataTable[TrailingStep]),"")</f>
        <v/>
      </c>
      <c r="W8" s="3" t="str" cm="1">
        <f t="array" ref="W8">IFERROR(LOOKUP(2,1/((BasketDataTable[AccountNumber]=$A8)*(BasketDataTable[RunID]=$B8)),BasketDataTable[KillSwitchEnable]),"")</f>
        <v/>
      </c>
      <c r="X8" s="9" t="str" cm="1">
        <f t="array" ref="X8">IFERROR(LOOKUP(2,1/((BasketDataTable[AccountNumber]=$A8)*(BasketDataTable[RunID]=$B8)),BasketDataTable[KillEquityLevel]),"")</f>
        <v/>
      </c>
      <c r="Y8" s="3" t="str" cm="1">
        <f t="array" ref="Y8">IFERROR(LOOKUP(2,1/((BasketDataTable[AccountNumber]=$A8)*(BasketDataTable[RunID]=$B8)),BasketDataTable[KillCooldownMinutes]),"")</f>
        <v/>
      </c>
      <c r="Z8" s="3" t="str" cm="1">
        <f t="array" ref="Z8">IFERROR(LOOKUP(2,1/((BasketDataTable[AccountNumber]=$A8)*(BasketDataTable[RunID]=$B8)),BasketDataTable[MaxOrdersInBasket]),"")</f>
        <v/>
      </c>
      <c r="AA8" s="9" t="str" cm="1">
        <f t="array" ref="AA8">IFERROR(LOOKUP(2,1/((BasketDataTable[AccountNumber]=$A8)*(BasketDataTable[RunID]=$B8)),BasketDataTable[MaxTotalLotsInBasket]),"")</f>
        <v/>
      </c>
      <c r="AB8" s="3" t="str" cm="1">
        <f t="array" ref="AB8">IFERROR(LOOKUP(2,1/((BasketDataTable[AccountNumber]=$A8)*(BasketDataTable[RunID]=$B8)),BasketDataTable[RegimeEnable]),"")</f>
        <v/>
      </c>
      <c r="AC8" s="3" t="str" cm="1">
        <f t="array" ref="AC8">IFERROR(LOOKUP(2,1/((BasketDataTable[AccountNumber]=$A8)*(BasketDataTable[RunID]=$B8)),BasketDataTable[RegimeAction]),"")</f>
        <v/>
      </c>
      <c r="AD8" s="3" t="str" cm="1">
        <f t="array" ref="AD8">IFERROR(LOOKUP(2,1/((BasketDataTable[AccountNumber]=$A8)*(BasketDataTable[RunID]=$B8)),BasketDataTable[EnableRecoveryStepUp]),"")</f>
        <v/>
      </c>
      <c r="AE8" s="3" t="str" cm="1">
        <f t="array" ref="AE8">IFERROR(LOOKUP(2,1/((BasketDataTable[AccountNumber]=$A8)*(BasketDataTable[RunID]=$B8)),BasketDataTable[RecoveryWaitMinutes]),"")</f>
        <v/>
      </c>
      <c r="AF8" s="9" t="str" cm="1">
        <f t="array" ref="AF8">IFERROR(LOOKUP(2,1/((BasketDataTable[AccountNumber]=$A8)*(BasketDataTable[RunID]=$B8)),BasketDataTable[RecoveryMaxTotalLotsInBasket]),"")</f>
        <v/>
      </c>
      <c r="AG8" s="4" t="str">
        <f>IFERROR(VLOOKUP($A8&amp;"|"&amp;$B8,ManualFieldsTable[],8,FALSE),"")</f>
        <v/>
      </c>
      <c r="AH8" s="9">
        <f>IFERROR(SUMIFS(BasketDataTable[ClosePL],BasketDataTable[AccountNumber],$A8,BasketDataTable[RunID],$B8),0)</f>
        <v>0</v>
      </c>
      <c r="AI8" s="3" cm="1">
        <f t="array" ref="AI8">IFERROR(SUMPRODUCT((((BasketDataTable[AccountNumber]=$A8)*(BasketDataTable[RunID]=$B8)))*(BasketDataTable[TradeDate]&lt;&gt;"")/COUNTIFS(BasketDataTable[AccountNumber],BasketDataTable[AccountNumber],BasketDataTable[RunID],BasketDataTable[RunID],BasketDataTable[TradeDate],BasketDataTable[TradeDate])),0)</f>
        <v>0</v>
      </c>
      <c r="AJ8" s="9">
        <f>IFERROR(AH8/AI8,0)</f>
        <v>0</v>
      </c>
      <c r="AK8" s="9" t="str">
        <f t="shared" si="0"/>
        <v/>
      </c>
      <c r="AL8" s="9" t="str">
        <f t="shared" si="0"/>
        <v/>
      </c>
      <c r="AM8" s="9" t="str">
        <f t="shared" si="0"/>
        <v/>
      </c>
      <c r="AN8" s="9">
        <f>IFERROR(AVERAGE(BP8:BY8),0)</f>
        <v>0</v>
      </c>
      <c r="AO8" s="3">
        <f>COUNTIFS(BasketDataTable[AccountNumber],$A8,BasketDataTable[RunID],$B8)</f>
        <v>0</v>
      </c>
      <c r="AP8" s="3">
        <f>COUNTIFS(BasketDataTable[AccountNumber],$A8,BasketDataTable[RunID],$B8,BasketDataTable[ClosePL],"&gt;0")</f>
        <v>0</v>
      </c>
      <c r="AQ8" s="9">
        <f>SUMIFS(BasketDataTable[ClosePL],BasketDataTable[AccountNumber],$A8,BasketDataTable[RunID],$B8,BasketDataTable[ClosePL],"&gt;0")</f>
        <v>0</v>
      </c>
      <c r="AR8" s="3">
        <f>COUNTIFS(BasketDataTable[AccountNumber],$A8,BasketDataTable[RunID],$B8,BasketDataTable[ClosePL],"&lt;0")</f>
        <v>0</v>
      </c>
      <c r="AS8" s="9">
        <f>-SUMIFS(BasketDataTable[ClosePL],BasketDataTable[AccountNumber],$A8,BasketDataTable[RunID],$B8,BasketDataTable[ClosePL],"&lt;0")</f>
        <v>0</v>
      </c>
      <c r="AT8" s="9">
        <f>IFERROR(AH8/AO8,0)</f>
        <v>0</v>
      </c>
      <c r="AU8" s="3">
        <f>SUMIFS(BasketDataTable[TimesNearKill],BasketDataTable[AccountNumber],$A8,BasketDataTable[RunID],$B8)</f>
        <v>0</v>
      </c>
      <c r="AV8" s="3">
        <f>COUNTIFS(BasketDataTable[AccountNumber],$A8,BasketDataTable[RunID],$B8,BasketDataTable[CloseReason],"KILL")</f>
        <v>0</v>
      </c>
      <c r="AW8" s="3">
        <f>COUNTIFS(BasketDataTable[AccountNumber],$A8,BasketDataTable[RunID],$B8,BasketDataTable[MaxOrdersConcurrent],"&gt;=1")</f>
        <v>0</v>
      </c>
      <c r="AX8" s="3">
        <f>COUNTIFS(BasketDataTable[AccountNumber],$A8,BasketDataTable[RunID],$B8,BasketDataTable[MaxOrdersConcurrent],"&gt;=2")</f>
        <v>0</v>
      </c>
      <c r="AY8" s="3">
        <f>COUNTIFS(BasketDataTable[AccountNumber],$A8,BasketDataTable[RunID],$B8,BasketDataTable[MaxOrdersConcurrent],"&gt;=3")</f>
        <v>0</v>
      </c>
      <c r="AZ8" s="3">
        <f>COUNTIFS(BasketDataTable[AccountNumber],$A8,BasketDataTable[RunID],$B8,BasketDataTable[MaxOrdersConcurrent],"&gt;=4")</f>
        <v>0</v>
      </c>
      <c r="BA8" s="3">
        <f>COUNTIFS(BasketDataTable[AccountNumber],$A8,BasketDataTable[RunID],$B8,BasketDataTable[MaxOrdersConcurrent],"&gt;=5")</f>
        <v>0</v>
      </c>
      <c r="BB8" s="3">
        <f>COUNTIFS(BasketDataTable[AccountNumber],$A8,BasketDataTable[RunID],$B8,BasketDataTable[MaxOrdersConcurrent],"&gt;=6")</f>
        <v>0</v>
      </c>
      <c r="BC8" s="3">
        <f>COUNTIFS(BasketDataTable[AccountNumber],$A8,BasketDataTable[RunID],$B8,BasketDataTable[MaxOrdersConcurrent],"&gt;=7")</f>
        <v>0</v>
      </c>
      <c r="BD8" s="3">
        <f>COUNTIFS(BasketDataTable[AccountNumber],$A8,BasketDataTable[RunID],$B8,BasketDataTable[MaxOrdersConcurrent],"&gt;=8")</f>
        <v>0</v>
      </c>
      <c r="BE8" s="3">
        <f>COUNTIFS(BasketDataTable[AccountNumber],$A8,BasketDataTable[RunID],$B8,BasketDataTable[MaxOrdersConcurrent],"&gt;=9")</f>
        <v>0</v>
      </c>
      <c r="BF8" s="3">
        <f>COUNTIFS(BasketDataTable[AccountNumber],$A8,BasketDataTable[RunID],$B8,BasketDataTable[MaxOrdersConcurrent],"&gt;=10")</f>
        <v>0</v>
      </c>
      <c r="BG8" s="3" cm="1">
        <f t="array" ref="BG8">SUMPRODUCT(((BasketDataTable[AccountNumber]=$A8)*(BasketDataTable[RunID]=$B8))*(BasketDataTable[MaxTotalLotsInBasket]&gt;0)*(BasketDataTable[MaxTotalLots]&gt;=BasketDataTable[MaxTotalLotsInBasket]))</f>
        <v>0</v>
      </c>
      <c r="BH8" s="9">
        <f>IFERROR(AH8/AN8,0)</f>
        <v>0</v>
      </c>
      <c r="BI8" s="9">
        <f>IFERROR(AQ8/AP8,0)</f>
        <v>0</v>
      </c>
      <c r="BJ8" s="9">
        <f>IFERROR(AS8/AR8,0)</f>
        <v>0</v>
      </c>
      <c r="BK8" s="11">
        <f>IFERROR(AP8/AO8,0)</f>
        <v>0</v>
      </c>
      <c r="BL8" s="11">
        <f>IFERROR(AR8/AO8,0)</f>
        <v>0</v>
      </c>
      <c r="BM8" s="9">
        <f>(BI8*BK8)-(BJ8*BL8)</f>
        <v>0</v>
      </c>
      <c r="BN8" s="9">
        <f>IFERROR(AJ8/AN8,0)</f>
        <v>0</v>
      </c>
      <c r="BO8" s="3" t="str" cm="1">
        <f t="array" ref="BO8">IF(AO8=0,"No basket data",IF(SUMPRODUCT(((BasketDataTable[AccountNumber]=$A8)*(BasketDataTable[RunID]=$B8)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No basket data</v>
      </c>
      <c r="BP8" t="str" cm="1">
        <f t="array" ref="BP8">IF($AO8&gt;=1,IFERROR(_xlfn.AGGREGATE(14,6,BasketDataTable[MaxFloatingDrawdownAbs]/((BasketDataTable[AccountNumber]=$A8)*(BasketDataTable[RunID]=$B8)),1),""),"")</f>
        <v/>
      </c>
      <c r="BQ8" t="str" cm="1">
        <f t="array" ref="BQ8">IF($AO8&gt;=2,IFERROR(_xlfn.AGGREGATE(14,6,BasketDataTable[MaxFloatingDrawdownAbs]/((BasketDataTable[AccountNumber]=$A8)*(BasketDataTable[RunID]=$B8)),2),""),"")</f>
        <v/>
      </c>
      <c r="BR8" t="str" cm="1">
        <f t="array" ref="BR8">IF($AO8&gt;=3,IFERROR(_xlfn.AGGREGATE(14,6,BasketDataTable[MaxFloatingDrawdownAbs]/((BasketDataTable[AccountNumber]=$A8)*(BasketDataTable[RunID]=$B8)),3),""),"")</f>
        <v/>
      </c>
      <c r="BS8" t="str" cm="1">
        <f t="array" ref="BS8">IF($AO8&gt;=4,IFERROR(_xlfn.AGGREGATE(14,6,BasketDataTable[MaxFloatingDrawdownAbs]/((BasketDataTable[AccountNumber]=$A8)*(BasketDataTable[RunID]=$B8)),4),""),"")</f>
        <v/>
      </c>
      <c r="BT8" t="str" cm="1">
        <f t="array" ref="BT8">IF($AO8&gt;=5,IFERROR(_xlfn.AGGREGATE(14,6,BasketDataTable[MaxFloatingDrawdownAbs]/((BasketDataTable[AccountNumber]=$A8)*(BasketDataTable[RunID]=$B8)),5),""),"")</f>
        <v/>
      </c>
      <c r="BU8" t="str" cm="1">
        <f t="array" ref="BU8">IF($AO8&gt;=6,IFERROR(_xlfn.AGGREGATE(14,6,BasketDataTable[MaxFloatingDrawdownAbs]/((BasketDataTable[AccountNumber]=$A8)*(BasketDataTable[RunID]=$B8)),6),""),"")</f>
        <v/>
      </c>
      <c r="BV8" t="str" cm="1">
        <f t="array" ref="BV8">IF($AO8&gt;=7,IFERROR(_xlfn.AGGREGATE(14,6,BasketDataTable[MaxFloatingDrawdownAbs]/((BasketDataTable[AccountNumber]=$A8)*(BasketDataTable[RunID]=$B8)),7),""),"")</f>
        <v/>
      </c>
      <c r="BW8" t="str" cm="1">
        <f t="array" ref="BW8">IF($AO8&gt;=8,IFERROR(_xlfn.AGGREGATE(14,6,BasketDataTable[MaxFloatingDrawdownAbs]/((BasketDataTable[AccountNumber]=$A8)*(BasketDataTable[RunID]=$B8)),8),""),"")</f>
        <v/>
      </c>
      <c r="BX8" t="str" cm="1">
        <f t="array" ref="BX8">IF($AO8&gt;=9,IFERROR(_xlfn.AGGREGATE(14,6,BasketDataTable[MaxFloatingDrawdownAbs]/((BasketDataTable[AccountNumber]=$A8)*(BasketDataTable[RunID]=$B8)),9),""),"")</f>
        <v/>
      </c>
      <c r="BY8" t="str" cm="1">
        <f t="array" ref="BY8">IF($AO8&gt;=10,IFERROR(_xlfn.AGGREGATE(14,6,BasketDataTable[MaxFloatingDrawdownAbs]/((BasketDataTable[AccountNumber]=$A8)*(BasketDataTable[RunID]=$B8)),10),""),"")</f>
        <v/>
      </c>
    </row>
    <row r="9" spans="1:77">
      <c r="A9" s="3"/>
      <c r="B9" s="3"/>
      <c r="C9" s="4"/>
      <c r="D9" s="7"/>
      <c r="E9" s="4"/>
      <c r="F9" s="9"/>
      <c r="G9" s="4"/>
      <c r="H9" s="4"/>
      <c r="I9" s="3"/>
      <c r="J9" s="3"/>
      <c r="K9" s="9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3"/>
      <c r="X9" s="9"/>
      <c r="Y9" s="3"/>
      <c r="Z9" s="3"/>
      <c r="AA9" s="9"/>
      <c r="AB9" s="3"/>
      <c r="AC9" s="3"/>
      <c r="AD9" s="3"/>
      <c r="AE9" s="3"/>
      <c r="AF9" s="9"/>
      <c r="AG9" s="4"/>
      <c r="AH9" s="9"/>
      <c r="AI9" s="3"/>
      <c r="AJ9" s="9"/>
      <c r="AK9" s="9"/>
      <c r="AL9" s="9"/>
      <c r="AM9" s="9"/>
      <c r="AN9" s="9"/>
      <c r="AO9" s="3"/>
      <c r="AP9" s="3"/>
      <c r="AQ9" s="9"/>
      <c r="AR9" s="3"/>
      <c r="AS9" s="9"/>
      <c r="AT9" s="9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9"/>
      <c r="BI9" s="9"/>
      <c r="BJ9" s="9"/>
      <c r="BK9" s="11"/>
      <c r="BL9" s="11"/>
      <c r="BM9" s="9"/>
      <c r="BN9" s="9"/>
      <c r="BO9" s="3"/>
    </row>
    <row r="10" spans="1:77">
      <c r="A10" s="3"/>
      <c r="B10" s="3"/>
      <c r="C10" s="4"/>
      <c r="D10" s="7"/>
      <c r="E10" s="4"/>
      <c r="F10" s="9"/>
      <c r="G10" s="4"/>
      <c r="H10" s="4"/>
      <c r="I10" s="3"/>
      <c r="J10" s="3"/>
      <c r="K10" s="9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3"/>
      <c r="X10" s="9"/>
      <c r="Y10" s="3"/>
      <c r="Z10" s="3"/>
      <c r="AA10" s="9"/>
      <c r="AB10" s="3"/>
      <c r="AC10" s="3"/>
      <c r="AD10" s="3"/>
      <c r="AE10" s="3"/>
      <c r="AF10" s="9"/>
      <c r="AG10" s="4"/>
      <c r="AH10" s="9"/>
      <c r="AI10" s="3"/>
      <c r="AJ10" s="9"/>
      <c r="AK10" s="9"/>
      <c r="AL10" s="9"/>
      <c r="AM10" s="9"/>
      <c r="AN10" s="9"/>
      <c r="AO10" s="3"/>
      <c r="AP10" s="3"/>
      <c r="AQ10" s="9"/>
      <c r="AR10" s="3"/>
      <c r="AS10" s="9"/>
      <c r="AT10" s="9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9"/>
      <c r="BI10" s="9"/>
      <c r="BJ10" s="9"/>
      <c r="BK10" s="11"/>
      <c r="BL10" s="11"/>
      <c r="BM10" s="9"/>
      <c r="BN10" s="9"/>
      <c r="BO10" s="3"/>
    </row>
    <row r="11" spans="1:77">
      <c r="A11" s="3"/>
      <c r="B11" s="3"/>
      <c r="C11" s="4"/>
      <c r="D11" s="7"/>
      <c r="E11" s="4"/>
      <c r="F11" s="9"/>
      <c r="G11" s="4"/>
      <c r="H11" s="4"/>
      <c r="I11" s="3"/>
      <c r="J11" s="3"/>
      <c r="K11" s="9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3"/>
      <c r="X11" s="9"/>
      <c r="Y11" s="3"/>
      <c r="Z11" s="3"/>
      <c r="AA11" s="9"/>
      <c r="AB11" s="3"/>
      <c r="AC11" s="3"/>
      <c r="AD11" s="3"/>
      <c r="AE11" s="3"/>
      <c r="AF11" s="9"/>
      <c r="AG11" s="4"/>
      <c r="AH11" s="9"/>
      <c r="AI11" s="3"/>
      <c r="AJ11" s="9"/>
      <c r="AK11" s="9"/>
      <c r="AL11" s="9"/>
      <c r="AM11" s="9"/>
      <c r="AN11" s="9"/>
      <c r="AO11" s="3"/>
      <c r="AP11" s="3"/>
      <c r="AQ11" s="9"/>
      <c r="AR11" s="3"/>
      <c r="AS11" s="9"/>
      <c r="AT11" s="9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9"/>
      <c r="BI11" s="9"/>
      <c r="BJ11" s="9"/>
      <c r="BK11" s="11"/>
      <c r="BL11" s="11"/>
      <c r="BM11" s="9"/>
      <c r="BN11" s="9"/>
      <c r="BO11" s="3"/>
    </row>
    <row r="12" spans="1:77">
      <c r="A12" s="3"/>
      <c r="B12" s="3"/>
      <c r="C12" s="4"/>
      <c r="D12" s="7"/>
      <c r="E12" s="4"/>
      <c r="F12" s="9"/>
      <c r="G12" s="4"/>
      <c r="H12" s="4"/>
      <c r="I12" s="3"/>
      <c r="J12" s="3"/>
      <c r="K12" s="9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3"/>
      <c r="X12" s="9"/>
      <c r="Y12" s="3"/>
      <c r="Z12" s="3"/>
      <c r="AA12" s="9"/>
      <c r="AB12" s="3"/>
      <c r="AC12" s="3"/>
      <c r="AD12" s="3"/>
      <c r="AE12" s="3"/>
      <c r="AF12" s="9"/>
      <c r="AG12" s="4"/>
      <c r="AH12" s="9"/>
      <c r="AI12" s="3"/>
      <c r="AJ12" s="9"/>
      <c r="AK12" s="9"/>
      <c r="AL12" s="9"/>
      <c r="AM12" s="9"/>
      <c r="AN12" s="9"/>
      <c r="AO12" s="3"/>
      <c r="AP12" s="3"/>
      <c r="AQ12" s="9"/>
      <c r="AR12" s="3"/>
      <c r="AS12" s="9"/>
      <c r="AT12" s="9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9"/>
      <c r="BI12" s="9"/>
      <c r="BJ12" s="9"/>
      <c r="BK12" s="11"/>
      <c r="BL12" s="11"/>
      <c r="BM12" s="9"/>
      <c r="BN12" s="9"/>
      <c r="BO12" s="3"/>
    </row>
    <row r="13" spans="1:77">
      <c r="A13" s="3"/>
      <c r="B13" s="3"/>
      <c r="C13" s="4"/>
      <c r="D13" s="7"/>
      <c r="E13" s="4"/>
      <c r="F13" s="9"/>
      <c r="G13" s="4"/>
      <c r="H13" s="4"/>
      <c r="I13" s="3"/>
      <c r="J13" s="3"/>
      <c r="K13" s="9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3"/>
      <c r="X13" s="9"/>
      <c r="Y13" s="3"/>
      <c r="Z13" s="3"/>
      <c r="AA13" s="9"/>
      <c r="AB13" s="3"/>
      <c r="AC13" s="3"/>
      <c r="AD13" s="3"/>
      <c r="AE13" s="3"/>
      <c r="AF13" s="9"/>
      <c r="AG13" s="4"/>
      <c r="AH13" s="9"/>
      <c r="AI13" s="3"/>
      <c r="AJ13" s="9"/>
      <c r="AK13" s="9"/>
      <c r="AL13" s="9"/>
      <c r="AM13" s="9"/>
      <c r="AN13" s="9"/>
      <c r="AO13" s="3"/>
      <c r="AP13" s="3"/>
      <c r="AQ13" s="9"/>
      <c r="AR13" s="3"/>
      <c r="AS13" s="9"/>
      <c r="AT13" s="9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9"/>
      <c r="BI13" s="9"/>
      <c r="BJ13" s="9"/>
      <c r="BK13" s="11"/>
      <c r="BL13" s="11"/>
      <c r="BM13" s="9"/>
      <c r="BN13" s="9"/>
      <c r="BO13" s="3"/>
    </row>
    <row r="14" spans="1:77">
      <c r="A14" s="3"/>
      <c r="B14" s="3"/>
      <c r="C14" s="4"/>
      <c r="D14" s="7"/>
      <c r="E14" s="4"/>
      <c r="F14" s="9"/>
      <c r="G14" s="4"/>
      <c r="H14" s="4"/>
      <c r="I14" s="3"/>
      <c r="J14" s="3"/>
      <c r="K14" s="9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3"/>
      <c r="X14" s="9"/>
      <c r="Y14" s="3"/>
      <c r="Z14" s="3"/>
      <c r="AA14" s="9"/>
      <c r="AB14" s="3"/>
      <c r="AC14" s="3"/>
      <c r="AD14" s="3"/>
      <c r="AE14" s="3"/>
      <c r="AF14" s="9"/>
      <c r="AG14" s="4"/>
      <c r="AH14" s="9"/>
      <c r="AI14" s="3"/>
      <c r="AJ14" s="9"/>
      <c r="AK14" s="9"/>
      <c r="AL14" s="9"/>
      <c r="AM14" s="9"/>
      <c r="AN14" s="9"/>
      <c r="AO14" s="3"/>
      <c r="AP14" s="3"/>
      <c r="AQ14" s="9"/>
      <c r="AR14" s="3"/>
      <c r="AS14" s="9"/>
      <c r="AT14" s="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9"/>
      <c r="BI14" s="9"/>
      <c r="BJ14" s="9"/>
      <c r="BK14" s="11"/>
      <c r="BL14" s="11"/>
      <c r="BM14" s="9"/>
      <c r="BN14" s="9"/>
      <c r="BO14" s="3"/>
    </row>
    <row r="15" spans="1:77">
      <c r="A15" s="3"/>
      <c r="B15" s="3"/>
      <c r="C15" s="4"/>
      <c r="D15" s="7"/>
      <c r="E15" s="4"/>
      <c r="F15" s="9"/>
      <c r="G15" s="4"/>
      <c r="H15" s="4"/>
      <c r="I15" s="3"/>
      <c r="J15" s="3"/>
      <c r="K15" s="9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3"/>
      <c r="X15" s="9"/>
      <c r="Y15" s="3"/>
      <c r="Z15" s="3"/>
      <c r="AA15" s="9"/>
      <c r="AB15" s="3"/>
      <c r="AC15" s="3"/>
      <c r="AD15" s="3"/>
      <c r="AE15" s="3"/>
      <c r="AF15" s="9"/>
      <c r="AG15" s="4"/>
      <c r="AH15" s="9"/>
      <c r="AI15" s="3"/>
      <c r="AJ15" s="9"/>
      <c r="AK15" s="9"/>
      <c r="AL15" s="9"/>
      <c r="AM15" s="9"/>
      <c r="AN15" s="9"/>
      <c r="AO15" s="3"/>
      <c r="AP15" s="3"/>
      <c r="AQ15" s="9"/>
      <c r="AR15" s="3"/>
      <c r="AS15" s="9"/>
      <c r="AT15" s="9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9"/>
      <c r="BI15" s="9"/>
      <c r="BJ15" s="9"/>
      <c r="BK15" s="11"/>
      <c r="BL15" s="11"/>
      <c r="BM15" s="9"/>
      <c r="BN15" s="9"/>
      <c r="BO15" s="3"/>
    </row>
    <row r="16" spans="1:77">
      <c r="A16" s="3"/>
      <c r="B16" s="3"/>
      <c r="C16" s="4"/>
      <c r="D16" s="7"/>
      <c r="E16" s="4"/>
      <c r="F16" s="9"/>
      <c r="G16" s="4"/>
      <c r="H16" s="4"/>
      <c r="I16" s="3"/>
      <c r="J16" s="3"/>
      <c r="K16" s="9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3"/>
      <c r="X16" s="9"/>
      <c r="Y16" s="3"/>
      <c r="Z16" s="3"/>
      <c r="AA16" s="9"/>
      <c r="AB16" s="3"/>
      <c r="AC16" s="3"/>
      <c r="AD16" s="3"/>
      <c r="AE16" s="3"/>
      <c r="AF16" s="9"/>
      <c r="AG16" s="4"/>
      <c r="AH16" s="9"/>
      <c r="AI16" s="3"/>
      <c r="AJ16" s="9"/>
      <c r="AK16" s="9"/>
      <c r="AL16" s="9"/>
      <c r="AM16" s="9"/>
      <c r="AN16" s="9"/>
      <c r="AO16" s="3"/>
      <c r="AP16" s="3"/>
      <c r="AQ16" s="9"/>
      <c r="AR16" s="3"/>
      <c r="AS16" s="9"/>
      <c r="AT16" s="9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9"/>
      <c r="BI16" s="9"/>
      <c r="BJ16" s="9"/>
      <c r="BK16" s="11"/>
      <c r="BL16" s="11"/>
      <c r="BM16" s="9"/>
      <c r="BN16" s="9"/>
      <c r="BO16" s="3"/>
    </row>
    <row r="17" spans="1:67">
      <c r="A17" s="3"/>
      <c r="B17" s="3"/>
      <c r="C17" s="4"/>
      <c r="D17" s="7"/>
      <c r="E17" s="4"/>
      <c r="F17" s="9"/>
      <c r="G17" s="4"/>
      <c r="H17" s="4"/>
      <c r="I17" s="3"/>
      <c r="J17" s="3"/>
      <c r="K17" s="9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3"/>
      <c r="X17" s="9"/>
      <c r="Y17" s="3"/>
      <c r="Z17" s="3"/>
      <c r="AA17" s="9"/>
      <c r="AB17" s="3"/>
      <c r="AC17" s="3"/>
      <c r="AD17" s="3"/>
      <c r="AE17" s="3"/>
      <c r="AF17" s="9"/>
      <c r="AG17" s="4"/>
      <c r="AH17" s="9"/>
      <c r="AI17" s="3"/>
      <c r="AJ17" s="9"/>
      <c r="AK17" s="9"/>
      <c r="AL17" s="9"/>
      <c r="AM17" s="9"/>
      <c r="AN17" s="9"/>
      <c r="AO17" s="3"/>
      <c r="AP17" s="3"/>
      <c r="AQ17" s="9"/>
      <c r="AR17" s="3"/>
      <c r="AS17" s="9"/>
      <c r="AT17" s="9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11"/>
      <c r="BL17" s="11"/>
      <c r="BM17" s="9"/>
      <c r="BN17" s="9"/>
      <c r="BO17" s="3"/>
    </row>
    <row r="18" spans="1:67">
      <c r="A18" s="3"/>
      <c r="B18" s="3"/>
      <c r="C18" s="4"/>
      <c r="D18" s="7"/>
      <c r="E18" s="4"/>
      <c r="F18" s="9"/>
      <c r="G18" s="4"/>
      <c r="H18" s="4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3"/>
      <c r="X18" s="9"/>
      <c r="Y18" s="3"/>
      <c r="Z18" s="3"/>
      <c r="AA18" s="9"/>
      <c r="AB18" s="3"/>
      <c r="AC18" s="3"/>
      <c r="AD18" s="3"/>
      <c r="AE18" s="3"/>
      <c r="AF18" s="9"/>
      <c r="AG18" s="4"/>
      <c r="AH18" s="9"/>
      <c r="AI18" s="3"/>
      <c r="AJ18" s="9"/>
      <c r="AK18" s="9"/>
      <c r="AL18" s="9"/>
      <c r="AM18" s="9"/>
      <c r="AN18" s="9"/>
      <c r="AO18" s="3"/>
      <c r="AP18" s="3"/>
      <c r="AQ18" s="9"/>
      <c r="AR18" s="3"/>
      <c r="AS18" s="9"/>
      <c r="AT18" s="9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9"/>
      <c r="BI18" s="9"/>
      <c r="BJ18" s="9"/>
      <c r="BK18" s="11"/>
      <c r="BL18" s="11"/>
      <c r="BM18" s="9"/>
      <c r="BN18" s="9"/>
      <c r="BO18" s="3"/>
    </row>
    <row r="19" spans="1:67">
      <c r="A19" s="3"/>
      <c r="B19" s="3"/>
      <c r="C19" s="4"/>
      <c r="D19" s="7"/>
      <c r="E19" s="4"/>
      <c r="F19" s="9"/>
      <c r="G19" s="4"/>
      <c r="H19" s="4"/>
      <c r="I19" s="3"/>
      <c r="J19" s="3"/>
      <c r="K19" s="9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3"/>
      <c r="X19" s="9"/>
      <c r="Y19" s="3"/>
      <c r="Z19" s="3"/>
      <c r="AA19" s="9"/>
      <c r="AB19" s="3"/>
      <c r="AC19" s="3"/>
      <c r="AD19" s="3"/>
      <c r="AE19" s="3"/>
      <c r="AF19" s="9"/>
      <c r="AG19" s="4"/>
      <c r="AH19" s="9"/>
      <c r="AI19" s="3"/>
      <c r="AJ19" s="9"/>
      <c r="AK19" s="9"/>
      <c r="AL19" s="9"/>
      <c r="AM19" s="9"/>
      <c r="AN19" s="9"/>
      <c r="AO19" s="3"/>
      <c r="AP19" s="3"/>
      <c r="AQ19" s="9"/>
      <c r="AR19" s="3"/>
      <c r="AS19" s="9"/>
      <c r="AT19" s="9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9"/>
      <c r="BI19" s="9"/>
      <c r="BJ19" s="9"/>
      <c r="BK19" s="11"/>
      <c r="BL19" s="11"/>
      <c r="BM19" s="9"/>
      <c r="BN19" s="9"/>
      <c r="BO19" s="3"/>
    </row>
    <row r="20" spans="1:67">
      <c r="A20" s="3"/>
      <c r="B20" s="3"/>
      <c r="C20" s="4"/>
      <c r="D20" s="7"/>
      <c r="E20" s="4"/>
      <c r="F20" s="9"/>
      <c r="G20" s="4"/>
      <c r="H20" s="4"/>
      <c r="I20" s="3"/>
      <c r="J20" s="3"/>
      <c r="K20" s="9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3"/>
      <c r="X20" s="9"/>
      <c r="Y20" s="3"/>
      <c r="Z20" s="3"/>
      <c r="AA20" s="9"/>
      <c r="AB20" s="3"/>
      <c r="AC20" s="3"/>
      <c r="AD20" s="3"/>
      <c r="AE20" s="3"/>
      <c r="AF20" s="9"/>
      <c r="AG20" s="4"/>
      <c r="AH20" s="9"/>
      <c r="AI20" s="3"/>
      <c r="AJ20" s="9"/>
      <c r="AK20" s="9"/>
      <c r="AL20" s="9"/>
      <c r="AM20" s="9"/>
      <c r="AN20" s="9"/>
      <c r="AO20" s="3"/>
      <c r="AP20" s="3"/>
      <c r="AQ20" s="9"/>
      <c r="AR20" s="3"/>
      <c r="AS20" s="9"/>
      <c r="AT20" s="9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11"/>
      <c r="BL20" s="11"/>
      <c r="BM20" s="9"/>
      <c r="BN20" s="9"/>
      <c r="BO20" s="3"/>
    </row>
    <row r="21" spans="1:67">
      <c r="A21" s="3"/>
      <c r="B21" s="3"/>
      <c r="C21" s="4"/>
      <c r="D21" s="7"/>
      <c r="E21" s="4"/>
      <c r="F21" s="9"/>
      <c r="G21" s="4"/>
      <c r="H21" s="4"/>
      <c r="I21" s="3"/>
      <c r="J21" s="3"/>
      <c r="K21" s="9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3"/>
      <c r="X21" s="9"/>
      <c r="Y21" s="3"/>
      <c r="Z21" s="3"/>
      <c r="AA21" s="9"/>
      <c r="AB21" s="3"/>
      <c r="AC21" s="3"/>
      <c r="AD21" s="3"/>
      <c r="AE21" s="3"/>
      <c r="AF21" s="9"/>
      <c r="AG21" s="4"/>
      <c r="AH21" s="9"/>
      <c r="AI21" s="3"/>
      <c r="AJ21" s="9"/>
      <c r="AK21" s="9"/>
      <c r="AL21" s="9"/>
      <c r="AM21" s="9"/>
      <c r="AN21" s="9"/>
      <c r="AO21" s="3"/>
      <c r="AP21" s="3"/>
      <c r="AQ21" s="9"/>
      <c r="AR21" s="3"/>
      <c r="AS21" s="9"/>
      <c r="AT21" s="9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9"/>
      <c r="BI21" s="9"/>
      <c r="BJ21" s="9"/>
      <c r="BK21" s="11"/>
      <c r="BL21" s="11"/>
      <c r="BM21" s="9"/>
      <c r="BN21" s="9"/>
      <c r="BO21" s="3"/>
    </row>
    <row r="22" spans="1:67">
      <c r="A22" s="3"/>
      <c r="B22" s="3"/>
      <c r="C22" s="4"/>
      <c r="D22" s="7"/>
      <c r="E22" s="4"/>
      <c r="F22" s="9"/>
      <c r="G22" s="4"/>
      <c r="H22" s="4"/>
      <c r="I22" s="3"/>
      <c r="J22" s="3"/>
      <c r="K22" s="9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3"/>
      <c r="X22" s="9"/>
      <c r="Y22" s="3"/>
      <c r="Z22" s="3"/>
      <c r="AA22" s="9"/>
      <c r="AB22" s="3"/>
      <c r="AC22" s="3"/>
      <c r="AD22" s="3"/>
      <c r="AE22" s="3"/>
      <c r="AF22" s="9"/>
      <c r="AG22" s="4"/>
      <c r="AH22" s="9"/>
      <c r="AI22" s="3"/>
      <c r="AJ22" s="9"/>
      <c r="AK22" s="9"/>
      <c r="AL22" s="9"/>
      <c r="AM22" s="9"/>
      <c r="AN22" s="9"/>
      <c r="AO22" s="3"/>
      <c r="AP22" s="3"/>
      <c r="AQ22" s="9"/>
      <c r="AR22" s="3"/>
      <c r="AS22" s="9"/>
      <c r="AT22" s="9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9"/>
      <c r="BI22" s="9"/>
      <c r="BJ22" s="9"/>
      <c r="BK22" s="11"/>
      <c r="BL22" s="11"/>
      <c r="BM22" s="9"/>
      <c r="BN22" s="9"/>
      <c r="BO22" s="3"/>
    </row>
    <row r="23" spans="1:67">
      <c r="A23" s="3"/>
      <c r="B23" s="3"/>
      <c r="C23" s="4"/>
      <c r="D23" s="7"/>
      <c r="E23" s="4"/>
      <c r="F23" s="9"/>
      <c r="G23" s="4"/>
      <c r="H23" s="4"/>
      <c r="I23" s="3"/>
      <c r="J23" s="3"/>
      <c r="K23" s="9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3"/>
      <c r="X23" s="9"/>
      <c r="Y23" s="3"/>
      <c r="Z23" s="3"/>
      <c r="AA23" s="9"/>
      <c r="AB23" s="3"/>
      <c r="AC23" s="3"/>
      <c r="AD23" s="3"/>
      <c r="AE23" s="3"/>
      <c r="AF23" s="9"/>
      <c r="AG23" s="4"/>
      <c r="AH23" s="9"/>
      <c r="AI23" s="3"/>
      <c r="AJ23" s="9"/>
      <c r="AK23" s="9"/>
      <c r="AL23" s="9"/>
      <c r="AM23" s="9"/>
      <c r="AN23" s="9"/>
      <c r="AO23" s="3"/>
      <c r="AP23" s="3"/>
      <c r="AQ23" s="9"/>
      <c r="AR23" s="3"/>
      <c r="AS23" s="9"/>
      <c r="AT23" s="9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9"/>
      <c r="BI23" s="9"/>
      <c r="BJ23" s="9"/>
      <c r="BK23" s="11"/>
      <c r="BL23" s="11"/>
      <c r="BM23" s="9"/>
      <c r="BN23" s="9"/>
      <c r="BO23" s="3"/>
    </row>
    <row r="24" spans="1:67">
      <c r="A24" s="3"/>
      <c r="B24" s="3"/>
      <c r="C24" s="4"/>
      <c r="D24" s="7"/>
      <c r="E24" s="4"/>
      <c r="F24" s="9"/>
      <c r="G24" s="4"/>
      <c r="H24" s="4"/>
      <c r="I24" s="3"/>
      <c r="J24" s="3"/>
      <c r="K24" s="9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3"/>
      <c r="X24" s="9"/>
      <c r="Y24" s="3"/>
      <c r="Z24" s="3"/>
      <c r="AA24" s="9"/>
      <c r="AB24" s="3"/>
      <c r="AC24" s="3"/>
      <c r="AD24" s="3"/>
      <c r="AE24" s="3"/>
      <c r="AF24" s="9"/>
      <c r="AG24" s="4"/>
      <c r="AH24" s="9"/>
      <c r="AI24" s="3"/>
      <c r="AJ24" s="9"/>
      <c r="AK24" s="9"/>
      <c r="AL24" s="9"/>
      <c r="AM24" s="9"/>
      <c r="AN24" s="9"/>
      <c r="AO24" s="3"/>
      <c r="AP24" s="3"/>
      <c r="AQ24" s="9"/>
      <c r="AR24" s="3"/>
      <c r="AS24" s="9"/>
      <c r="AT24" s="9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9"/>
      <c r="BI24" s="9"/>
      <c r="BJ24" s="9"/>
      <c r="BK24" s="11"/>
      <c r="BL24" s="11"/>
      <c r="BM24" s="9"/>
      <c r="BN24" s="9"/>
      <c r="BO24" s="3"/>
    </row>
    <row r="25" spans="1:67">
      <c r="A25" s="3"/>
      <c r="B25" s="3"/>
      <c r="C25" s="4"/>
      <c r="D25" s="7"/>
      <c r="E25" s="4"/>
      <c r="F25" s="9"/>
      <c r="G25" s="4"/>
      <c r="H25" s="4"/>
      <c r="I25" s="3"/>
      <c r="J25" s="3"/>
      <c r="K25" s="9"/>
      <c r="L25" s="3"/>
      <c r="M25" s="3"/>
      <c r="N25" s="3"/>
      <c r="O25" s="3"/>
      <c r="P25" s="3"/>
      <c r="Q25" s="3"/>
      <c r="R25" s="3"/>
      <c r="S25" s="3"/>
      <c r="T25" s="3"/>
      <c r="U25" s="9"/>
      <c r="V25" s="9"/>
      <c r="W25" s="3"/>
      <c r="X25" s="9"/>
      <c r="Y25" s="3"/>
      <c r="Z25" s="3"/>
      <c r="AA25" s="9"/>
      <c r="AB25" s="3"/>
      <c r="AC25" s="3"/>
      <c r="AD25" s="3"/>
      <c r="AE25" s="3"/>
      <c r="AF25" s="9"/>
      <c r="AG25" s="4"/>
      <c r="AH25" s="9"/>
      <c r="AI25" s="3"/>
      <c r="AJ25" s="9"/>
      <c r="AK25" s="9"/>
      <c r="AL25" s="9"/>
      <c r="AM25" s="9"/>
      <c r="AN25" s="9"/>
      <c r="AO25" s="3"/>
      <c r="AP25" s="3"/>
      <c r="AQ25" s="9"/>
      <c r="AR25" s="3"/>
      <c r="AS25" s="9"/>
      <c r="AT25" s="9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9"/>
      <c r="BI25" s="9"/>
      <c r="BJ25" s="9"/>
      <c r="BK25" s="11"/>
      <c r="BL25" s="11"/>
      <c r="BM25" s="9"/>
      <c r="BN25" s="9"/>
      <c r="BO25" s="3"/>
    </row>
    <row r="26" spans="1:67">
      <c r="A26" s="3"/>
      <c r="B26" s="3"/>
      <c r="C26" s="4"/>
      <c r="D26" s="7"/>
      <c r="E26" s="4"/>
      <c r="F26" s="9"/>
      <c r="G26" s="4"/>
      <c r="H26" s="4"/>
      <c r="I26" s="3"/>
      <c r="J26" s="3"/>
      <c r="K26" s="9"/>
      <c r="L26" s="3"/>
      <c r="M26" s="3"/>
      <c r="N26" s="3"/>
      <c r="O26" s="3"/>
      <c r="P26" s="3"/>
      <c r="Q26" s="3"/>
      <c r="R26" s="3"/>
      <c r="S26" s="3"/>
      <c r="T26" s="3"/>
      <c r="U26" s="9"/>
      <c r="V26" s="9"/>
      <c r="W26" s="3"/>
      <c r="X26" s="9"/>
      <c r="Y26" s="3"/>
      <c r="Z26" s="3"/>
      <c r="AA26" s="9"/>
      <c r="AB26" s="3"/>
      <c r="AC26" s="3"/>
      <c r="AD26" s="3"/>
      <c r="AE26" s="3"/>
      <c r="AF26" s="9"/>
      <c r="AG26" s="4"/>
      <c r="AH26" s="9"/>
      <c r="AI26" s="3"/>
      <c r="AJ26" s="9"/>
      <c r="AK26" s="9"/>
      <c r="AL26" s="9"/>
      <c r="AM26" s="9"/>
      <c r="AN26" s="9"/>
      <c r="AO26" s="3"/>
      <c r="AP26" s="3"/>
      <c r="AQ26" s="9"/>
      <c r="AR26" s="3"/>
      <c r="AS26" s="9"/>
      <c r="AT26" s="9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9"/>
      <c r="BI26" s="9"/>
      <c r="BJ26" s="9"/>
      <c r="BK26" s="11"/>
      <c r="BL26" s="11"/>
      <c r="BM26" s="9"/>
      <c r="BN26" s="9"/>
      <c r="BO26" s="3"/>
    </row>
    <row r="27" spans="1:67">
      <c r="A27" s="3"/>
      <c r="B27" s="3"/>
      <c r="C27" s="4"/>
      <c r="D27" s="7"/>
      <c r="E27" s="4"/>
      <c r="F27" s="9"/>
      <c r="G27" s="4"/>
      <c r="H27" s="4"/>
      <c r="I27" s="3"/>
      <c r="J27" s="3"/>
      <c r="K27" s="9"/>
      <c r="L27" s="3"/>
      <c r="M27" s="3"/>
      <c r="N27" s="3"/>
      <c r="O27" s="3"/>
      <c r="P27" s="3"/>
      <c r="Q27" s="3"/>
      <c r="R27" s="3"/>
      <c r="S27" s="3"/>
      <c r="T27" s="3"/>
      <c r="U27" s="9"/>
      <c r="V27" s="9"/>
      <c r="W27" s="3"/>
      <c r="X27" s="9"/>
      <c r="Y27" s="3"/>
      <c r="Z27" s="3"/>
      <c r="AA27" s="9"/>
      <c r="AB27" s="3"/>
      <c r="AC27" s="3"/>
      <c r="AD27" s="3"/>
      <c r="AE27" s="3"/>
      <c r="AF27" s="9"/>
      <c r="AG27" s="4"/>
      <c r="AH27" s="9"/>
      <c r="AI27" s="3"/>
      <c r="AJ27" s="9"/>
      <c r="AK27" s="9"/>
      <c r="AL27" s="9"/>
      <c r="AM27" s="9"/>
      <c r="AN27" s="9"/>
      <c r="AO27" s="3"/>
      <c r="AP27" s="3"/>
      <c r="AQ27" s="9"/>
      <c r="AR27" s="3"/>
      <c r="AS27" s="9"/>
      <c r="AT27" s="9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9"/>
      <c r="BI27" s="9"/>
      <c r="BJ27" s="9"/>
      <c r="BK27" s="11"/>
      <c r="BL27" s="11"/>
      <c r="BM27" s="9"/>
      <c r="BN27" s="9"/>
      <c r="BO27" s="3"/>
    </row>
    <row r="28" spans="1:67">
      <c r="A28" s="3"/>
      <c r="B28" s="3"/>
      <c r="C28" s="4"/>
      <c r="D28" s="7"/>
      <c r="E28" s="4"/>
      <c r="F28" s="9"/>
      <c r="G28" s="4"/>
      <c r="H28" s="4"/>
      <c r="I28" s="3"/>
      <c r="J28" s="3"/>
      <c r="K28" s="9"/>
      <c r="L28" s="3"/>
      <c r="M28" s="3"/>
      <c r="N28" s="3"/>
      <c r="O28" s="3"/>
      <c r="P28" s="3"/>
      <c r="Q28" s="3"/>
      <c r="R28" s="3"/>
      <c r="S28" s="3"/>
      <c r="T28" s="3"/>
      <c r="U28" s="9"/>
      <c r="V28" s="9"/>
      <c r="W28" s="3"/>
      <c r="X28" s="9"/>
      <c r="Y28" s="3"/>
      <c r="Z28" s="3"/>
      <c r="AA28" s="9"/>
      <c r="AB28" s="3"/>
      <c r="AC28" s="3"/>
      <c r="AD28" s="3"/>
      <c r="AE28" s="3"/>
      <c r="AF28" s="9"/>
      <c r="AG28" s="4"/>
      <c r="AH28" s="9"/>
      <c r="AI28" s="3"/>
      <c r="AJ28" s="9"/>
      <c r="AK28" s="9"/>
      <c r="AL28" s="9"/>
      <c r="AM28" s="9"/>
      <c r="AN28" s="9"/>
      <c r="AO28" s="3"/>
      <c r="AP28" s="3"/>
      <c r="AQ28" s="9"/>
      <c r="AR28" s="3"/>
      <c r="AS28" s="9"/>
      <c r="AT28" s="9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9"/>
      <c r="BI28" s="9"/>
      <c r="BJ28" s="9"/>
      <c r="BK28" s="11"/>
      <c r="BL28" s="11"/>
      <c r="BM28" s="9"/>
      <c r="BN28" s="9"/>
      <c r="BO28" s="3"/>
    </row>
    <row r="29" spans="1:67">
      <c r="A29" s="3"/>
      <c r="B29" s="3"/>
      <c r="C29" s="4"/>
      <c r="D29" s="7"/>
      <c r="E29" s="4"/>
      <c r="F29" s="9"/>
      <c r="G29" s="4"/>
      <c r="H29" s="4"/>
      <c r="I29" s="3"/>
      <c r="J29" s="3"/>
      <c r="K29" s="9"/>
      <c r="L29" s="3"/>
      <c r="M29" s="3"/>
      <c r="N29" s="3"/>
      <c r="O29" s="3"/>
      <c r="P29" s="3"/>
      <c r="Q29" s="3"/>
      <c r="R29" s="3"/>
      <c r="S29" s="3"/>
      <c r="T29" s="3"/>
      <c r="U29" s="9"/>
      <c r="V29" s="9"/>
      <c r="W29" s="3"/>
      <c r="X29" s="9"/>
      <c r="Y29" s="3"/>
      <c r="Z29" s="3"/>
      <c r="AA29" s="9"/>
      <c r="AB29" s="3"/>
      <c r="AC29" s="3"/>
      <c r="AD29" s="3"/>
      <c r="AE29" s="3"/>
      <c r="AF29" s="9"/>
      <c r="AG29" s="4"/>
      <c r="AH29" s="9"/>
      <c r="AI29" s="3"/>
      <c r="AJ29" s="9"/>
      <c r="AK29" s="9"/>
      <c r="AL29" s="9"/>
      <c r="AM29" s="9"/>
      <c r="AN29" s="9"/>
      <c r="AO29" s="3"/>
      <c r="AP29" s="3"/>
      <c r="AQ29" s="9"/>
      <c r="AR29" s="3"/>
      <c r="AS29" s="9"/>
      <c r="AT29" s="9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9"/>
      <c r="BI29" s="9"/>
      <c r="BJ29" s="9"/>
      <c r="BK29" s="11"/>
      <c r="BL29" s="11"/>
      <c r="BM29" s="9"/>
      <c r="BN29" s="9"/>
      <c r="BO29" s="3"/>
    </row>
    <row r="30" spans="1:67">
      <c r="A30" s="3"/>
      <c r="B30" s="3"/>
      <c r="C30" s="4"/>
      <c r="D30" s="7"/>
      <c r="E30" s="4"/>
      <c r="F30" s="9"/>
      <c r="G30" s="4"/>
      <c r="H30" s="4"/>
      <c r="I30" s="3"/>
      <c r="J30" s="3"/>
      <c r="K30" s="9"/>
      <c r="L30" s="3"/>
      <c r="M30" s="3"/>
      <c r="N30" s="3"/>
      <c r="O30" s="3"/>
      <c r="P30" s="3"/>
      <c r="Q30" s="3"/>
      <c r="R30" s="3"/>
      <c r="S30" s="3"/>
      <c r="T30" s="3"/>
      <c r="U30" s="9"/>
      <c r="V30" s="9"/>
      <c r="W30" s="3"/>
      <c r="X30" s="9"/>
      <c r="Y30" s="3"/>
      <c r="Z30" s="3"/>
      <c r="AA30" s="9"/>
      <c r="AB30" s="3"/>
      <c r="AC30" s="3"/>
      <c r="AD30" s="3"/>
      <c r="AE30" s="3"/>
      <c r="AF30" s="9"/>
      <c r="AG30" s="4"/>
      <c r="AH30" s="9"/>
      <c r="AI30" s="3"/>
      <c r="AJ30" s="9"/>
      <c r="AK30" s="9"/>
      <c r="AL30" s="9"/>
      <c r="AM30" s="9"/>
      <c r="AN30" s="9"/>
      <c r="AO30" s="3"/>
      <c r="AP30" s="3"/>
      <c r="AQ30" s="9"/>
      <c r="AR30" s="3"/>
      <c r="AS30" s="9"/>
      <c r="AT30" s="9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9"/>
      <c r="BI30" s="9"/>
      <c r="BJ30" s="9"/>
      <c r="BK30" s="11"/>
      <c r="BL30" s="11"/>
      <c r="BM30" s="9"/>
      <c r="BN30" s="9"/>
      <c r="BO30" s="3"/>
    </row>
    <row r="31" spans="1:67">
      <c r="A31" s="3"/>
      <c r="B31" s="3"/>
      <c r="C31" s="4"/>
      <c r="D31" s="7"/>
      <c r="E31" s="4"/>
      <c r="F31" s="9"/>
      <c r="G31" s="4"/>
      <c r="H31" s="4"/>
      <c r="I31" s="3"/>
      <c r="J31" s="3"/>
      <c r="K31" s="9"/>
      <c r="L31" s="3"/>
      <c r="M31" s="3"/>
      <c r="N31" s="3"/>
      <c r="O31" s="3"/>
      <c r="P31" s="3"/>
      <c r="Q31" s="3"/>
      <c r="R31" s="3"/>
      <c r="S31" s="3"/>
      <c r="T31" s="3"/>
      <c r="U31" s="9"/>
      <c r="V31" s="9"/>
      <c r="W31" s="3"/>
      <c r="X31" s="9"/>
      <c r="Y31" s="3"/>
      <c r="Z31" s="3"/>
      <c r="AA31" s="9"/>
      <c r="AB31" s="3"/>
      <c r="AC31" s="3"/>
      <c r="AD31" s="3"/>
      <c r="AE31" s="3"/>
      <c r="AF31" s="9"/>
      <c r="AG31" s="4"/>
      <c r="AH31" s="9"/>
      <c r="AI31" s="3"/>
      <c r="AJ31" s="9"/>
      <c r="AK31" s="9"/>
      <c r="AL31" s="9"/>
      <c r="AM31" s="9"/>
      <c r="AN31" s="9"/>
      <c r="AO31" s="3"/>
      <c r="AP31" s="3"/>
      <c r="AQ31" s="9"/>
      <c r="AR31" s="3"/>
      <c r="AS31" s="9"/>
      <c r="AT31" s="9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9"/>
      <c r="BI31" s="9"/>
      <c r="BJ31" s="9"/>
      <c r="BK31" s="11"/>
      <c r="BL31" s="11"/>
      <c r="BM31" s="9"/>
      <c r="BN31" s="9"/>
      <c r="BO31" s="3"/>
    </row>
    <row r="32" spans="1:67">
      <c r="A32" s="3"/>
      <c r="B32" s="3"/>
      <c r="C32" s="4"/>
      <c r="D32" s="7"/>
      <c r="E32" s="4"/>
      <c r="F32" s="9"/>
      <c r="G32" s="4"/>
      <c r="H32" s="4"/>
      <c r="I32" s="3"/>
      <c r="J32" s="3"/>
      <c r="K32" s="9"/>
      <c r="L32" s="3"/>
      <c r="M32" s="3"/>
      <c r="N32" s="3"/>
      <c r="O32" s="3"/>
      <c r="P32" s="3"/>
      <c r="Q32" s="3"/>
      <c r="R32" s="3"/>
      <c r="S32" s="3"/>
      <c r="T32" s="3"/>
      <c r="U32" s="9"/>
      <c r="V32" s="9"/>
      <c r="W32" s="3"/>
      <c r="X32" s="9"/>
      <c r="Y32" s="3"/>
      <c r="Z32" s="3"/>
      <c r="AA32" s="9"/>
      <c r="AB32" s="3"/>
      <c r="AC32" s="3"/>
      <c r="AD32" s="3"/>
      <c r="AE32" s="3"/>
      <c r="AF32" s="9"/>
      <c r="AG32" s="4"/>
      <c r="AH32" s="9"/>
      <c r="AI32" s="3"/>
      <c r="AJ32" s="9"/>
      <c r="AK32" s="9"/>
      <c r="AL32" s="9"/>
      <c r="AM32" s="9"/>
      <c r="AN32" s="9"/>
      <c r="AO32" s="3"/>
      <c r="AP32" s="3"/>
      <c r="AQ32" s="9"/>
      <c r="AR32" s="3"/>
      <c r="AS32" s="9"/>
      <c r="AT32" s="9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9"/>
      <c r="BI32" s="9"/>
      <c r="BJ32" s="9"/>
      <c r="BK32" s="11"/>
      <c r="BL32" s="11"/>
      <c r="BM32" s="9"/>
      <c r="BN32" s="9"/>
      <c r="BO32" s="3"/>
    </row>
    <row r="33" spans="1:67">
      <c r="A33" s="3"/>
      <c r="B33" s="3"/>
      <c r="C33" s="4"/>
      <c r="D33" s="7"/>
      <c r="E33" s="4"/>
      <c r="F33" s="9"/>
      <c r="G33" s="4"/>
      <c r="H33" s="4"/>
      <c r="I33" s="3"/>
      <c r="J33" s="3"/>
      <c r="K33" s="9"/>
      <c r="L33" s="3"/>
      <c r="M33" s="3"/>
      <c r="N33" s="3"/>
      <c r="O33" s="3"/>
      <c r="P33" s="3"/>
      <c r="Q33" s="3"/>
      <c r="R33" s="3"/>
      <c r="S33" s="3"/>
      <c r="T33" s="3"/>
      <c r="U33" s="9"/>
      <c r="V33" s="9"/>
      <c r="W33" s="3"/>
      <c r="X33" s="9"/>
      <c r="Y33" s="3"/>
      <c r="Z33" s="3"/>
      <c r="AA33" s="9"/>
      <c r="AB33" s="3"/>
      <c r="AC33" s="3"/>
      <c r="AD33" s="3"/>
      <c r="AE33" s="3"/>
      <c r="AF33" s="9"/>
      <c r="AG33" s="4"/>
      <c r="AH33" s="9"/>
      <c r="AI33" s="3"/>
      <c r="AJ33" s="9"/>
      <c r="AK33" s="9"/>
      <c r="AL33" s="9"/>
      <c r="AM33" s="9"/>
      <c r="AN33" s="9"/>
      <c r="AO33" s="3"/>
      <c r="AP33" s="3"/>
      <c r="AQ33" s="9"/>
      <c r="AR33" s="3"/>
      <c r="AS33" s="9"/>
      <c r="AT33" s="9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11"/>
      <c r="BL33" s="11"/>
      <c r="BM33" s="9"/>
      <c r="BN33" s="9"/>
      <c r="BO33" s="3"/>
    </row>
    <row r="34" spans="1:67">
      <c r="A34" s="3"/>
      <c r="B34" s="3"/>
      <c r="C34" s="4"/>
      <c r="D34" s="7"/>
      <c r="E34" s="4"/>
      <c r="F34" s="9"/>
      <c r="G34" s="4"/>
      <c r="H34" s="4"/>
      <c r="I34" s="3"/>
      <c r="J34" s="3"/>
      <c r="K34" s="9"/>
      <c r="L34" s="3"/>
      <c r="M34" s="3"/>
      <c r="N34" s="3"/>
      <c r="O34" s="3"/>
      <c r="P34" s="3"/>
      <c r="Q34" s="3"/>
      <c r="R34" s="3"/>
      <c r="S34" s="3"/>
      <c r="T34" s="3"/>
      <c r="U34" s="9"/>
      <c r="V34" s="9"/>
      <c r="W34" s="3"/>
      <c r="X34" s="9"/>
      <c r="Y34" s="3"/>
      <c r="Z34" s="3"/>
      <c r="AA34" s="9"/>
      <c r="AB34" s="3"/>
      <c r="AC34" s="3"/>
      <c r="AD34" s="3"/>
      <c r="AE34" s="3"/>
      <c r="AF34" s="9"/>
      <c r="AG34" s="4"/>
      <c r="AH34" s="9"/>
      <c r="AI34" s="3"/>
      <c r="AJ34" s="9"/>
      <c r="AK34" s="9"/>
      <c r="AL34" s="9"/>
      <c r="AM34" s="9"/>
      <c r="AN34" s="9"/>
      <c r="AO34" s="3"/>
      <c r="AP34" s="3"/>
      <c r="AQ34" s="9"/>
      <c r="AR34" s="3"/>
      <c r="AS34" s="9"/>
      <c r="AT34" s="9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9"/>
      <c r="BI34" s="9"/>
      <c r="BJ34" s="9"/>
      <c r="BK34" s="11"/>
      <c r="BL34" s="11"/>
      <c r="BM34" s="9"/>
      <c r="BN34" s="9"/>
      <c r="BO34" s="3"/>
    </row>
    <row r="35" spans="1:67">
      <c r="A35" s="3"/>
      <c r="B35" s="3"/>
      <c r="C35" s="4"/>
      <c r="D35" s="7"/>
      <c r="E35" s="4"/>
      <c r="F35" s="9"/>
      <c r="G35" s="4"/>
      <c r="H35" s="4"/>
      <c r="I35" s="3"/>
      <c r="J35" s="3"/>
      <c r="K35" s="9"/>
      <c r="L35" s="3"/>
      <c r="M35" s="3"/>
      <c r="N35" s="3"/>
      <c r="O35" s="3"/>
      <c r="P35" s="3"/>
      <c r="Q35" s="3"/>
      <c r="R35" s="3"/>
      <c r="S35" s="3"/>
      <c r="T35" s="3"/>
      <c r="U35" s="9"/>
      <c r="V35" s="9"/>
      <c r="W35" s="3"/>
      <c r="X35" s="9"/>
      <c r="Y35" s="3"/>
      <c r="Z35" s="3"/>
      <c r="AA35" s="9"/>
      <c r="AB35" s="3"/>
      <c r="AC35" s="3"/>
      <c r="AD35" s="3"/>
      <c r="AE35" s="3"/>
      <c r="AF35" s="9"/>
      <c r="AG35" s="4"/>
      <c r="AH35" s="9"/>
      <c r="AI35" s="3"/>
      <c r="AJ35" s="9"/>
      <c r="AK35" s="9"/>
      <c r="AL35" s="9"/>
      <c r="AM35" s="9"/>
      <c r="AN35" s="9"/>
      <c r="AO35" s="3"/>
      <c r="AP35" s="3"/>
      <c r="AQ35" s="9"/>
      <c r="AR35" s="3"/>
      <c r="AS35" s="9"/>
      <c r="AT35" s="9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9"/>
      <c r="BI35" s="9"/>
      <c r="BJ35" s="9"/>
      <c r="BK35" s="11"/>
      <c r="BL35" s="11"/>
      <c r="BM35" s="9"/>
      <c r="BN35" s="9"/>
      <c r="BO35" s="3"/>
    </row>
    <row r="36" spans="1:67">
      <c r="A36" s="3"/>
      <c r="B36" s="3"/>
      <c r="C36" s="4"/>
      <c r="D36" s="7"/>
      <c r="E36" s="4"/>
      <c r="F36" s="9"/>
      <c r="G36" s="4"/>
      <c r="H36" s="4"/>
      <c r="I36" s="3"/>
      <c r="J36" s="3"/>
      <c r="K36" s="9"/>
      <c r="L36" s="3"/>
      <c r="M36" s="3"/>
      <c r="N36" s="3"/>
      <c r="O36" s="3"/>
      <c r="P36" s="3"/>
      <c r="Q36" s="3"/>
      <c r="R36" s="3"/>
      <c r="S36" s="3"/>
      <c r="T36" s="3"/>
      <c r="U36" s="9"/>
      <c r="V36" s="9"/>
      <c r="W36" s="3"/>
      <c r="X36" s="9"/>
      <c r="Y36" s="3"/>
      <c r="Z36" s="3"/>
      <c r="AA36" s="9"/>
      <c r="AB36" s="3"/>
      <c r="AC36" s="3"/>
      <c r="AD36" s="3"/>
      <c r="AE36" s="3"/>
      <c r="AF36" s="9"/>
      <c r="AG36" s="4"/>
      <c r="AH36" s="9"/>
      <c r="AI36" s="3"/>
      <c r="AJ36" s="9"/>
      <c r="AK36" s="9"/>
      <c r="AL36" s="9"/>
      <c r="AM36" s="9"/>
      <c r="AN36" s="9"/>
      <c r="AO36" s="3"/>
      <c r="AP36" s="3"/>
      <c r="AQ36" s="9"/>
      <c r="AR36" s="3"/>
      <c r="AS36" s="9"/>
      <c r="AT36" s="9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9"/>
      <c r="BI36" s="9"/>
      <c r="BJ36" s="9"/>
      <c r="BK36" s="11"/>
      <c r="BL36" s="11"/>
      <c r="BM36" s="9"/>
      <c r="BN36" s="9"/>
      <c r="BO36" s="3"/>
    </row>
    <row r="37" spans="1:67">
      <c r="A37" s="3"/>
      <c r="B37" s="3"/>
      <c r="C37" s="4"/>
      <c r="D37" s="7"/>
      <c r="E37" s="4"/>
      <c r="F37" s="9"/>
      <c r="G37" s="4"/>
      <c r="H37" s="4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9"/>
      <c r="V37" s="9"/>
      <c r="W37" s="3"/>
      <c r="X37" s="9"/>
      <c r="Y37" s="3"/>
      <c r="Z37" s="3"/>
      <c r="AA37" s="9"/>
      <c r="AB37" s="3"/>
      <c r="AC37" s="3"/>
      <c r="AD37" s="3"/>
      <c r="AE37" s="3"/>
      <c r="AF37" s="9"/>
      <c r="AG37" s="4"/>
      <c r="AH37" s="9"/>
      <c r="AI37" s="3"/>
      <c r="AJ37" s="9"/>
      <c r="AK37" s="9"/>
      <c r="AL37" s="9"/>
      <c r="AM37" s="9"/>
      <c r="AN37" s="9"/>
      <c r="AO37" s="3"/>
      <c r="AP37" s="3"/>
      <c r="AQ37" s="9"/>
      <c r="AR37" s="3"/>
      <c r="AS37" s="9"/>
      <c r="AT37" s="9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9"/>
      <c r="BI37" s="9"/>
      <c r="BJ37" s="9"/>
      <c r="BK37" s="11"/>
      <c r="BL37" s="11"/>
      <c r="BM37" s="9"/>
      <c r="BN37" s="9"/>
      <c r="BO37" s="3"/>
    </row>
    <row r="38" spans="1:67">
      <c r="A38" s="3"/>
      <c r="B38" s="3"/>
      <c r="C38" s="4"/>
      <c r="D38" s="7"/>
      <c r="E38" s="4"/>
      <c r="F38" s="9"/>
      <c r="G38" s="4"/>
      <c r="H38" s="4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9"/>
      <c r="V38" s="9"/>
      <c r="W38" s="3"/>
      <c r="X38" s="9"/>
      <c r="Y38" s="3"/>
      <c r="Z38" s="3"/>
      <c r="AA38" s="9"/>
      <c r="AB38" s="3"/>
      <c r="AC38" s="3"/>
      <c r="AD38" s="3"/>
      <c r="AE38" s="3"/>
      <c r="AF38" s="9"/>
      <c r="AG38" s="4"/>
      <c r="AH38" s="9"/>
      <c r="AI38" s="3"/>
      <c r="AJ38" s="9"/>
      <c r="AK38" s="9"/>
      <c r="AL38" s="9"/>
      <c r="AM38" s="9"/>
      <c r="AN38" s="9"/>
      <c r="AO38" s="3"/>
      <c r="AP38" s="3"/>
      <c r="AQ38" s="9"/>
      <c r="AR38" s="3"/>
      <c r="AS38" s="9"/>
      <c r="AT38" s="9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9"/>
      <c r="BI38" s="9"/>
      <c r="BJ38" s="9"/>
      <c r="BK38" s="11"/>
      <c r="BL38" s="11"/>
      <c r="BM38" s="9"/>
      <c r="BN38" s="9"/>
      <c r="BO38" s="3"/>
    </row>
    <row r="39" spans="1:67">
      <c r="A39" s="3"/>
      <c r="B39" s="3"/>
      <c r="C39" s="4"/>
      <c r="D39" s="7"/>
      <c r="E39" s="4"/>
      <c r="F39" s="9"/>
      <c r="G39" s="4"/>
      <c r="H39" s="4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9"/>
      <c r="V39" s="9"/>
      <c r="W39" s="3"/>
      <c r="X39" s="9"/>
      <c r="Y39" s="3"/>
      <c r="Z39" s="3"/>
      <c r="AA39" s="9"/>
      <c r="AB39" s="3"/>
      <c r="AC39" s="3"/>
      <c r="AD39" s="3"/>
      <c r="AE39" s="3"/>
      <c r="AF39" s="9"/>
      <c r="AG39" s="4"/>
      <c r="AH39" s="9"/>
      <c r="AI39" s="3"/>
      <c r="AJ39" s="9"/>
      <c r="AK39" s="9"/>
      <c r="AL39" s="9"/>
      <c r="AM39" s="9"/>
      <c r="AN39" s="9"/>
      <c r="AO39" s="3"/>
      <c r="AP39" s="3"/>
      <c r="AQ39" s="9"/>
      <c r="AR39" s="3"/>
      <c r="AS39" s="9"/>
      <c r="AT39" s="9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9"/>
      <c r="BI39" s="9"/>
      <c r="BJ39" s="9"/>
      <c r="BK39" s="11"/>
      <c r="BL39" s="11"/>
      <c r="BM39" s="9"/>
      <c r="BN39" s="9"/>
      <c r="BO39" s="3"/>
    </row>
    <row r="40" spans="1:67">
      <c r="A40" s="3"/>
      <c r="B40" s="3"/>
      <c r="C40" s="4"/>
      <c r="D40" s="7"/>
      <c r="E40" s="4"/>
      <c r="F40" s="9"/>
      <c r="G40" s="4"/>
      <c r="H40" s="4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9"/>
      <c r="V40" s="9"/>
      <c r="W40" s="3"/>
      <c r="X40" s="9"/>
      <c r="Y40" s="3"/>
      <c r="Z40" s="3"/>
      <c r="AA40" s="9"/>
      <c r="AB40" s="3"/>
      <c r="AC40" s="3"/>
      <c r="AD40" s="3"/>
      <c r="AE40" s="3"/>
      <c r="AF40" s="9"/>
      <c r="AG40" s="4"/>
      <c r="AH40" s="9"/>
      <c r="AI40" s="3"/>
      <c r="AJ40" s="9"/>
      <c r="AK40" s="9"/>
      <c r="AL40" s="9"/>
      <c r="AM40" s="9"/>
      <c r="AN40" s="9"/>
      <c r="AO40" s="3"/>
      <c r="AP40" s="3"/>
      <c r="AQ40" s="9"/>
      <c r="AR40" s="3"/>
      <c r="AS40" s="9"/>
      <c r="AT40" s="9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9"/>
      <c r="BI40" s="9"/>
      <c r="BJ40" s="9"/>
      <c r="BK40" s="11"/>
      <c r="BL40" s="11"/>
      <c r="BM40" s="9"/>
      <c r="BN40" s="9"/>
      <c r="BO40" s="3"/>
    </row>
    <row r="41" spans="1:67">
      <c r="A41" s="3"/>
      <c r="B41" s="3"/>
      <c r="C41" s="4"/>
      <c r="D41" s="7"/>
      <c r="E41" s="4"/>
      <c r="F41" s="9"/>
      <c r="G41" s="4"/>
      <c r="H41" s="4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9"/>
      <c r="V41" s="9"/>
      <c r="W41" s="3"/>
      <c r="X41" s="9"/>
      <c r="Y41" s="3"/>
      <c r="Z41" s="3"/>
      <c r="AA41" s="9"/>
      <c r="AB41" s="3"/>
      <c r="AC41" s="3"/>
      <c r="AD41" s="3"/>
      <c r="AE41" s="3"/>
      <c r="AF41" s="9"/>
      <c r="AG41" s="4"/>
      <c r="AH41" s="9"/>
      <c r="AI41" s="3"/>
      <c r="AJ41" s="9"/>
      <c r="AK41" s="9"/>
      <c r="AL41" s="9"/>
      <c r="AM41" s="9"/>
      <c r="AN41" s="9"/>
      <c r="AO41" s="3"/>
      <c r="AP41" s="3"/>
      <c r="AQ41" s="9"/>
      <c r="AR41" s="3"/>
      <c r="AS41" s="9"/>
      <c r="AT41" s="9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9"/>
      <c r="BI41" s="9"/>
      <c r="BJ41" s="9"/>
      <c r="BK41" s="11"/>
      <c r="BL41" s="11"/>
      <c r="BM41" s="9"/>
      <c r="BN41" s="9"/>
      <c r="BO41" s="3"/>
    </row>
    <row r="42" spans="1:67">
      <c r="A42" s="3"/>
      <c r="B42" s="3"/>
      <c r="C42" s="4"/>
      <c r="D42" s="7"/>
      <c r="E42" s="4"/>
      <c r="F42" s="9"/>
      <c r="G42" s="4"/>
      <c r="H42" s="4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9"/>
      <c r="V42" s="9"/>
      <c r="W42" s="3"/>
      <c r="X42" s="9"/>
      <c r="Y42" s="3"/>
      <c r="Z42" s="3"/>
      <c r="AA42" s="9"/>
      <c r="AB42" s="3"/>
      <c r="AC42" s="3"/>
      <c r="AD42" s="3"/>
      <c r="AE42" s="3"/>
      <c r="AF42" s="9"/>
      <c r="AG42" s="4"/>
      <c r="AH42" s="9"/>
      <c r="AI42" s="3"/>
      <c r="AJ42" s="9"/>
      <c r="AK42" s="9"/>
      <c r="AL42" s="9"/>
      <c r="AM42" s="9"/>
      <c r="AN42" s="9"/>
      <c r="AO42" s="3"/>
      <c r="AP42" s="3"/>
      <c r="AQ42" s="9"/>
      <c r="AR42" s="3"/>
      <c r="AS42" s="9"/>
      <c r="AT42" s="9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9"/>
      <c r="BI42" s="9"/>
      <c r="BJ42" s="9"/>
      <c r="BK42" s="11"/>
      <c r="BL42" s="11"/>
      <c r="BM42" s="9"/>
      <c r="BN42" s="9"/>
      <c r="BO42" s="3"/>
    </row>
    <row r="43" spans="1:67">
      <c r="A43" s="3"/>
      <c r="B43" s="3"/>
      <c r="C43" s="4"/>
      <c r="D43" s="7"/>
      <c r="E43" s="4"/>
      <c r="F43" s="9"/>
      <c r="G43" s="4"/>
      <c r="H43" s="4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9"/>
      <c r="V43" s="9"/>
      <c r="W43" s="3"/>
      <c r="X43" s="9"/>
      <c r="Y43" s="3"/>
      <c r="Z43" s="3"/>
      <c r="AA43" s="9"/>
      <c r="AB43" s="3"/>
      <c r="AC43" s="3"/>
      <c r="AD43" s="3"/>
      <c r="AE43" s="3"/>
      <c r="AF43" s="9"/>
      <c r="AG43" s="4"/>
      <c r="AH43" s="9"/>
      <c r="AI43" s="3"/>
      <c r="AJ43" s="9"/>
      <c r="AK43" s="9"/>
      <c r="AL43" s="9"/>
      <c r="AM43" s="9"/>
      <c r="AN43" s="9"/>
      <c r="AO43" s="3"/>
      <c r="AP43" s="3"/>
      <c r="AQ43" s="9"/>
      <c r="AR43" s="3"/>
      <c r="AS43" s="9"/>
      <c r="AT43" s="9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9"/>
      <c r="BI43" s="9"/>
      <c r="BJ43" s="9"/>
      <c r="BK43" s="11"/>
      <c r="BL43" s="11"/>
      <c r="BM43" s="9"/>
      <c r="BN43" s="9"/>
      <c r="BO43" s="3"/>
    </row>
    <row r="44" spans="1:67">
      <c r="A44" s="3"/>
      <c r="B44" s="3"/>
      <c r="C44" s="4"/>
      <c r="D44" s="7"/>
      <c r="E44" s="4"/>
      <c r="F44" s="9"/>
      <c r="G44" s="4"/>
      <c r="H44" s="4"/>
      <c r="I44" s="3"/>
      <c r="J44" s="3"/>
      <c r="K44" s="9"/>
      <c r="L44" s="3"/>
      <c r="M44" s="3"/>
      <c r="N44" s="3"/>
      <c r="O44" s="3"/>
      <c r="P44" s="3"/>
      <c r="Q44" s="3"/>
      <c r="R44" s="3"/>
      <c r="S44" s="3"/>
      <c r="T44" s="3"/>
      <c r="U44" s="9"/>
      <c r="V44" s="9"/>
      <c r="W44" s="3"/>
      <c r="X44" s="9"/>
      <c r="Y44" s="3"/>
      <c r="Z44" s="3"/>
      <c r="AA44" s="9"/>
      <c r="AB44" s="3"/>
      <c r="AC44" s="3"/>
      <c r="AD44" s="3"/>
      <c r="AE44" s="3"/>
      <c r="AF44" s="9"/>
      <c r="AG44" s="4"/>
      <c r="AH44" s="9"/>
      <c r="AI44" s="3"/>
      <c r="AJ44" s="9"/>
      <c r="AK44" s="9"/>
      <c r="AL44" s="9"/>
      <c r="AM44" s="9"/>
      <c r="AN44" s="9"/>
      <c r="AO44" s="3"/>
      <c r="AP44" s="3"/>
      <c r="AQ44" s="9"/>
      <c r="AR44" s="3"/>
      <c r="AS44" s="9"/>
      <c r="AT44" s="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9"/>
      <c r="BI44" s="9"/>
      <c r="BJ44" s="9"/>
      <c r="BK44" s="11"/>
      <c r="BL44" s="11"/>
      <c r="BM44" s="9"/>
      <c r="BN44" s="9"/>
      <c r="BO44" s="3"/>
    </row>
    <row r="45" spans="1:67">
      <c r="A45" s="3"/>
      <c r="B45" s="3"/>
      <c r="C45" s="4"/>
      <c r="D45" s="7"/>
      <c r="E45" s="4"/>
      <c r="F45" s="9"/>
      <c r="G45" s="4"/>
      <c r="H45" s="4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9"/>
      <c r="V45" s="9"/>
      <c r="W45" s="3"/>
      <c r="X45" s="9"/>
      <c r="Y45" s="3"/>
      <c r="Z45" s="3"/>
      <c r="AA45" s="9"/>
      <c r="AB45" s="3"/>
      <c r="AC45" s="3"/>
      <c r="AD45" s="3"/>
      <c r="AE45" s="3"/>
      <c r="AF45" s="9"/>
      <c r="AG45" s="4"/>
      <c r="AH45" s="9"/>
      <c r="AI45" s="3"/>
      <c r="AJ45" s="9"/>
      <c r="AK45" s="9"/>
      <c r="AL45" s="9"/>
      <c r="AM45" s="9"/>
      <c r="AN45" s="9"/>
      <c r="AO45" s="3"/>
      <c r="AP45" s="3"/>
      <c r="AQ45" s="9"/>
      <c r="AR45" s="3"/>
      <c r="AS45" s="9"/>
      <c r="AT45" s="9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9"/>
      <c r="BI45" s="9"/>
      <c r="BJ45" s="9"/>
      <c r="BK45" s="11"/>
      <c r="BL45" s="11"/>
      <c r="BM45" s="9"/>
      <c r="BN45" s="9"/>
      <c r="BO45" s="3"/>
    </row>
    <row r="46" spans="1:67">
      <c r="A46" s="3"/>
      <c r="B46" s="3"/>
      <c r="C46" s="4"/>
      <c r="D46" s="7"/>
      <c r="E46" s="4"/>
      <c r="F46" s="9"/>
      <c r="G46" s="4"/>
      <c r="H46" s="4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9"/>
      <c r="V46" s="9"/>
      <c r="W46" s="3"/>
      <c r="X46" s="9"/>
      <c r="Y46" s="3"/>
      <c r="Z46" s="3"/>
      <c r="AA46" s="9"/>
      <c r="AB46" s="3"/>
      <c r="AC46" s="3"/>
      <c r="AD46" s="3"/>
      <c r="AE46" s="3"/>
      <c r="AF46" s="9"/>
      <c r="AG46" s="4"/>
      <c r="AH46" s="9"/>
      <c r="AI46" s="3"/>
      <c r="AJ46" s="9"/>
      <c r="AK46" s="9"/>
      <c r="AL46" s="9"/>
      <c r="AM46" s="9"/>
      <c r="AN46" s="9"/>
      <c r="AO46" s="3"/>
      <c r="AP46" s="3"/>
      <c r="AQ46" s="9"/>
      <c r="AR46" s="3"/>
      <c r="AS46" s="9"/>
      <c r="AT46" s="9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9"/>
      <c r="BI46" s="9"/>
      <c r="BJ46" s="9"/>
      <c r="BK46" s="11"/>
      <c r="BL46" s="11"/>
      <c r="BM46" s="9"/>
      <c r="BN46" s="9"/>
      <c r="BO46" s="3"/>
    </row>
    <row r="47" spans="1:67">
      <c r="A47" s="3"/>
      <c r="B47" s="3"/>
      <c r="C47" s="4"/>
      <c r="D47" s="7"/>
      <c r="E47" s="4"/>
      <c r="F47" s="9"/>
      <c r="G47" s="4"/>
      <c r="H47" s="4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9"/>
      <c r="V47" s="9"/>
      <c r="W47" s="3"/>
      <c r="X47" s="9"/>
      <c r="Y47" s="3"/>
      <c r="Z47" s="3"/>
      <c r="AA47" s="9"/>
      <c r="AB47" s="3"/>
      <c r="AC47" s="3"/>
      <c r="AD47" s="3"/>
      <c r="AE47" s="3"/>
      <c r="AF47" s="9"/>
      <c r="AG47" s="4"/>
      <c r="AH47" s="9"/>
      <c r="AI47" s="3"/>
      <c r="AJ47" s="9"/>
      <c r="AK47" s="9"/>
      <c r="AL47" s="9"/>
      <c r="AM47" s="9"/>
      <c r="AN47" s="9"/>
      <c r="AO47" s="3"/>
      <c r="AP47" s="3"/>
      <c r="AQ47" s="9"/>
      <c r="AR47" s="3"/>
      <c r="AS47" s="9"/>
      <c r="AT47" s="9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9"/>
      <c r="BI47" s="9"/>
      <c r="BJ47" s="9"/>
      <c r="BK47" s="11"/>
      <c r="BL47" s="11"/>
      <c r="BM47" s="9"/>
      <c r="BN47" s="9"/>
      <c r="BO47" s="3"/>
    </row>
    <row r="48" spans="1:67">
      <c r="A48" s="3"/>
      <c r="B48" s="3"/>
      <c r="C48" s="4"/>
      <c r="D48" s="7"/>
      <c r="E48" s="4"/>
      <c r="F48" s="9"/>
      <c r="G48" s="4"/>
      <c r="H48" s="4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9"/>
      <c r="V48" s="9"/>
      <c r="W48" s="3"/>
      <c r="X48" s="9"/>
      <c r="Y48" s="3"/>
      <c r="Z48" s="3"/>
      <c r="AA48" s="9"/>
      <c r="AB48" s="3"/>
      <c r="AC48" s="3"/>
      <c r="AD48" s="3"/>
      <c r="AE48" s="3"/>
      <c r="AF48" s="9"/>
      <c r="AG48" s="4"/>
      <c r="AH48" s="9"/>
      <c r="AI48" s="3"/>
      <c r="AJ48" s="9"/>
      <c r="AK48" s="9"/>
      <c r="AL48" s="9"/>
      <c r="AM48" s="9"/>
      <c r="AN48" s="9"/>
      <c r="AO48" s="3"/>
      <c r="AP48" s="3"/>
      <c r="AQ48" s="9"/>
      <c r="AR48" s="3"/>
      <c r="AS48" s="9"/>
      <c r="AT48" s="9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9"/>
      <c r="BI48" s="9"/>
      <c r="BJ48" s="9"/>
      <c r="BK48" s="11"/>
      <c r="BL48" s="11"/>
      <c r="BM48" s="9"/>
      <c r="BN48" s="9"/>
      <c r="BO48" s="3"/>
    </row>
    <row r="49" spans="1:67">
      <c r="A49" s="3"/>
      <c r="B49" s="3"/>
      <c r="C49" s="4"/>
      <c r="D49" s="7"/>
      <c r="E49" s="4"/>
      <c r="F49" s="9"/>
      <c r="G49" s="4"/>
      <c r="H49" s="4"/>
      <c r="I49" s="3"/>
      <c r="J49" s="3"/>
      <c r="K49" s="9"/>
      <c r="L49" s="3"/>
      <c r="M49" s="3"/>
      <c r="N49" s="3"/>
      <c r="O49" s="3"/>
      <c r="P49" s="3"/>
      <c r="Q49" s="3"/>
      <c r="R49" s="3"/>
      <c r="S49" s="3"/>
      <c r="T49" s="3"/>
      <c r="U49" s="9"/>
      <c r="V49" s="9"/>
      <c r="W49" s="3"/>
      <c r="X49" s="9"/>
      <c r="Y49" s="3"/>
      <c r="Z49" s="3"/>
      <c r="AA49" s="9"/>
      <c r="AB49" s="3"/>
      <c r="AC49" s="3"/>
      <c r="AD49" s="3"/>
      <c r="AE49" s="3"/>
      <c r="AF49" s="9"/>
      <c r="AG49" s="4"/>
      <c r="AH49" s="9"/>
      <c r="AI49" s="3"/>
      <c r="AJ49" s="9"/>
      <c r="AK49" s="9"/>
      <c r="AL49" s="9"/>
      <c r="AM49" s="9"/>
      <c r="AN49" s="9"/>
      <c r="AO49" s="3"/>
      <c r="AP49" s="3"/>
      <c r="AQ49" s="9"/>
      <c r="AR49" s="3"/>
      <c r="AS49" s="9"/>
      <c r="AT49" s="9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9"/>
      <c r="BI49" s="9"/>
      <c r="BJ49" s="9"/>
      <c r="BK49" s="11"/>
      <c r="BL49" s="11"/>
      <c r="BM49" s="9"/>
      <c r="BN49" s="9"/>
      <c r="BO49" s="3"/>
    </row>
    <row r="50" spans="1:67">
      <c r="A50" s="3"/>
      <c r="B50" s="3"/>
      <c r="C50" s="4"/>
      <c r="D50" s="7"/>
      <c r="E50" s="4"/>
      <c r="F50" s="9"/>
      <c r="G50" s="4"/>
      <c r="H50" s="4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9"/>
      <c r="V50" s="9"/>
      <c r="W50" s="3"/>
      <c r="X50" s="9"/>
      <c r="Y50" s="3"/>
      <c r="Z50" s="3"/>
      <c r="AA50" s="9"/>
      <c r="AB50" s="3"/>
      <c r="AC50" s="3"/>
      <c r="AD50" s="3"/>
      <c r="AE50" s="3"/>
      <c r="AF50" s="9"/>
      <c r="AG50" s="4"/>
      <c r="AH50" s="9"/>
      <c r="AI50" s="3"/>
      <c r="AJ50" s="9"/>
      <c r="AK50" s="9"/>
      <c r="AL50" s="9"/>
      <c r="AM50" s="9"/>
      <c r="AN50" s="9"/>
      <c r="AO50" s="3"/>
      <c r="AP50" s="3"/>
      <c r="AQ50" s="9"/>
      <c r="AR50" s="3"/>
      <c r="AS50" s="9"/>
      <c r="AT50" s="9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9"/>
      <c r="BI50" s="9"/>
      <c r="BJ50" s="9"/>
      <c r="BK50" s="11"/>
      <c r="BL50" s="11"/>
      <c r="BM50" s="9"/>
      <c r="BN50" s="9"/>
      <c r="BO50" s="3"/>
    </row>
    <row r="51" spans="1:67">
      <c r="A51" s="3"/>
      <c r="B51" s="3"/>
      <c r="C51" s="4"/>
      <c r="D51" s="7"/>
      <c r="E51" s="4"/>
      <c r="F51" s="9"/>
      <c r="G51" s="4"/>
      <c r="H51" s="4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9"/>
      <c r="V51" s="9"/>
      <c r="W51" s="3"/>
      <c r="X51" s="9"/>
      <c r="Y51" s="3"/>
      <c r="Z51" s="3"/>
      <c r="AA51" s="9"/>
      <c r="AB51" s="3"/>
      <c r="AC51" s="3"/>
      <c r="AD51" s="3"/>
      <c r="AE51" s="3"/>
      <c r="AF51" s="9"/>
      <c r="AG51" s="4"/>
      <c r="AH51" s="9"/>
      <c r="AI51" s="3"/>
      <c r="AJ51" s="9"/>
      <c r="AK51" s="9"/>
      <c r="AL51" s="9"/>
      <c r="AM51" s="9"/>
      <c r="AN51" s="9"/>
      <c r="AO51" s="3"/>
      <c r="AP51" s="3"/>
      <c r="AQ51" s="9"/>
      <c r="AR51" s="3"/>
      <c r="AS51" s="9"/>
      <c r="AT51" s="9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9"/>
      <c r="BI51" s="9"/>
      <c r="BJ51" s="9"/>
      <c r="BK51" s="11"/>
      <c r="BL51" s="11"/>
      <c r="BM51" s="9"/>
      <c r="BN51" s="9"/>
      <c r="BO51" s="3"/>
    </row>
    <row r="52" spans="1:67">
      <c r="A52" s="3"/>
      <c r="B52" s="3"/>
      <c r="C52" s="4"/>
      <c r="D52" s="7"/>
      <c r="E52" s="4"/>
      <c r="F52" s="9"/>
      <c r="G52" s="4"/>
      <c r="H52" s="4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9"/>
      <c r="V52" s="9"/>
      <c r="W52" s="3"/>
      <c r="X52" s="9"/>
      <c r="Y52" s="3"/>
      <c r="Z52" s="3"/>
      <c r="AA52" s="9"/>
      <c r="AB52" s="3"/>
      <c r="AC52" s="3"/>
      <c r="AD52" s="3"/>
      <c r="AE52" s="3"/>
      <c r="AF52" s="9"/>
      <c r="AG52" s="4"/>
      <c r="AH52" s="9"/>
      <c r="AI52" s="3"/>
      <c r="AJ52" s="9"/>
      <c r="AK52" s="9"/>
      <c r="AL52" s="9"/>
      <c r="AM52" s="9"/>
      <c r="AN52" s="9"/>
      <c r="AO52" s="3"/>
      <c r="AP52" s="3"/>
      <c r="AQ52" s="9"/>
      <c r="AR52" s="3"/>
      <c r="AS52" s="9"/>
      <c r="AT52" s="9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9"/>
      <c r="BI52" s="9"/>
      <c r="BJ52" s="9"/>
      <c r="BK52" s="11"/>
      <c r="BL52" s="11"/>
      <c r="BM52" s="9"/>
      <c r="BN52" s="9"/>
      <c r="BO52" s="3"/>
    </row>
    <row r="53" spans="1:67">
      <c r="A53" s="3"/>
      <c r="B53" s="3"/>
      <c r="C53" s="4"/>
      <c r="D53" s="7"/>
      <c r="E53" s="4"/>
      <c r="F53" s="9"/>
      <c r="G53" s="4"/>
      <c r="H53" s="4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9"/>
      <c r="V53" s="9"/>
      <c r="W53" s="3"/>
      <c r="X53" s="9"/>
      <c r="Y53" s="3"/>
      <c r="Z53" s="3"/>
      <c r="AA53" s="9"/>
      <c r="AB53" s="3"/>
      <c r="AC53" s="3"/>
      <c r="AD53" s="3"/>
      <c r="AE53" s="3"/>
      <c r="AF53" s="9"/>
      <c r="AG53" s="4"/>
      <c r="AH53" s="9"/>
      <c r="AI53" s="3"/>
      <c r="AJ53" s="9"/>
      <c r="AK53" s="9"/>
      <c r="AL53" s="9"/>
      <c r="AM53" s="9"/>
      <c r="AN53" s="9"/>
      <c r="AO53" s="3"/>
      <c r="AP53" s="3"/>
      <c r="AQ53" s="9"/>
      <c r="AR53" s="3"/>
      <c r="AS53" s="9"/>
      <c r="AT53" s="9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9"/>
      <c r="BI53" s="9"/>
      <c r="BJ53" s="9"/>
      <c r="BK53" s="11"/>
      <c r="BL53" s="11"/>
      <c r="BM53" s="9"/>
      <c r="BN53" s="9"/>
      <c r="BO53" s="3"/>
    </row>
    <row r="54" spans="1:67">
      <c r="A54" s="3"/>
      <c r="B54" s="3"/>
      <c r="C54" s="4"/>
      <c r="D54" s="7"/>
      <c r="E54" s="4"/>
      <c r="F54" s="9"/>
      <c r="G54" s="4"/>
      <c r="H54" s="4"/>
      <c r="I54" s="3"/>
      <c r="J54" s="3"/>
      <c r="K54" s="9"/>
      <c r="L54" s="3"/>
      <c r="M54" s="3"/>
      <c r="N54" s="3"/>
      <c r="O54" s="3"/>
      <c r="P54" s="3"/>
      <c r="Q54" s="3"/>
      <c r="R54" s="3"/>
      <c r="S54" s="3"/>
      <c r="T54" s="3"/>
      <c r="U54" s="9"/>
      <c r="V54" s="9"/>
      <c r="W54" s="3"/>
      <c r="X54" s="9"/>
      <c r="Y54" s="3"/>
      <c r="Z54" s="3"/>
      <c r="AA54" s="9"/>
      <c r="AB54" s="3"/>
      <c r="AC54" s="3"/>
      <c r="AD54" s="3"/>
      <c r="AE54" s="3"/>
      <c r="AF54" s="9"/>
      <c r="AG54" s="4"/>
      <c r="AH54" s="9"/>
      <c r="AI54" s="3"/>
      <c r="AJ54" s="9"/>
      <c r="AK54" s="9"/>
      <c r="AL54" s="9"/>
      <c r="AM54" s="9"/>
      <c r="AN54" s="9"/>
      <c r="AO54" s="3"/>
      <c r="AP54" s="3"/>
      <c r="AQ54" s="9"/>
      <c r="AR54" s="3"/>
      <c r="AS54" s="9"/>
      <c r="AT54" s="9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9"/>
      <c r="BI54" s="9"/>
      <c r="BJ54" s="9"/>
      <c r="BK54" s="11"/>
      <c r="BL54" s="11"/>
      <c r="BM54" s="9"/>
      <c r="BN54" s="9"/>
      <c r="BO54" s="3"/>
    </row>
    <row r="55" spans="1:67">
      <c r="A55" s="3"/>
      <c r="B55" s="3"/>
      <c r="C55" s="4"/>
      <c r="D55" s="7"/>
      <c r="E55" s="4"/>
      <c r="F55" s="9"/>
      <c r="G55" s="4"/>
      <c r="H55" s="4"/>
      <c r="I55" s="3"/>
      <c r="J55" s="3"/>
      <c r="K55" s="9"/>
      <c r="L55" s="3"/>
      <c r="M55" s="3"/>
      <c r="N55" s="3"/>
      <c r="O55" s="3"/>
      <c r="P55" s="3"/>
      <c r="Q55" s="3"/>
      <c r="R55" s="3"/>
      <c r="S55" s="3"/>
      <c r="T55" s="3"/>
      <c r="U55" s="9"/>
      <c r="V55" s="9"/>
      <c r="W55" s="3"/>
      <c r="X55" s="9"/>
      <c r="Y55" s="3"/>
      <c r="Z55" s="3"/>
      <c r="AA55" s="9"/>
      <c r="AB55" s="3"/>
      <c r="AC55" s="3"/>
      <c r="AD55" s="3"/>
      <c r="AE55" s="3"/>
      <c r="AF55" s="9"/>
      <c r="AG55" s="4"/>
      <c r="AH55" s="9"/>
      <c r="AI55" s="3"/>
      <c r="AJ55" s="9"/>
      <c r="AK55" s="9"/>
      <c r="AL55" s="9"/>
      <c r="AM55" s="9"/>
      <c r="AN55" s="9"/>
      <c r="AO55" s="3"/>
      <c r="AP55" s="3"/>
      <c r="AQ55" s="9"/>
      <c r="AR55" s="3"/>
      <c r="AS55" s="9"/>
      <c r="AT55" s="9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9"/>
      <c r="BI55" s="9"/>
      <c r="BJ55" s="9"/>
      <c r="BK55" s="11"/>
      <c r="BL55" s="11"/>
      <c r="BM55" s="9"/>
      <c r="BN55" s="9"/>
      <c r="BO55" s="3"/>
    </row>
    <row r="56" spans="1:67">
      <c r="A56" s="3"/>
      <c r="B56" s="3"/>
      <c r="C56" s="4"/>
      <c r="D56" s="7"/>
      <c r="E56" s="4"/>
      <c r="F56" s="9"/>
      <c r="G56" s="4"/>
      <c r="H56" s="4"/>
      <c r="I56" s="3"/>
      <c r="J56" s="3"/>
      <c r="K56" s="9"/>
      <c r="L56" s="3"/>
      <c r="M56" s="3"/>
      <c r="N56" s="3"/>
      <c r="O56" s="3"/>
      <c r="P56" s="3"/>
      <c r="Q56" s="3"/>
      <c r="R56" s="3"/>
      <c r="S56" s="3"/>
      <c r="T56" s="3"/>
      <c r="U56" s="9"/>
      <c r="V56" s="9"/>
      <c r="W56" s="3"/>
      <c r="X56" s="9"/>
      <c r="Y56" s="3"/>
      <c r="Z56" s="3"/>
      <c r="AA56" s="9"/>
      <c r="AB56" s="3"/>
      <c r="AC56" s="3"/>
      <c r="AD56" s="3"/>
      <c r="AE56" s="3"/>
      <c r="AF56" s="9"/>
      <c r="AG56" s="4"/>
      <c r="AH56" s="9"/>
      <c r="AI56" s="3"/>
      <c r="AJ56" s="9"/>
      <c r="AK56" s="9"/>
      <c r="AL56" s="9"/>
      <c r="AM56" s="9"/>
      <c r="AN56" s="9"/>
      <c r="AO56" s="3"/>
      <c r="AP56" s="3"/>
      <c r="AQ56" s="9"/>
      <c r="AR56" s="3"/>
      <c r="AS56" s="9"/>
      <c r="AT56" s="9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9"/>
      <c r="BI56" s="9"/>
      <c r="BJ56" s="9"/>
      <c r="BK56" s="11"/>
      <c r="BL56" s="11"/>
      <c r="BM56" s="9"/>
      <c r="BN56" s="9"/>
      <c r="BO56" s="3"/>
    </row>
    <row r="57" spans="1:67">
      <c r="A57" s="3"/>
      <c r="B57" s="3"/>
      <c r="C57" s="4"/>
      <c r="D57" s="7"/>
      <c r="E57" s="4"/>
      <c r="F57" s="9"/>
      <c r="G57" s="4"/>
      <c r="H57" s="4"/>
      <c r="I57" s="3"/>
      <c r="J57" s="3"/>
      <c r="K57" s="9"/>
      <c r="L57" s="3"/>
      <c r="M57" s="3"/>
      <c r="N57" s="3"/>
      <c r="O57" s="3"/>
      <c r="P57" s="3"/>
      <c r="Q57" s="3"/>
      <c r="R57" s="3"/>
      <c r="S57" s="3"/>
      <c r="T57" s="3"/>
      <c r="U57" s="9"/>
      <c r="V57" s="9"/>
      <c r="W57" s="3"/>
      <c r="X57" s="9"/>
      <c r="Y57" s="3"/>
      <c r="Z57" s="3"/>
      <c r="AA57" s="9"/>
      <c r="AB57" s="3"/>
      <c r="AC57" s="3"/>
      <c r="AD57" s="3"/>
      <c r="AE57" s="3"/>
      <c r="AF57" s="9"/>
      <c r="AG57" s="4"/>
      <c r="AH57" s="9"/>
      <c r="AI57" s="3"/>
      <c r="AJ57" s="9"/>
      <c r="AK57" s="9"/>
      <c r="AL57" s="9"/>
      <c r="AM57" s="9"/>
      <c r="AN57" s="9"/>
      <c r="AO57" s="3"/>
      <c r="AP57" s="3"/>
      <c r="AQ57" s="9"/>
      <c r="AR57" s="3"/>
      <c r="AS57" s="9"/>
      <c r="AT57" s="9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9"/>
      <c r="BI57" s="9"/>
      <c r="BJ57" s="9"/>
      <c r="BK57" s="11"/>
      <c r="BL57" s="11"/>
      <c r="BM57" s="9"/>
      <c r="BN57" s="9"/>
      <c r="BO57" s="3"/>
    </row>
    <row r="58" spans="1:67">
      <c r="A58" s="3"/>
      <c r="B58" s="3"/>
      <c r="C58" s="4"/>
      <c r="D58" s="7"/>
      <c r="E58" s="4"/>
      <c r="F58" s="9"/>
      <c r="G58" s="4"/>
      <c r="H58" s="4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9"/>
      <c r="V58" s="9"/>
      <c r="W58" s="3"/>
      <c r="X58" s="9"/>
      <c r="Y58" s="3"/>
      <c r="Z58" s="3"/>
      <c r="AA58" s="9"/>
      <c r="AB58" s="3"/>
      <c r="AC58" s="3"/>
      <c r="AD58" s="3"/>
      <c r="AE58" s="3"/>
      <c r="AF58" s="9"/>
      <c r="AG58" s="4"/>
      <c r="AH58" s="9"/>
      <c r="AI58" s="3"/>
      <c r="AJ58" s="9"/>
      <c r="AK58" s="9"/>
      <c r="AL58" s="9"/>
      <c r="AM58" s="9"/>
      <c r="AN58" s="9"/>
      <c r="AO58" s="3"/>
      <c r="AP58" s="3"/>
      <c r="AQ58" s="9"/>
      <c r="AR58" s="3"/>
      <c r="AS58" s="9"/>
      <c r="AT58" s="9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9"/>
      <c r="BI58" s="9"/>
      <c r="BJ58" s="9"/>
      <c r="BK58" s="11"/>
      <c r="BL58" s="11"/>
      <c r="BM58" s="9"/>
      <c r="BN58" s="9"/>
      <c r="BO58" s="3"/>
    </row>
    <row r="59" spans="1:67">
      <c r="A59" s="3"/>
      <c r="B59" s="3"/>
      <c r="C59" s="4"/>
      <c r="D59" s="7"/>
      <c r="E59" s="4"/>
      <c r="F59" s="9"/>
      <c r="G59" s="4"/>
      <c r="H59" s="4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9"/>
      <c r="V59" s="9"/>
      <c r="W59" s="3"/>
      <c r="X59" s="9"/>
      <c r="Y59" s="3"/>
      <c r="Z59" s="3"/>
      <c r="AA59" s="9"/>
      <c r="AB59" s="3"/>
      <c r="AC59" s="3"/>
      <c r="AD59" s="3"/>
      <c r="AE59" s="3"/>
      <c r="AF59" s="9"/>
      <c r="AG59" s="4"/>
      <c r="AH59" s="9"/>
      <c r="AI59" s="3"/>
      <c r="AJ59" s="9"/>
      <c r="AK59" s="9"/>
      <c r="AL59" s="9"/>
      <c r="AM59" s="9"/>
      <c r="AN59" s="9"/>
      <c r="AO59" s="3"/>
      <c r="AP59" s="3"/>
      <c r="AQ59" s="9"/>
      <c r="AR59" s="3"/>
      <c r="AS59" s="9"/>
      <c r="AT59" s="9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9"/>
      <c r="BI59" s="9"/>
      <c r="BJ59" s="9"/>
      <c r="BK59" s="11"/>
      <c r="BL59" s="11"/>
      <c r="BM59" s="9"/>
      <c r="BN59" s="9"/>
      <c r="BO59" s="3"/>
    </row>
    <row r="60" spans="1:67">
      <c r="A60" s="3"/>
      <c r="B60" s="3"/>
      <c r="C60" s="4"/>
      <c r="D60" s="7"/>
      <c r="E60" s="4"/>
      <c r="F60" s="9"/>
      <c r="G60" s="4"/>
      <c r="H60" s="4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9"/>
      <c r="V60" s="9"/>
      <c r="W60" s="3"/>
      <c r="X60" s="9"/>
      <c r="Y60" s="3"/>
      <c r="Z60" s="3"/>
      <c r="AA60" s="9"/>
      <c r="AB60" s="3"/>
      <c r="AC60" s="3"/>
      <c r="AD60" s="3"/>
      <c r="AE60" s="3"/>
      <c r="AF60" s="9"/>
      <c r="AG60" s="4"/>
      <c r="AH60" s="9"/>
      <c r="AI60" s="3"/>
      <c r="AJ60" s="9"/>
      <c r="AK60" s="9"/>
      <c r="AL60" s="9"/>
      <c r="AM60" s="9"/>
      <c r="AN60" s="9"/>
      <c r="AO60" s="3"/>
      <c r="AP60" s="3"/>
      <c r="AQ60" s="9"/>
      <c r="AR60" s="3"/>
      <c r="AS60" s="9"/>
      <c r="AT60" s="9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9"/>
      <c r="BI60" s="9"/>
      <c r="BJ60" s="9"/>
      <c r="BK60" s="11"/>
      <c r="BL60" s="11"/>
      <c r="BM60" s="9"/>
      <c r="BN60" s="9"/>
      <c r="BO60" s="3"/>
    </row>
    <row r="61" spans="1:67">
      <c r="A61" s="3"/>
      <c r="B61" s="3"/>
      <c r="C61" s="4"/>
      <c r="D61" s="7"/>
      <c r="E61" s="4"/>
      <c r="F61" s="9"/>
      <c r="G61" s="4"/>
      <c r="H61" s="4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9"/>
      <c r="V61" s="9"/>
      <c r="W61" s="3"/>
      <c r="X61" s="9"/>
      <c r="Y61" s="3"/>
      <c r="Z61" s="3"/>
      <c r="AA61" s="9"/>
      <c r="AB61" s="3"/>
      <c r="AC61" s="3"/>
      <c r="AD61" s="3"/>
      <c r="AE61" s="3"/>
      <c r="AF61" s="9"/>
      <c r="AG61" s="4"/>
      <c r="AH61" s="9"/>
      <c r="AI61" s="3"/>
      <c r="AJ61" s="9"/>
      <c r="AK61" s="9"/>
      <c r="AL61" s="9"/>
      <c r="AM61" s="9"/>
      <c r="AN61" s="9"/>
      <c r="AO61" s="3"/>
      <c r="AP61" s="3"/>
      <c r="AQ61" s="9"/>
      <c r="AR61" s="3"/>
      <c r="AS61" s="9"/>
      <c r="AT61" s="9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9"/>
      <c r="BI61" s="9"/>
      <c r="BJ61" s="9"/>
      <c r="BK61" s="11"/>
      <c r="BL61" s="11"/>
      <c r="BM61" s="9"/>
      <c r="BN61" s="9"/>
      <c r="BO61" s="3"/>
    </row>
    <row r="62" spans="1:67">
      <c r="A62" s="3"/>
      <c r="B62" s="3"/>
      <c r="C62" s="4"/>
      <c r="D62" s="7"/>
      <c r="E62" s="4"/>
      <c r="F62" s="9"/>
      <c r="G62" s="4"/>
      <c r="H62" s="4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9"/>
      <c r="V62" s="9"/>
      <c r="W62" s="3"/>
      <c r="X62" s="9"/>
      <c r="Y62" s="3"/>
      <c r="Z62" s="3"/>
      <c r="AA62" s="9"/>
      <c r="AB62" s="3"/>
      <c r="AC62" s="3"/>
      <c r="AD62" s="3"/>
      <c r="AE62" s="3"/>
      <c r="AF62" s="9"/>
      <c r="AG62" s="4"/>
      <c r="AH62" s="9"/>
      <c r="AI62" s="3"/>
      <c r="AJ62" s="9"/>
      <c r="AK62" s="9"/>
      <c r="AL62" s="9"/>
      <c r="AM62" s="9"/>
      <c r="AN62" s="9"/>
      <c r="AO62" s="3"/>
      <c r="AP62" s="3"/>
      <c r="AQ62" s="9"/>
      <c r="AR62" s="3"/>
      <c r="AS62" s="9"/>
      <c r="AT62" s="9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9"/>
      <c r="BI62" s="9"/>
      <c r="BJ62" s="9"/>
      <c r="BK62" s="11"/>
      <c r="BL62" s="11"/>
      <c r="BM62" s="9"/>
      <c r="BN62" s="9"/>
      <c r="BO62" s="3"/>
    </row>
    <row r="63" spans="1:67">
      <c r="A63" s="3"/>
      <c r="B63" s="3"/>
      <c r="C63" s="4"/>
      <c r="D63" s="7"/>
      <c r="E63" s="4"/>
      <c r="F63" s="9"/>
      <c r="G63" s="4"/>
      <c r="H63" s="4"/>
      <c r="I63" s="3"/>
      <c r="J63" s="3"/>
      <c r="K63" s="9"/>
      <c r="L63" s="3"/>
      <c r="M63" s="3"/>
      <c r="N63" s="3"/>
      <c r="O63" s="3"/>
      <c r="P63" s="3"/>
      <c r="Q63" s="3"/>
      <c r="R63" s="3"/>
      <c r="S63" s="3"/>
      <c r="T63" s="3"/>
      <c r="U63" s="9"/>
      <c r="V63" s="9"/>
      <c r="W63" s="3"/>
      <c r="X63" s="9"/>
      <c r="Y63" s="3"/>
      <c r="Z63" s="3"/>
      <c r="AA63" s="9"/>
      <c r="AB63" s="3"/>
      <c r="AC63" s="3"/>
      <c r="AD63" s="3"/>
      <c r="AE63" s="3"/>
      <c r="AF63" s="9"/>
      <c r="AG63" s="4"/>
      <c r="AH63" s="9"/>
      <c r="AI63" s="3"/>
      <c r="AJ63" s="9"/>
      <c r="AK63" s="9"/>
      <c r="AL63" s="9"/>
      <c r="AM63" s="9"/>
      <c r="AN63" s="9"/>
      <c r="AO63" s="3"/>
      <c r="AP63" s="3"/>
      <c r="AQ63" s="9"/>
      <c r="AR63" s="3"/>
      <c r="AS63" s="9"/>
      <c r="AT63" s="9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9"/>
      <c r="BI63" s="9"/>
      <c r="BJ63" s="9"/>
      <c r="BK63" s="11"/>
      <c r="BL63" s="11"/>
      <c r="BM63" s="9"/>
      <c r="BN63" s="9"/>
      <c r="BO63" s="3"/>
    </row>
    <row r="64" spans="1:67">
      <c r="A64" s="3"/>
      <c r="B64" s="3"/>
      <c r="C64" s="4"/>
      <c r="D64" s="7"/>
      <c r="E64" s="4"/>
      <c r="F64" s="9"/>
      <c r="G64" s="4"/>
      <c r="H64" s="4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9"/>
      <c r="V64" s="9"/>
      <c r="W64" s="3"/>
      <c r="X64" s="9"/>
      <c r="Y64" s="3"/>
      <c r="Z64" s="3"/>
      <c r="AA64" s="9"/>
      <c r="AB64" s="3"/>
      <c r="AC64" s="3"/>
      <c r="AD64" s="3"/>
      <c r="AE64" s="3"/>
      <c r="AF64" s="9"/>
      <c r="AG64" s="4"/>
      <c r="AH64" s="9"/>
      <c r="AI64" s="3"/>
      <c r="AJ64" s="9"/>
      <c r="AK64" s="9"/>
      <c r="AL64" s="9"/>
      <c r="AM64" s="9"/>
      <c r="AN64" s="9"/>
      <c r="AO64" s="3"/>
      <c r="AP64" s="3"/>
      <c r="AQ64" s="9"/>
      <c r="AR64" s="3"/>
      <c r="AS64" s="9"/>
      <c r="AT64" s="9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9"/>
      <c r="BI64" s="9"/>
      <c r="BJ64" s="9"/>
      <c r="BK64" s="11"/>
      <c r="BL64" s="11"/>
      <c r="BM64" s="9"/>
      <c r="BN64" s="9"/>
      <c r="BO64" s="3"/>
    </row>
    <row r="65" spans="1:67">
      <c r="A65" s="3"/>
      <c r="B65" s="3"/>
      <c r="C65" s="4"/>
      <c r="D65" s="7"/>
      <c r="E65" s="4"/>
      <c r="F65" s="9"/>
      <c r="G65" s="4"/>
      <c r="H65" s="4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9"/>
      <c r="V65" s="9"/>
      <c r="W65" s="3"/>
      <c r="X65" s="9"/>
      <c r="Y65" s="3"/>
      <c r="Z65" s="3"/>
      <c r="AA65" s="9"/>
      <c r="AB65" s="3"/>
      <c r="AC65" s="3"/>
      <c r="AD65" s="3"/>
      <c r="AE65" s="3"/>
      <c r="AF65" s="9"/>
      <c r="AG65" s="4"/>
      <c r="AH65" s="9"/>
      <c r="AI65" s="3"/>
      <c r="AJ65" s="9"/>
      <c r="AK65" s="9"/>
      <c r="AL65" s="9"/>
      <c r="AM65" s="9"/>
      <c r="AN65" s="9"/>
      <c r="AO65" s="3"/>
      <c r="AP65" s="3"/>
      <c r="AQ65" s="9"/>
      <c r="AR65" s="3"/>
      <c r="AS65" s="9"/>
      <c r="AT65" s="9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9"/>
      <c r="BI65" s="9"/>
      <c r="BJ65" s="9"/>
      <c r="BK65" s="11"/>
      <c r="BL65" s="11"/>
      <c r="BM65" s="9"/>
      <c r="BN65" s="9"/>
      <c r="BO65" s="3"/>
    </row>
    <row r="66" spans="1:67">
      <c r="A66" s="3"/>
      <c r="B66" s="3"/>
      <c r="C66" s="4"/>
      <c r="D66" s="7"/>
      <c r="E66" s="4"/>
      <c r="F66" s="9"/>
      <c r="G66" s="4"/>
      <c r="H66" s="4"/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9"/>
      <c r="V66" s="9"/>
      <c r="W66" s="3"/>
      <c r="X66" s="9"/>
      <c r="Y66" s="3"/>
      <c r="Z66" s="3"/>
      <c r="AA66" s="9"/>
      <c r="AB66" s="3"/>
      <c r="AC66" s="3"/>
      <c r="AD66" s="3"/>
      <c r="AE66" s="3"/>
      <c r="AF66" s="9"/>
      <c r="AG66" s="4"/>
      <c r="AH66" s="9"/>
      <c r="AI66" s="3"/>
      <c r="AJ66" s="9"/>
      <c r="AK66" s="9"/>
      <c r="AL66" s="9"/>
      <c r="AM66" s="9"/>
      <c r="AN66" s="9"/>
      <c r="AO66" s="3"/>
      <c r="AP66" s="3"/>
      <c r="AQ66" s="9"/>
      <c r="AR66" s="3"/>
      <c r="AS66" s="9"/>
      <c r="AT66" s="9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9"/>
      <c r="BI66" s="9"/>
      <c r="BJ66" s="9"/>
      <c r="BK66" s="11"/>
      <c r="BL66" s="11"/>
      <c r="BM66" s="9"/>
      <c r="BN66" s="9"/>
      <c r="BO66" s="3"/>
    </row>
    <row r="67" spans="1:67">
      <c r="A67" s="3"/>
      <c r="B67" s="3"/>
      <c r="C67" s="4"/>
      <c r="D67" s="7"/>
      <c r="E67" s="4"/>
      <c r="F67" s="9"/>
      <c r="G67" s="4"/>
      <c r="H67" s="4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9"/>
      <c r="V67" s="9"/>
      <c r="W67" s="3"/>
      <c r="X67" s="9"/>
      <c r="Y67" s="3"/>
      <c r="Z67" s="3"/>
      <c r="AA67" s="9"/>
      <c r="AB67" s="3"/>
      <c r="AC67" s="3"/>
      <c r="AD67" s="3"/>
      <c r="AE67" s="3"/>
      <c r="AF67" s="9"/>
      <c r="AG67" s="4"/>
      <c r="AH67" s="9"/>
      <c r="AI67" s="3"/>
      <c r="AJ67" s="9"/>
      <c r="AK67" s="9"/>
      <c r="AL67" s="9"/>
      <c r="AM67" s="9"/>
      <c r="AN67" s="9"/>
      <c r="AO67" s="3"/>
      <c r="AP67" s="3"/>
      <c r="AQ67" s="9"/>
      <c r="AR67" s="3"/>
      <c r="AS67" s="9"/>
      <c r="AT67" s="9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9"/>
      <c r="BI67" s="9"/>
      <c r="BJ67" s="9"/>
      <c r="BK67" s="11"/>
      <c r="BL67" s="11"/>
      <c r="BM67" s="9"/>
      <c r="BN67" s="9"/>
      <c r="BO67" s="3"/>
    </row>
    <row r="68" spans="1:67">
      <c r="A68" s="3"/>
      <c r="B68" s="3"/>
      <c r="C68" s="4"/>
      <c r="D68" s="7"/>
      <c r="E68" s="4"/>
      <c r="F68" s="9"/>
      <c r="G68" s="4"/>
      <c r="H68" s="4"/>
      <c r="I68" s="3"/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9"/>
      <c r="V68" s="9"/>
      <c r="W68" s="3"/>
      <c r="X68" s="9"/>
      <c r="Y68" s="3"/>
      <c r="Z68" s="3"/>
      <c r="AA68" s="9"/>
      <c r="AB68" s="3"/>
      <c r="AC68" s="3"/>
      <c r="AD68" s="3"/>
      <c r="AE68" s="3"/>
      <c r="AF68" s="9"/>
      <c r="AG68" s="4"/>
      <c r="AH68" s="9"/>
      <c r="AI68" s="3"/>
      <c r="AJ68" s="9"/>
      <c r="AK68" s="9"/>
      <c r="AL68" s="9"/>
      <c r="AM68" s="9"/>
      <c r="AN68" s="9"/>
      <c r="AO68" s="3"/>
      <c r="AP68" s="3"/>
      <c r="AQ68" s="9"/>
      <c r="AR68" s="3"/>
      <c r="AS68" s="9"/>
      <c r="AT68" s="9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9"/>
      <c r="BI68" s="9"/>
      <c r="BJ68" s="9"/>
      <c r="BK68" s="11"/>
      <c r="BL68" s="11"/>
      <c r="BM68" s="9"/>
      <c r="BN68" s="9"/>
      <c r="BO68" s="3"/>
    </row>
    <row r="69" spans="1:67">
      <c r="A69" s="3"/>
      <c r="B69" s="3"/>
      <c r="C69" s="4"/>
      <c r="D69" s="7"/>
      <c r="E69" s="4"/>
      <c r="F69" s="9"/>
      <c r="G69" s="4"/>
      <c r="H69" s="4"/>
      <c r="I69" s="3"/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9"/>
      <c r="V69" s="9"/>
      <c r="W69" s="3"/>
      <c r="X69" s="9"/>
      <c r="Y69" s="3"/>
      <c r="Z69" s="3"/>
      <c r="AA69" s="9"/>
      <c r="AB69" s="3"/>
      <c r="AC69" s="3"/>
      <c r="AD69" s="3"/>
      <c r="AE69" s="3"/>
      <c r="AF69" s="9"/>
      <c r="AG69" s="4"/>
      <c r="AH69" s="9"/>
      <c r="AI69" s="3"/>
      <c r="AJ69" s="9"/>
      <c r="AK69" s="9"/>
      <c r="AL69" s="9"/>
      <c r="AM69" s="9"/>
      <c r="AN69" s="9"/>
      <c r="AO69" s="3"/>
      <c r="AP69" s="3"/>
      <c r="AQ69" s="9"/>
      <c r="AR69" s="3"/>
      <c r="AS69" s="9"/>
      <c r="AT69" s="9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9"/>
      <c r="BI69" s="9"/>
      <c r="BJ69" s="9"/>
      <c r="BK69" s="11"/>
      <c r="BL69" s="11"/>
      <c r="BM69" s="9"/>
      <c r="BN69" s="9"/>
      <c r="BO69" s="3"/>
    </row>
    <row r="70" spans="1:67">
      <c r="A70" s="3"/>
      <c r="B70" s="3"/>
      <c r="C70" s="4"/>
      <c r="D70" s="7"/>
      <c r="E70" s="4"/>
      <c r="F70" s="9"/>
      <c r="G70" s="4"/>
      <c r="H70" s="4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9"/>
      <c r="V70" s="9"/>
      <c r="W70" s="3"/>
      <c r="X70" s="9"/>
      <c r="Y70" s="3"/>
      <c r="Z70" s="3"/>
      <c r="AA70" s="9"/>
      <c r="AB70" s="3"/>
      <c r="AC70" s="3"/>
      <c r="AD70" s="3"/>
      <c r="AE70" s="3"/>
      <c r="AF70" s="9"/>
      <c r="AG70" s="4"/>
      <c r="AH70" s="9"/>
      <c r="AI70" s="3"/>
      <c r="AJ70" s="9"/>
      <c r="AK70" s="9"/>
      <c r="AL70" s="9"/>
      <c r="AM70" s="9"/>
      <c r="AN70" s="9"/>
      <c r="AO70" s="3"/>
      <c r="AP70" s="3"/>
      <c r="AQ70" s="9"/>
      <c r="AR70" s="3"/>
      <c r="AS70" s="9"/>
      <c r="AT70" s="9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9"/>
      <c r="BI70" s="9"/>
      <c r="BJ70" s="9"/>
      <c r="BK70" s="11"/>
      <c r="BL70" s="11"/>
      <c r="BM70" s="9"/>
      <c r="BN70" s="9"/>
      <c r="BO70" s="3"/>
    </row>
    <row r="71" spans="1:67">
      <c r="A71" s="3"/>
      <c r="B71" s="3"/>
      <c r="C71" s="4"/>
      <c r="D71" s="7"/>
      <c r="E71" s="4"/>
      <c r="F71" s="9"/>
      <c r="G71" s="4"/>
      <c r="H71" s="4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9"/>
      <c r="V71" s="9"/>
      <c r="W71" s="3"/>
      <c r="X71" s="9"/>
      <c r="Y71" s="3"/>
      <c r="Z71" s="3"/>
      <c r="AA71" s="9"/>
      <c r="AB71" s="3"/>
      <c r="AC71" s="3"/>
      <c r="AD71" s="3"/>
      <c r="AE71" s="3"/>
      <c r="AF71" s="9"/>
      <c r="AG71" s="4"/>
      <c r="AH71" s="9"/>
      <c r="AI71" s="3"/>
      <c r="AJ71" s="9"/>
      <c r="AK71" s="9"/>
      <c r="AL71" s="9"/>
      <c r="AM71" s="9"/>
      <c r="AN71" s="9"/>
      <c r="AO71" s="3"/>
      <c r="AP71" s="3"/>
      <c r="AQ71" s="9"/>
      <c r="AR71" s="3"/>
      <c r="AS71" s="9"/>
      <c r="AT71" s="9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9"/>
      <c r="BI71" s="9"/>
      <c r="BJ71" s="9"/>
      <c r="BK71" s="11"/>
      <c r="BL71" s="11"/>
      <c r="BM71" s="9"/>
      <c r="BN71" s="9"/>
      <c r="BO71" s="3"/>
    </row>
    <row r="72" spans="1:67">
      <c r="A72" s="3"/>
      <c r="B72" s="3"/>
      <c r="C72" s="4"/>
      <c r="D72" s="7"/>
      <c r="E72" s="4"/>
      <c r="F72" s="9"/>
      <c r="G72" s="4"/>
      <c r="H72" s="4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9"/>
      <c r="V72" s="9"/>
      <c r="W72" s="3"/>
      <c r="X72" s="9"/>
      <c r="Y72" s="3"/>
      <c r="Z72" s="3"/>
      <c r="AA72" s="9"/>
      <c r="AB72" s="3"/>
      <c r="AC72" s="3"/>
      <c r="AD72" s="3"/>
      <c r="AE72" s="3"/>
      <c r="AF72" s="9"/>
      <c r="AG72" s="4"/>
      <c r="AH72" s="9"/>
      <c r="AI72" s="3"/>
      <c r="AJ72" s="9"/>
      <c r="AK72" s="9"/>
      <c r="AL72" s="9"/>
      <c r="AM72" s="9"/>
      <c r="AN72" s="9"/>
      <c r="AO72" s="3"/>
      <c r="AP72" s="3"/>
      <c r="AQ72" s="9"/>
      <c r="AR72" s="3"/>
      <c r="AS72" s="9"/>
      <c r="AT72" s="9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9"/>
      <c r="BI72" s="9"/>
      <c r="BJ72" s="9"/>
      <c r="BK72" s="11"/>
      <c r="BL72" s="11"/>
      <c r="BM72" s="9"/>
      <c r="BN72" s="9"/>
      <c r="BO72" s="3"/>
    </row>
    <row r="73" spans="1:67">
      <c r="A73" s="3"/>
      <c r="B73" s="3"/>
      <c r="C73" s="4"/>
      <c r="D73" s="7"/>
      <c r="E73" s="4"/>
      <c r="F73" s="9"/>
      <c r="G73" s="4"/>
      <c r="H73" s="4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9"/>
      <c r="V73" s="9"/>
      <c r="W73" s="3"/>
      <c r="X73" s="9"/>
      <c r="Y73" s="3"/>
      <c r="Z73" s="3"/>
      <c r="AA73" s="9"/>
      <c r="AB73" s="3"/>
      <c r="AC73" s="3"/>
      <c r="AD73" s="3"/>
      <c r="AE73" s="3"/>
      <c r="AF73" s="9"/>
      <c r="AG73" s="4"/>
      <c r="AH73" s="9"/>
      <c r="AI73" s="3"/>
      <c r="AJ73" s="9"/>
      <c r="AK73" s="9"/>
      <c r="AL73" s="9"/>
      <c r="AM73" s="9"/>
      <c r="AN73" s="9"/>
      <c r="AO73" s="3"/>
      <c r="AP73" s="3"/>
      <c r="AQ73" s="9"/>
      <c r="AR73" s="3"/>
      <c r="AS73" s="9"/>
      <c r="AT73" s="9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9"/>
      <c r="BI73" s="9"/>
      <c r="BJ73" s="9"/>
      <c r="BK73" s="11"/>
      <c r="BL73" s="11"/>
      <c r="BM73" s="9"/>
      <c r="BN73" s="9"/>
      <c r="BO73" s="3"/>
    </row>
    <row r="74" spans="1:67">
      <c r="A74" s="3"/>
      <c r="B74" s="3"/>
      <c r="C74" s="4"/>
      <c r="D74" s="7"/>
      <c r="E74" s="4"/>
      <c r="F74" s="9"/>
      <c r="G74" s="4"/>
      <c r="H74" s="4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9"/>
      <c r="V74" s="9"/>
      <c r="W74" s="3"/>
      <c r="X74" s="9"/>
      <c r="Y74" s="3"/>
      <c r="Z74" s="3"/>
      <c r="AA74" s="9"/>
      <c r="AB74" s="3"/>
      <c r="AC74" s="3"/>
      <c r="AD74" s="3"/>
      <c r="AE74" s="3"/>
      <c r="AF74" s="9"/>
      <c r="AG74" s="4"/>
      <c r="AH74" s="9"/>
      <c r="AI74" s="3"/>
      <c r="AJ74" s="9"/>
      <c r="AK74" s="9"/>
      <c r="AL74" s="9"/>
      <c r="AM74" s="9"/>
      <c r="AN74" s="9"/>
      <c r="AO74" s="3"/>
      <c r="AP74" s="3"/>
      <c r="AQ74" s="9"/>
      <c r="AR74" s="3"/>
      <c r="AS74" s="9"/>
      <c r="AT74" s="9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9"/>
      <c r="BI74" s="9"/>
      <c r="BJ74" s="9"/>
      <c r="BK74" s="11"/>
      <c r="BL74" s="11"/>
      <c r="BM74" s="9"/>
      <c r="BN74" s="9"/>
      <c r="BO74" s="3"/>
    </row>
    <row r="75" spans="1:67">
      <c r="A75" s="3"/>
      <c r="B75" s="3"/>
      <c r="C75" s="4"/>
      <c r="D75" s="7"/>
      <c r="E75" s="4"/>
      <c r="F75" s="9"/>
      <c r="G75" s="4"/>
      <c r="H75" s="4"/>
      <c r="I75" s="3"/>
      <c r="J75" s="3"/>
      <c r="K75" s="9"/>
      <c r="L75" s="3"/>
      <c r="M75" s="3"/>
      <c r="N75" s="3"/>
      <c r="O75" s="3"/>
      <c r="P75" s="3"/>
      <c r="Q75" s="3"/>
      <c r="R75" s="3"/>
      <c r="S75" s="3"/>
      <c r="T75" s="3"/>
      <c r="U75" s="9"/>
      <c r="V75" s="9"/>
      <c r="W75" s="3"/>
      <c r="X75" s="9"/>
      <c r="Y75" s="3"/>
      <c r="Z75" s="3"/>
      <c r="AA75" s="9"/>
      <c r="AB75" s="3"/>
      <c r="AC75" s="3"/>
      <c r="AD75" s="3"/>
      <c r="AE75" s="3"/>
      <c r="AF75" s="9"/>
      <c r="AG75" s="4"/>
      <c r="AH75" s="9"/>
      <c r="AI75" s="3"/>
      <c r="AJ75" s="9"/>
      <c r="AK75" s="9"/>
      <c r="AL75" s="9"/>
      <c r="AM75" s="9"/>
      <c r="AN75" s="9"/>
      <c r="AO75" s="3"/>
      <c r="AP75" s="3"/>
      <c r="AQ75" s="9"/>
      <c r="AR75" s="3"/>
      <c r="AS75" s="9"/>
      <c r="AT75" s="9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9"/>
      <c r="BI75" s="9"/>
      <c r="BJ75" s="9"/>
      <c r="BK75" s="11"/>
      <c r="BL75" s="11"/>
      <c r="BM75" s="9"/>
      <c r="BN75" s="9"/>
      <c r="BO75" s="3"/>
    </row>
    <row r="76" spans="1:67">
      <c r="A76" s="3"/>
      <c r="B76" s="3"/>
      <c r="C76" s="4"/>
      <c r="D76" s="7"/>
      <c r="E76" s="4"/>
      <c r="F76" s="9"/>
      <c r="G76" s="4"/>
      <c r="H76" s="4"/>
      <c r="I76" s="3"/>
      <c r="J76" s="3"/>
      <c r="K76" s="9"/>
      <c r="L76" s="3"/>
      <c r="M76" s="3"/>
      <c r="N76" s="3"/>
      <c r="O76" s="3"/>
      <c r="P76" s="3"/>
      <c r="Q76" s="3"/>
      <c r="R76" s="3"/>
      <c r="S76" s="3"/>
      <c r="T76" s="3"/>
      <c r="U76" s="9"/>
      <c r="V76" s="9"/>
      <c r="W76" s="3"/>
      <c r="X76" s="9"/>
      <c r="Y76" s="3"/>
      <c r="Z76" s="3"/>
      <c r="AA76" s="9"/>
      <c r="AB76" s="3"/>
      <c r="AC76" s="3"/>
      <c r="AD76" s="3"/>
      <c r="AE76" s="3"/>
      <c r="AF76" s="9"/>
      <c r="AG76" s="4"/>
      <c r="AH76" s="9"/>
      <c r="AI76" s="3"/>
      <c r="AJ76" s="9"/>
      <c r="AK76" s="9"/>
      <c r="AL76" s="9"/>
      <c r="AM76" s="9"/>
      <c r="AN76" s="9"/>
      <c r="AO76" s="3"/>
      <c r="AP76" s="3"/>
      <c r="AQ76" s="9"/>
      <c r="AR76" s="3"/>
      <c r="AS76" s="9"/>
      <c r="AT76" s="9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9"/>
      <c r="BI76" s="9"/>
      <c r="BJ76" s="9"/>
      <c r="BK76" s="11"/>
      <c r="BL76" s="11"/>
      <c r="BM76" s="9"/>
      <c r="BN76" s="9"/>
      <c r="BO76" s="3"/>
    </row>
    <row r="77" spans="1:67">
      <c r="A77" s="3"/>
      <c r="B77" s="3"/>
      <c r="C77" s="4"/>
      <c r="D77" s="7"/>
      <c r="E77" s="4"/>
      <c r="F77" s="9"/>
      <c r="G77" s="4"/>
      <c r="H77" s="4"/>
      <c r="I77" s="3"/>
      <c r="J77" s="3"/>
      <c r="K77" s="9"/>
      <c r="L77" s="3"/>
      <c r="M77" s="3"/>
      <c r="N77" s="3"/>
      <c r="O77" s="3"/>
      <c r="P77" s="3"/>
      <c r="Q77" s="3"/>
      <c r="R77" s="3"/>
      <c r="S77" s="3"/>
      <c r="T77" s="3"/>
      <c r="U77" s="9"/>
      <c r="V77" s="9"/>
      <c r="W77" s="3"/>
      <c r="X77" s="9"/>
      <c r="Y77" s="3"/>
      <c r="Z77" s="3"/>
      <c r="AA77" s="9"/>
      <c r="AB77" s="3"/>
      <c r="AC77" s="3"/>
      <c r="AD77" s="3"/>
      <c r="AE77" s="3"/>
      <c r="AF77" s="9"/>
      <c r="AG77" s="4"/>
      <c r="AH77" s="9"/>
      <c r="AI77" s="3"/>
      <c r="AJ77" s="9"/>
      <c r="AK77" s="9"/>
      <c r="AL77" s="9"/>
      <c r="AM77" s="9"/>
      <c r="AN77" s="9"/>
      <c r="AO77" s="3"/>
      <c r="AP77" s="3"/>
      <c r="AQ77" s="9"/>
      <c r="AR77" s="3"/>
      <c r="AS77" s="9"/>
      <c r="AT77" s="9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9"/>
      <c r="BI77" s="9"/>
      <c r="BJ77" s="9"/>
      <c r="BK77" s="11"/>
      <c r="BL77" s="11"/>
      <c r="BM77" s="9"/>
      <c r="BN77" s="9"/>
      <c r="BO77" s="3"/>
    </row>
    <row r="78" spans="1:67">
      <c r="A78" s="3"/>
      <c r="B78" s="3"/>
      <c r="C78" s="4"/>
      <c r="D78" s="7"/>
      <c r="E78" s="4"/>
      <c r="F78" s="9"/>
      <c r="G78" s="4"/>
      <c r="H78" s="4"/>
      <c r="I78" s="3"/>
      <c r="J78" s="3"/>
      <c r="K78" s="9"/>
      <c r="L78" s="3"/>
      <c r="M78" s="3"/>
      <c r="N78" s="3"/>
      <c r="O78" s="3"/>
      <c r="P78" s="3"/>
      <c r="Q78" s="3"/>
      <c r="R78" s="3"/>
      <c r="S78" s="3"/>
      <c r="T78" s="3"/>
      <c r="U78" s="9"/>
      <c r="V78" s="9"/>
      <c r="W78" s="3"/>
      <c r="X78" s="9"/>
      <c r="Y78" s="3"/>
      <c r="Z78" s="3"/>
      <c r="AA78" s="9"/>
      <c r="AB78" s="3"/>
      <c r="AC78" s="3"/>
      <c r="AD78" s="3"/>
      <c r="AE78" s="3"/>
      <c r="AF78" s="9"/>
      <c r="AG78" s="4"/>
      <c r="AH78" s="9"/>
      <c r="AI78" s="3"/>
      <c r="AJ78" s="9"/>
      <c r="AK78" s="9"/>
      <c r="AL78" s="9"/>
      <c r="AM78" s="9"/>
      <c r="AN78" s="9"/>
      <c r="AO78" s="3"/>
      <c r="AP78" s="3"/>
      <c r="AQ78" s="9"/>
      <c r="AR78" s="3"/>
      <c r="AS78" s="9"/>
      <c r="AT78" s="9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9"/>
      <c r="BI78" s="9"/>
      <c r="BJ78" s="9"/>
      <c r="BK78" s="11"/>
      <c r="BL78" s="11"/>
      <c r="BM78" s="9"/>
      <c r="BN78" s="9"/>
      <c r="BO78" s="3"/>
    </row>
    <row r="79" spans="1:67">
      <c r="A79" s="3"/>
      <c r="B79" s="3"/>
      <c r="C79" s="4"/>
      <c r="D79" s="7"/>
      <c r="E79" s="4"/>
      <c r="F79" s="9"/>
      <c r="G79" s="4"/>
      <c r="H79" s="4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9"/>
      <c r="V79" s="9"/>
      <c r="W79" s="3"/>
      <c r="X79" s="9"/>
      <c r="Y79" s="3"/>
      <c r="Z79" s="3"/>
      <c r="AA79" s="9"/>
      <c r="AB79" s="3"/>
      <c r="AC79" s="3"/>
      <c r="AD79" s="3"/>
      <c r="AE79" s="3"/>
      <c r="AF79" s="9"/>
      <c r="AG79" s="4"/>
      <c r="AH79" s="9"/>
      <c r="AI79" s="3"/>
      <c r="AJ79" s="9"/>
      <c r="AK79" s="9"/>
      <c r="AL79" s="9"/>
      <c r="AM79" s="9"/>
      <c r="AN79" s="9"/>
      <c r="AO79" s="3"/>
      <c r="AP79" s="3"/>
      <c r="AQ79" s="9"/>
      <c r="AR79" s="3"/>
      <c r="AS79" s="9"/>
      <c r="AT79" s="9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9"/>
      <c r="BI79" s="9"/>
      <c r="BJ79" s="9"/>
      <c r="BK79" s="11"/>
      <c r="BL79" s="11"/>
      <c r="BM79" s="9"/>
      <c r="BN79" s="9"/>
      <c r="BO79" s="3"/>
    </row>
    <row r="80" spans="1:67">
      <c r="A80" s="3"/>
      <c r="B80" s="3"/>
      <c r="C80" s="4"/>
      <c r="D80" s="7"/>
      <c r="E80" s="4"/>
      <c r="F80" s="9"/>
      <c r="G80" s="4"/>
      <c r="H80" s="4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9"/>
      <c r="V80" s="9"/>
      <c r="W80" s="3"/>
      <c r="X80" s="9"/>
      <c r="Y80" s="3"/>
      <c r="Z80" s="3"/>
      <c r="AA80" s="9"/>
      <c r="AB80" s="3"/>
      <c r="AC80" s="3"/>
      <c r="AD80" s="3"/>
      <c r="AE80" s="3"/>
      <c r="AF80" s="9"/>
      <c r="AG80" s="4"/>
      <c r="AH80" s="9"/>
      <c r="AI80" s="3"/>
      <c r="AJ80" s="9"/>
      <c r="AK80" s="9"/>
      <c r="AL80" s="9"/>
      <c r="AM80" s="9"/>
      <c r="AN80" s="9"/>
      <c r="AO80" s="3"/>
      <c r="AP80" s="3"/>
      <c r="AQ80" s="9"/>
      <c r="AR80" s="3"/>
      <c r="AS80" s="9"/>
      <c r="AT80" s="9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9"/>
      <c r="BI80" s="9"/>
      <c r="BJ80" s="9"/>
      <c r="BK80" s="11"/>
      <c r="BL80" s="11"/>
      <c r="BM80" s="9"/>
      <c r="BN80" s="9"/>
      <c r="BO80" s="3"/>
    </row>
    <row r="81" spans="1:67">
      <c r="A81" s="3"/>
      <c r="B81" s="3"/>
      <c r="C81" s="4"/>
      <c r="D81" s="7"/>
      <c r="E81" s="4"/>
      <c r="F81" s="9"/>
      <c r="G81" s="4"/>
      <c r="H81" s="4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9"/>
      <c r="V81" s="9"/>
      <c r="W81" s="3"/>
      <c r="X81" s="9"/>
      <c r="Y81" s="3"/>
      <c r="Z81" s="3"/>
      <c r="AA81" s="9"/>
      <c r="AB81" s="3"/>
      <c r="AC81" s="3"/>
      <c r="AD81" s="3"/>
      <c r="AE81" s="3"/>
      <c r="AF81" s="9"/>
      <c r="AG81" s="4"/>
      <c r="AH81" s="9"/>
      <c r="AI81" s="3"/>
      <c r="AJ81" s="9"/>
      <c r="AK81" s="9"/>
      <c r="AL81" s="9"/>
      <c r="AM81" s="9"/>
      <c r="AN81" s="9"/>
      <c r="AO81" s="3"/>
      <c r="AP81" s="3"/>
      <c r="AQ81" s="9"/>
      <c r="AR81" s="3"/>
      <c r="AS81" s="9"/>
      <c r="AT81" s="9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9"/>
      <c r="BI81" s="9"/>
      <c r="BJ81" s="9"/>
      <c r="BK81" s="11"/>
      <c r="BL81" s="11"/>
      <c r="BM81" s="9"/>
      <c r="BN81" s="9"/>
      <c r="BO81" s="3"/>
    </row>
    <row r="82" spans="1:67">
      <c r="A82" s="3"/>
      <c r="B82" s="3"/>
      <c r="C82" s="4"/>
      <c r="D82" s="7"/>
      <c r="E82" s="4"/>
      <c r="F82" s="9"/>
      <c r="G82" s="4"/>
      <c r="H82" s="4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9"/>
      <c r="V82" s="9"/>
      <c r="W82" s="3"/>
      <c r="X82" s="9"/>
      <c r="Y82" s="3"/>
      <c r="Z82" s="3"/>
      <c r="AA82" s="9"/>
      <c r="AB82" s="3"/>
      <c r="AC82" s="3"/>
      <c r="AD82" s="3"/>
      <c r="AE82" s="3"/>
      <c r="AF82" s="9"/>
      <c r="AG82" s="4"/>
      <c r="AH82" s="9"/>
      <c r="AI82" s="3"/>
      <c r="AJ82" s="9"/>
      <c r="AK82" s="9"/>
      <c r="AL82" s="9"/>
      <c r="AM82" s="9"/>
      <c r="AN82" s="9"/>
      <c r="AO82" s="3"/>
      <c r="AP82" s="3"/>
      <c r="AQ82" s="9"/>
      <c r="AR82" s="3"/>
      <c r="AS82" s="9"/>
      <c r="AT82" s="9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9"/>
      <c r="BI82" s="9"/>
      <c r="BJ82" s="9"/>
      <c r="BK82" s="11"/>
      <c r="BL82" s="11"/>
      <c r="BM82" s="9"/>
      <c r="BN82" s="9"/>
      <c r="BO82" s="3"/>
    </row>
    <row r="83" spans="1:67">
      <c r="A83" s="3"/>
      <c r="B83" s="3"/>
      <c r="C83" s="4"/>
      <c r="D83" s="7"/>
      <c r="E83" s="4"/>
      <c r="F83" s="9"/>
      <c r="G83" s="4"/>
      <c r="H83" s="4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9"/>
      <c r="V83" s="9"/>
      <c r="W83" s="3"/>
      <c r="X83" s="9"/>
      <c r="Y83" s="3"/>
      <c r="Z83" s="3"/>
      <c r="AA83" s="9"/>
      <c r="AB83" s="3"/>
      <c r="AC83" s="3"/>
      <c r="AD83" s="3"/>
      <c r="AE83" s="3"/>
      <c r="AF83" s="9"/>
      <c r="AG83" s="4"/>
      <c r="AH83" s="9"/>
      <c r="AI83" s="3"/>
      <c r="AJ83" s="9"/>
      <c r="AK83" s="9"/>
      <c r="AL83" s="9"/>
      <c r="AM83" s="9"/>
      <c r="AN83" s="9"/>
      <c r="AO83" s="3"/>
      <c r="AP83" s="3"/>
      <c r="AQ83" s="9"/>
      <c r="AR83" s="3"/>
      <c r="AS83" s="9"/>
      <c r="AT83" s="9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9"/>
      <c r="BI83" s="9"/>
      <c r="BJ83" s="9"/>
      <c r="BK83" s="11"/>
      <c r="BL83" s="11"/>
      <c r="BM83" s="9"/>
      <c r="BN83" s="9"/>
      <c r="BO83" s="3"/>
    </row>
    <row r="84" spans="1:67">
      <c r="A84" s="3"/>
      <c r="B84" s="3"/>
      <c r="C84" s="4"/>
      <c r="D84" s="7"/>
      <c r="E84" s="4"/>
      <c r="F84" s="9"/>
      <c r="G84" s="4"/>
      <c r="H84" s="4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9"/>
      <c r="V84" s="9"/>
      <c r="W84" s="3"/>
      <c r="X84" s="9"/>
      <c r="Y84" s="3"/>
      <c r="Z84" s="3"/>
      <c r="AA84" s="9"/>
      <c r="AB84" s="3"/>
      <c r="AC84" s="3"/>
      <c r="AD84" s="3"/>
      <c r="AE84" s="3"/>
      <c r="AF84" s="9"/>
      <c r="AG84" s="4"/>
      <c r="AH84" s="9"/>
      <c r="AI84" s="3"/>
      <c r="AJ84" s="9"/>
      <c r="AK84" s="9"/>
      <c r="AL84" s="9"/>
      <c r="AM84" s="9"/>
      <c r="AN84" s="9"/>
      <c r="AO84" s="3"/>
      <c r="AP84" s="3"/>
      <c r="AQ84" s="9"/>
      <c r="AR84" s="3"/>
      <c r="AS84" s="9"/>
      <c r="AT84" s="9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9"/>
      <c r="BI84" s="9"/>
      <c r="BJ84" s="9"/>
      <c r="BK84" s="11"/>
      <c r="BL84" s="11"/>
      <c r="BM84" s="9"/>
      <c r="BN84" s="9"/>
      <c r="BO84" s="3"/>
    </row>
    <row r="85" spans="1:67">
      <c r="A85" s="3"/>
      <c r="B85" s="3"/>
      <c r="C85" s="4"/>
      <c r="D85" s="7"/>
      <c r="E85" s="4"/>
      <c r="F85" s="9"/>
      <c r="G85" s="4"/>
      <c r="H85" s="4"/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9"/>
      <c r="V85" s="9"/>
      <c r="W85" s="3"/>
      <c r="X85" s="9"/>
      <c r="Y85" s="3"/>
      <c r="Z85" s="3"/>
      <c r="AA85" s="9"/>
      <c r="AB85" s="3"/>
      <c r="AC85" s="3"/>
      <c r="AD85" s="3"/>
      <c r="AE85" s="3"/>
      <c r="AF85" s="9"/>
      <c r="AG85" s="4"/>
      <c r="AH85" s="9"/>
      <c r="AI85" s="3"/>
      <c r="AJ85" s="9"/>
      <c r="AK85" s="9"/>
      <c r="AL85" s="9"/>
      <c r="AM85" s="9"/>
      <c r="AN85" s="9"/>
      <c r="AO85" s="3"/>
      <c r="AP85" s="3"/>
      <c r="AQ85" s="9"/>
      <c r="AR85" s="3"/>
      <c r="AS85" s="9"/>
      <c r="AT85" s="9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9"/>
      <c r="BI85" s="9"/>
      <c r="BJ85" s="9"/>
      <c r="BK85" s="11"/>
      <c r="BL85" s="11"/>
      <c r="BM85" s="9"/>
      <c r="BN85" s="9"/>
      <c r="BO85" s="3"/>
    </row>
    <row r="86" spans="1:67">
      <c r="A86" s="3"/>
      <c r="B86" s="3"/>
      <c r="C86" s="4"/>
      <c r="D86" s="7"/>
      <c r="E86" s="4"/>
      <c r="F86" s="9"/>
      <c r="G86" s="4"/>
      <c r="H86" s="4"/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9"/>
      <c r="V86" s="9"/>
      <c r="W86" s="3"/>
      <c r="X86" s="9"/>
      <c r="Y86" s="3"/>
      <c r="Z86" s="3"/>
      <c r="AA86" s="9"/>
      <c r="AB86" s="3"/>
      <c r="AC86" s="3"/>
      <c r="AD86" s="3"/>
      <c r="AE86" s="3"/>
      <c r="AF86" s="9"/>
      <c r="AG86" s="4"/>
      <c r="AH86" s="9"/>
      <c r="AI86" s="3"/>
      <c r="AJ86" s="9"/>
      <c r="AK86" s="9"/>
      <c r="AL86" s="9"/>
      <c r="AM86" s="9"/>
      <c r="AN86" s="9"/>
      <c r="AO86" s="3"/>
      <c r="AP86" s="3"/>
      <c r="AQ86" s="9"/>
      <c r="AR86" s="3"/>
      <c r="AS86" s="9"/>
      <c r="AT86" s="9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9"/>
      <c r="BI86" s="9"/>
      <c r="BJ86" s="9"/>
      <c r="BK86" s="11"/>
      <c r="BL86" s="11"/>
      <c r="BM86" s="9"/>
      <c r="BN86" s="9"/>
      <c r="BO86" s="3"/>
    </row>
    <row r="87" spans="1:67">
      <c r="A87" s="3"/>
      <c r="B87" s="3"/>
      <c r="C87" s="4"/>
      <c r="D87" s="7"/>
      <c r="E87" s="4"/>
      <c r="F87" s="9"/>
      <c r="G87" s="4"/>
      <c r="H87" s="4"/>
      <c r="I87" s="3"/>
      <c r="J87" s="3"/>
      <c r="K87" s="9"/>
      <c r="L87" s="3"/>
      <c r="M87" s="3"/>
      <c r="N87" s="3"/>
      <c r="O87" s="3"/>
      <c r="P87" s="3"/>
      <c r="Q87" s="3"/>
      <c r="R87" s="3"/>
      <c r="S87" s="3"/>
      <c r="T87" s="3"/>
      <c r="U87" s="9"/>
      <c r="V87" s="9"/>
      <c r="W87" s="3"/>
      <c r="X87" s="9"/>
      <c r="Y87" s="3"/>
      <c r="Z87" s="3"/>
      <c r="AA87" s="9"/>
      <c r="AB87" s="3"/>
      <c r="AC87" s="3"/>
      <c r="AD87" s="3"/>
      <c r="AE87" s="3"/>
      <c r="AF87" s="9"/>
      <c r="AG87" s="4"/>
      <c r="AH87" s="9"/>
      <c r="AI87" s="3"/>
      <c r="AJ87" s="9"/>
      <c r="AK87" s="9"/>
      <c r="AL87" s="9"/>
      <c r="AM87" s="9"/>
      <c r="AN87" s="9"/>
      <c r="AO87" s="3"/>
      <c r="AP87" s="3"/>
      <c r="AQ87" s="9"/>
      <c r="AR87" s="3"/>
      <c r="AS87" s="9"/>
      <c r="AT87" s="9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9"/>
      <c r="BI87" s="9"/>
      <c r="BJ87" s="9"/>
      <c r="BK87" s="11"/>
      <c r="BL87" s="11"/>
      <c r="BM87" s="9"/>
      <c r="BN87" s="9"/>
      <c r="BO87" s="3"/>
    </row>
    <row r="88" spans="1:67">
      <c r="A88" s="3"/>
      <c r="B88" s="3"/>
      <c r="C88" s="4"/>
      <c r="D88" s="7"/>
      <c r="E88" s="4"/>
      <c r="F88" s="9"/>
      <c r="G88" s="4"/>
      <c r="H88" s="4"/>
      <c r="I88" s="3"/>
      <c r="J88" s="3"/>
      <c r="K88" s="9"/>
      <c r="L88" s="3"/>
      <c r="M88" s="3"/>
      <c r="N88" s="3"/>
      <c r="O88" s="3"/>
      <c r="P88" s="3"/>
      <c r="Q88" s="3"/>
      <c r="R88" s="3"/>
      <c r="S88" s="3"/>
      <c r="T88" s="3"/>
      <c r="U88" s="9"/>
      <c r="V88" s="9"/>
      <c r="W88" s="3"/>
      <c r="X88" s="9"/>
      <c r="Y88" s="3"/>
      <c r="Z88" s="3"/>
      <c r="AA88" s="9"/>
      <c r="AB88" s="3"/>
      <c r="AC88" s="3"/>
      <c r="AD88" s="3"/>
      <c r="AE88" s="3"/>
      <c r="AF88" s="9"/>
      <c r="AG88" s="4"/>
      <c r="AH88" s="9"/>
      <c r="AI88" s="3"/>
      <c r="AJ88" s="9"/>
      <c r="AK88" s="9"/>
      <c r="AL88" s="9"/>
      <c r="AM88" s="9"/>
      <c r="AN88" s="9"/>
      <c r="AO88" s="3"/>
      <c r="AP88" s="3"/>
      <c r="AQ88" s="9"/>
      <c r="AR88" s="3"/>
      <c r="AS88" s="9"/>
      <c r="AT88" s="9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9"/>
      <c r="BI88" s="9"/>
      <c r="BJ88" s="9"/>
      <c r="BK88" s="11"/>
      <c r="BL88" s="11"/>
      <c r="BM88" s="9"/>
      <c r="BN88" s="9"/>
      <c r="BO88" s="3"/>
    </row>
    <row r="89" spans="1:67">
      <c r="A89" s="3"/>
      <c r="B89" s="3"/>
      <c r="C89" s="4"/>
      <c r="D89" s="7"/>
      <c r="E89" s="4"/>
      <c r="F89" s="9"/>
      <c r="G89" s="4"/>
      <c r="H89" s="4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9"/>
      <c r="V89" s="9"/>
      <c r="W89" s="3"/>
      <c r="X89" s="9"/>
      <c r="Y89" s="3"/>
      <c r="Z89" s="3"/>
      <c r="AA89" s="9"/>
      <c r="AB89" s="3"/>
      <c r="AC89" s="3"/>
      <c r="AD89" s="3"/>
      <c r="AE89" s="3"/>
      <c r="AF89" s="9"/>
      <c r="AG89" s="4"/>
      <c r="AH89" s="9"/>
      <c r="AI89" s="3"/>
      <c r="AJ89" s="9"/>
      <c r="AK89" s="9"/>
      <c r="AL89" s="9"/>
      <c r="AM89" s="9"/>
      <c r="AN89" s="9"/>
      <c r="AO89" s="3"/>
      <c r="AP89" s="3"/>
      <c r="AQ89" s="9"/>
      <c r="AR89" s="3"/>
      <c r="AS89" s="9"/>
      <c r="AT89" s="9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9"/>
      <c r="BI89" s="9"/>
      <c r="BJ89" s="9"/>
      <c r="BK89" s="11"/>
      <c r="BL89" s="11"/>
      <c r="BM89" s="9"/>
      <c r="BN89" s="9"/>
      <c r="BO89" s="3"/>
    </row>
    <row r="90" spans="1:67">
      <c r="A90" s="3"/>
      <c r="B90" s="3"/>
      <c r="C90" s="4"/>
      <c r="D90" s="7"/>
      <c r="E90" s="4"/>
      <c r="F90" s="9"/>
      <c r="G90" s="4"/>
      <c r="H90" s="4"/>
      <c r="I90" s="3"/>
      <c r="J90" s="3"/>
      <c r="K90" s="9"/>
      <c r="L90" s="3"/>
      <c r="M90" s="3"/>
      <c r="N90" s="3"/>
      <c r="O90" s="3"/>
      <c r="P90" s="3"/>
      <c r="Q90" s="3"/>
      <c r="R90" s="3"/>
      <c r="S90" s="3"/>
      <c r="T90" s="3"/>
      <c r="U90" s="9"/>
      <c r="V90" s="9"/>
      <c r="W90" s="3"/>
      <c r="X90" s="9"/>
      <c r="Y90" s="3"/>
      <c r="Z90" s="3"/>
      <c r="AA90" s="9"/>
      <c r="AB90" s="3"/>
      <c r="AC90" s="3"/>
      <c r="AD90" s="3"/>
      <c r="AE90" s="3"/>
      <c r="AF90" s="9"/>
      <c r="AG90" s="4"/>
      <c r="AH90" s="9"/>
      <c r="AI90" s="3"/>
      <c r="AJ90" s="9"/>
      <c r="AK90" s="9"/>
      <c r="AL90" s="9"/>
      <c r="AM90" s="9"/>
      <c r="AN90" s="9"/>
      <c r="AO90" s="3"/>
      <c r="AP90" s="3"/>
      <c r="AQ90" s="9"/>
      <c r="AR90" s="3"/>
      <c r="AS90" s="9"/>
      <c r="AT90" s="9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9"/>
      <c r="BI90" s="9"/>
      <c r="BJ90" s="9"/>
      <c r="BK90" s="11"/>
      <c r="BL90" s="11"/>
      <c r="BM90" s="9"/>
      <c r="BN90" s="9"/>
      <c r="BO90" s="3"/>
    </row>
    <row r="91" spans="1:67">
      <c r="A91" s="3"/>
      <c r="B91" s="3"/>
      <c r="C91" s="4"/>
      <c r="D91" s="7"/>
      <c r="E91" s="4"/>
      <c r="F91" s="9"/>
      <c r="G91" s="4"/>
      <c r="H91" s="4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9"/>
      <c r="V91" s="9"/>
      <c r="W91" s="3"/>
      <c r="X91" s="9"/>
      <c r="Y91" s="3"/>
      <c r="Z91" s="3"/>
      <c r="AA91" s="9"/>
      <c r="AB91" s="3"/>
      <c r="AC91" s="3"/>
      <c r="AD91" s="3"/>
      <c r="AE91" s="3"/>
      <c r="AF91" s="9"/>
      <c r="AG91" s="4"/>
      <c r="AH91" s="9"/>
      <c r="AI91" s="3"/>
      <c r="AJ91" s="9"/>
      <c r="AK91" s="9"/>
      <c r="AL91" s="9"/>
      <c r="AM91" s="9"/>
      <c r="AN91" s="9"/>
      <c r="AO91" s="3"/>
      <c r="AP91" s="3"/>
      <c r="AQ91" s="9"/>
      <c r="AR91" s="3"/>
      <c r="AS91" s="9"/>
      <c r="AT91" s="9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9"/>
      <c r="BI91" s="9"/>
      <c r="BJ91" s="9"/>
      <c r="BK91" s="11"/>
      <c r="BL91" s="11"/>
      <c r="BM91" s="9"/>
      <c r="BN91" s="9"/>
      <c r="BO91" s="3"/>
    </row>
    <row r="92" spans="1:67">
      <c r="A92" s="3"/>
      <c r="B92" s="3"/>
      <c r="C92" s="4"/>
      <c r="D92" s="7"/>
      <c r="E92" s="4"/>
      <c r="F92" s="9"/>
      <c r="G92" s="4"/>
      <c r="H92" s="4"/>
      <c r="I92" s="3"/>
      <c r="J92" s="3"/>
      <c r="K92" s="9"/>
      <c r="L92" s="3"/>
      <c r="M92" s="3"/>
      <c r="N92" s="3"/>
      <c r="O92" s="3"/>
      <c r="P92" s="3"/>
      <c r="Q92" s="3"/>
      <c r="R92" s="3"/>
      <c r="S92" s="3"/>
      <c r="T92" s="3"/>
      <c r="U92" s="9"/>
      <c r="V92" s="9"/>
      <c r="W92" s="3"/>
      <c r="X92" s="9"/>
      <c r="Y92" s="3"/>
      <c r="Z92" s="3"/>
      <c r="AA92" s="9"/>
      <c r="AB92" s="3"/>
      <c r="AC92" s="3"/>
      <c r="AD92" s="3"/>
      <c r="AE92" s="3"/>
      <c r="AF92" s="9"/>
      <c r="AG92" s="4"/>
      <c r="AH92" s="9"/>
      <c r="AI92" s="3"/>
      <c r="AJ92" s="9"/>
      <c r="AK92" s="9"/>
      <c r="AL92" s="9"/>
      <c r="AM92" s="9"/>
      <c r="AN92" s="9"/>
      <c r="AO92" s="3"/>
      <c r="AP92" s="3"/>
      <c r="AQ92" s="9"/>
      <c r="AR92" s="3"/>
      <c r="AS92" s="9"/>
      <c r="AT92" s="9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9"/>
      <c r="BI92" s="9"/>
      <c r="BJ92" s="9"/>
      <c r="BK92" s="11"/>
      <c r="BL92" s="11"/>
      <c r="BM92" s="9"/>
      <c r="BN92" s="9"/>
      <c r="BO92" s="3"/>
    </row>
    <row r="93" spans="1:67">
      <c r="A93" s="3"/>
      <c r="B93" s="3"/>
      <c r="C93" s="4"/>
      <c r="D93" s="7"/>
      <c r="E93" s="4"/>
      <c r="F93" s="9"/>
      <c r="G93" s="4"/>
      <c r="H93" s="4"/>
      <c r="I93" s="3"/>
      <c r="J93" s="3"/>
      <c r="K93" s="9"/>
      <c r="L93" s="3"/>
      <c r="M93" s="3"/>
      <c r="N93" s="3"/>
      <c r="O93" s="3"/>
      <c r="P93" s="3"/>
      <c r="Q93" s="3"/>
      <c r="R93" s="3"/>
      <c r="S93" s="3"/>
      <c r="T93" s="3"/>
      <c r="U93" s="9"/>
      <c r="V93" s="9"/>
      <c r="W93" s="3"/>
      <c r="X93" s="9"/>
      <c r="Y93" s="3"/>
      <c r="Z93" s="3"/>
      <c r="AA93" s="9"/>
      <c r="AB93" s="3"/>
      <c r="AC93" s="3"/>
      <c r="AD93" s="3"/>
      <c r="AE93" s="3"/>
      <c r="AF93" s="9"/>
      <c r="AG93" s="4"/>
      <c r="AH93" s="9"/>
      <c r="AI93" s="3"/>
      <c r="AJ93" s="9"/>
      <c r="AK93" s="9"/>
      <c r="AL93" s="9"/>
      <c r="AM93" s="9"/>
      <c r="AN93" s="9"/>
      <c r="AO93" s="3"/>
      <c r="AP93" s="3"/>
      <c r="AQ93" s="9"/>
      <c r="AR93" s="3"/>
      <c r="AS93" s="9"/>
      <c r="AT93" s="9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9"/>
      <c r="BI93" s="9"/>
      <c r="BJ93" s="9"/>
      <c r="BK93" s="11"/>
      <c r="BL93" s="11"/>
      <c r="BM93" s="9"/>
      <c r="BN93" s="9"/>
      <c r="BO93" s="3"/>
    </row>
    <row r="94" spans="1:67">
      <c r="A94" s="3"/>
      <c r="B94" s="3"/>
      <c r="C94" s="4"/>
      <c r="D94" s="7"/>
      <c r="E94" s="4"/>
      <c r="F94" s="9"/>
      <c r="G94" s="4"/>
      <c r="H94" s="4"/>
      <c r="I94" s="3"/>
      <c r="J94" s="3"/>
      <c r="K94" s="9"/>
      <c r="L94" s="3"/>
      <c r="M94" s="3"/>
      <c r="N94" s="3"/>
      <c r="O94" s="3"/>
      <c r="P94" s="3"/>
      <c r="Q94" s="3"/>
      <c r="R94" s="3"/>
      <c r="S94" s="3"/>
      <c r="T94" s="3"/>
      <c r="U94" s="9"/>
      <c r="V94" s="9"/>
      <c r="W94" s="3"/>
      <c r="X94" s="9"/>
      <c r="Y94" s="3"/>
      <c r="Z94" s="3"/>
      <c r="AA94" s="9"/>
      <c r="AB94" s="3"/>
      <c r="AC94" s="3"/>
      <c r="AD94" s="3"/>
      <c r="AE94" s="3"/>
      <c r="AF94" s="9"/>
      <c r="AG94" s="4"/>
      <c r="AH94" s="9"/>
      <c r="AI94" s="3"/>
      <c r="AJ94" s="9"/>
      <c r="AK94" s="9"/>
      <c r="AL94" s="9"/>
      <c r="AM94" s="9"/>
      <c r="AN94" s="9"/>
      <c r="AO94" s="3"/>
      <c r="AP94" s="3"/>
      <c r="AQ94" s="9"/>
      <c r="AR94" s="3"/>
      <c r="AS94" s="9"/>
      <c r="AT94" s="9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9"/>
      <c r="BI94" s="9"/>
      <c r="BJ94" s="9"/>
      <c r="BK94" s="11"/>
      <c r="BL94" s="11"/>
      <c r="BM94" s="9"/>
      <c r="BN94" s="9"/>
      <c r="BO94" s="3"/>
    </row>
    <row r="95" spans="1:67">
      <c r="A95" s="3"/>
      <c r="B95" s="3"/>
      <c r="C95" s="4"/>
      <c r="D95" s="7"/>
      <c r="E95" s="4"/>
      <c r="F95" s="9"/>
      <c r="G95" s="4"/>
      <c r="H95" s="4"/>
      <c r="I95" s="3"/>
      <c r="J95" s="3"/>
      <c r="K95" s="9"/>
      <c r="L95" s="3"/>
      <c r="M95" s="3"/>
      <c r="N95" s="3"/>
      <c r="O95" s="3"/>
      <c r="P95" s="3"/>
      <c r="Q95" s="3"/>
      <c r="R95" s="3"/>
      <c r="S95" s="3"/>
      <c r="T95" s="3"/>
      <c r="U95" s="9"/>
      <c r="V95" s="9"/>
      <c r="W95" s="3"/>
      <c r="X95" s="9"/>
      <c r="Y95" s="3"/>
      <c r="Z95" s="3"/>
      <c r="AA95" s="9"/>
      <c r="AB95" s="3"/>
      <c r="AC95" s="3"/>
      <c r="AD95" s="3"/>
      <c r="AE95" s="3"/>
      <c r="AF95" s="9"/>
      <c r="AG95" s="4"/>
      <c r="AH95" s="9"/>
      <c r="AI95" s="3"/>
      <c r="AJ95" s="9"/>
      <c r="AK95" s="9"/>
      <c r="AL95" s="9"/>
      <c r="AM95" s="9"/>
      <c r="AN95" s="9"/>
      <c r="AO95" s="3"/>
      <c r="AP95" s="3"/>
      <c r="AQ95" s="9"/>
      <c r="AR95" s="3"/>
      <c r="AS95" s="9"/>
      <c r="AT95" s="9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9"/>
      <c r="BI95" s="9"/>
      <c r="BJ95" s="9"/>
      <c r="BK95" s="11"/>
      <c r="BL95" s="11"/>
      <c r="BM95" s="9"/>
      <c r="BN95" s="9"/>
      <c r="BO95" s="3"/>
    </row>
    <row r="96" spans="1:67">
      <c r="A96" s="3"/>
      <c r="B96" s="3"/>
      <c r="C96" s="4"/>
      <c r="D96" s="7"/>
      <c r="E96" s="4"/>
      <c r="F96" s="9"/>
      <c r="G96" s="4"/>
      <c r="H96" s="4"/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9"/>
      <c r="V96" s="9"/>
      <c r="W96" s="3"/>
      <c r="X96" s="9"/>
      <c r="Y96" s="3"/>
      <c r="Z96" s="3"/>
      <c r="AA96" s="9"/>
      <c r="AB96" s="3"/>
      <c r="AC96" s="3"/>
      <c r="AD96" s="3"/>
      <c r="AE96" s="3"/>
      <c r="AF96" s="9"/>
      <c r="AG96" s="4"/>
      <c r="AH96" s="9"/>
      <c r="AI96" s="3"/>
      <c r="AJ96" s="9"/>
      <c r="AK96" s="9"/>
      <c r="AL96" s="9"/>
      <c r="AM96" s="9"/>
      <c r="AN96" s="9"/>
      <c r="AO96" s="3"/>
      <c r="AP96" s="3"/>
      <c r="AQ96" s="9"/>
      <c r="AR96" s="3"/>
      <c r="AS96" s="9"/>
      <c r="AT96" s="9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9"/>
      <c r="BI96" s="9"/>
      <c r="BJ96" s="9"/>
      <c r="BK96" s="11"/>
      <c r="BL96" s="11"/>
      <c r="BM96" s="9"/>
      <c r="BN96" s="9"/>
      <c r="BO96" s="3"/>
    </row>
    <row r="97" spans="1:67">
      <c r="A97" s="3"/>
      <c r="B97" s="3"/>
      <c r="C97" s="4"/>
      <c r="D97" s="7"/>
      <c r="E97" s="4"/>
      <c r="F97" s="9"/>
      <c r="G97" s="4"/>
      <c r="H97" s="4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9"/>
      <c r="V97" s="9"/>
      <c r="W97" s="3"/>
      <c r="X97" s="9"/>
      <c r="Y97" s="3"/>
      <c r="Z97" s="3"/>
      <c r="AA97" s="9"/>
      <c r="AB97" s="3"/>
      <c r="AC97" s="3"/>
      <c r="AD97" s="3"/>
      <c r="AE97" s="3"/>
      <c r="AF97" s="9"/>
      <c r="AG97" s="4"/>
      <c r="AH97" s="9"/>
      <c r="AI97" s="3"/>
      <c r="AJ97" s="9"/>
      <c r="AK97" s="9"/>
      <c r="AL97" s="9"/>
      <c r="AM97" s="9"/>
      <c r="AN97" s="9"/>
      <c r="AO97" s="3"/>
      <c r="AP97" s="3"/>
      <c r="AQ97" s="9"/>
      <c r="AR97" s="3"/>
      <c r="AS97" s="9"/>
      <c r="AT97" s="9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9"/>
      <c r="BI97" s="9"/>
      <c r="BJ97" s="9"/>
      <c r="BK97" s="11"/>
      <c r="BL97" s="11"/>
      <c r="BM97" s="9"/>
      <c r="BN97" s="9"/>
      <c r="BO97" s="3"/>
    </row>
    <row r="98" spans="1:67">
      <c r="A98" s="3"/>
      <c r="B98" s="3"/>
      <c r="C98" s="4"/>
      <c r="D98" s="7"/>
      <c r="E98" s="4"/>
      <c r="F98" s="9"/>
      <c r="G98" s="4"/>
      <c r="H98" s="4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9"/>
      <c r="V98" s="9"/>
      <c r="W98" s="3"/>
      <c r="X98" s="9"/>
      <c r="Y98" s="3"/>
      <c r="Z98" s="3"/>
      <c r="AA98" s="9"/>
      <c r="AB98" s="3"/>
      <c r="AC98" s="3"/>
      <c r="AD98" s="3"/>
      <c r="AE98" s="3"/>
      <c r="AF98" s="9"/>
      <c r="AG98" s="4"/>
      <c r="AH98" s="9"/>
      <c r="AI98" s="3"/>
      <c r="AJ98" s="9"/>
      <c r="AK98" s="9"/>
      <c r="AL98" s="9"/>
      <c r="AM98" s="9"/>
      <c r="AN98" s="9"/>
      <c r="AO98" s="3"/>
      <c r="AP98" s="3"/>
      <c r="AQ98" s="9"/>
      <c r="AR98" s="3"/>
      <c r="AS98" s="9"/>
      <c r="AT98" s="9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9"/>
      <c r="BI98" s="9"/>
      <c r="BJ98" s="9"/>
      <c r="BK98" s="11"/>
      <c r="BL98" s="11"/>
      <c r="BM98" s="9"/>
      <c r="BN98" s="9"/>
      <c r="BO98" s="3"/>
    </row>
    <row r="99" spans="1:67">
      <c r="A99" s="3"/>
      <c r="B99" s="3"/>
      <c r="C99" s="4"/>
      <c r="D99" s="7"/>
      <c r="E99" s="4"/>
      <c r="F99" s="9"/>
      <c r="G99" s="4"/>
      <c r="H99" s="4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9"/>
      <c r="V99" s="9"/>
      <c r="W99" s="3"/>
      <c r="X99" s="9"/>
      <c r="Y99" s="3"/>
      <c r="Z99" s="3"/>
      <c r="AA99" s="9"/>
      <c r="AB99" s="3"/>
      <c r="AC99" s="3"/>
      <c r="AD99" s="3"/>
      <c r="AE99" s="3"/>
      <c r="AF99" s="9"/>
      <c r="AG99" s="4"/>
      <c r="AH99" s="9"/>
      <c r="AI99" s="3"/>
      <c r="AJ99" s="9"/>
      <c r="AK99" s="9"/>
      <c r="AL99" s="9"/>
      <c r="AM99" s="9"/>
      <c r="AN99" s="9"/>
      <c r="AO99" s="3"/>
      <c r="AP99" s="3"/>
      <c r="AQ99" s="9"/>
      <c r="AR99" s="3"/>
      <c r="AS99" s="9"/>
      <c r="AT99" s="9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9"/>
      <c r="BI99" s="9"/>
      <c r="BJ99" s="9"/>
      <c r="BK99" s="11"/>
      <c r="BL99" s="11"/>
      <c r="BM99" s="9"/>
      <c r="BN99" s="9"/>
      <c r="BO99" s="3"/>
    </row>
    <row r="100" spans="1:67">
      <c r="A100" s="3"/>
      <c r="B100" s="3"/>
      <c r="C100" s="4"/>
      <c r="D100" s="7"/>
      <c r="E100" s="4"/>
      <c r="F100" s="9"/>
      <c r="G100" s="4"/>
      <c r="H100" s="4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9"/>
      <c r="V100" s="9"/>
      <c r="W100" s="3"/>
      <c r="X100" s="9"/>
      <c r="Y100" s="3"/>
      <c r="Z100" s="3"/>
      <c r="AA100" s="9"/>
      <c r="AB100" s="3"/>
      <c r="AC100" s="3"/>
      <c r="AD100" s="3"/>
      <c r="AE100" s="3"/>
      <c r="AF100" s="9"/>
      <c r="AG100" s="4"/>
      <c r="AH100" s="9"/>
      <c r="AI100" s="3"/>
      <c r="AJ100" s="9"/>
      <c r="AK100" s="9"/>
      <c r="AL100" s="9"/>
      <c r="AM100" s="9"/>
      <c r="AN100" s="9"/>
      <c r="AO100" s="3"/>
      <c r="AP100" s="3"/>
      <c r="AQ100" s="9"/>
      <c r="AR100" s="3"/>
      <c r="AS100" s="9"/>
      <c r="AT100" s="9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9"/>
      <c r="BI100" s="9"/>
      <c r="BJ100" s="9"/>
      <c r="BK100" s="11"/>
      <c r="BL100" s="11"/>
      <c r="BM100" s="9"/>
      <c r="BN100" s="9"/>
      <c r="BO100" s="3"/>
    </row>
    <row r="101" spans="1:67">
      <c r="A101" s="3"/>
      <c r="B101" s="3"/>
      <c r="C101" s="4"/>
      <c r="D101" s="7"/>
      <c r="E101" s="4"/>
      <c r="F101" s="9"/>
      <c r="G101" s="4"/>
      <c r="H101" s="4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9"/>
      <c r="V101" s="9"/>
      <c r="W101" s="3"/>
      <c r="X101" s="9"/>
      <c r="Y101" s="3"/>
      <c r="Z101" s="3"/>
      <c r="AA101" s="9"/>
      <c r="AB101" s="3"/>
      <c r="AC101" s="3"/>
      <c r="AD101" s="3"/>
      <c r="AE101" s="3"/>
      <c r="AF101" s="9"/>
      <c r="AG101" s="4"/>
      <c r="AH101" s="9"/>
      <c r="AI101" s="3"/>
      <c r="AJ101" s="9"/>
      <c r="AK101" s="9"/>
      <c r="AL101" s="9"/>
      <c r="AM101" s="9"/>
      <c r="AN101" s="9"/>
      <c r="AO101" s="3"/>
      <c r="AP101" s="3"/>
      <c r="AQ101" s="9"/>
      <c r="AR101" s="3"/>
      <c r="AS101" s="9"/>
      <c r="AT101" s="9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9"/>
      <c r="BI101" s="9"/>
      <c r="BJ101" s="9"/>
      <c r="BK101" s="11"/>
      <c r="BL101" s="11"/>
      <c r="BM101" s="9"/>
      <c r="BN101" s="9"/>
      <c r="BO101" s="3"/>
    </row>
    <row r="102" spans="1:67">
      <c r="A102" s="3"/>
      <c r="B102" s="3"/>
      <c r="C102" s="4"/>
      <c r="D102" s="7"/>
      <c r="E102" s="4"/>
      <c r="F102" s="9"/>
      <c r="G102" s="4"/>
      <c r="H102" s="4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9"/>
      <c r="V102" s="9"/>
      <c r="W102" s="3"/>
      <c r="X102" s="9"/>
      <c r="Y102" s="3"/>
      <c r="Z102" s="3"/>
      <c r="AA102" s="9"/>
      <c r="AB102" s="3"/>
      <c r="AC102" s="3"/>
      <c r="AD102" s="3"/>
      <c r="AE102" s="3"/>
      <c r="AF102" s="9"/>
      <c r="AG102" s="4"/>
      <c r="AH102" s="9"/>
      <c r="AI102" s="3"/>
      <c r="AJ102" s="9"/>
      <c r="AK102" s="9"/>
      <c r="AL102" s="9"/>
      <c r="AM102" s="9"/>
      <c r="AN102" s="9"/>
      <c r="AO102" s="3"/>
      <c r="AP102" s="3"/>
      <c r="AQ102" s="9"/>
      <c r="AR102" s="3"/>
      <c r="AS102" s="9"/>
      <c r="AT102" s="9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9"/>
      <c r="BI102" s="9"/>
      <c r="BJ102" s="9"/>
      <c r="BK102" s="11"/>
      <c r="BL102" s="11"/>
      <c r="BM102" s="9"/>
      <c r="BN102" s="9"/>
      <c r="BO102" s="3"/>
    </row>
    <row r="103" spans="1:67">
      <c r="A103" s="3"/>
      <c r="B103" s="3"/>
      <c r="C103" s="4"/>
      <c r="D103" s="7"/>
      <c r="E103" s="4"/>
      <c r="F103" s="9"/>
      <c r="G103" s="4"/>
      <c r="H103" s="4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9"/>
      <c r="V103" s="9"/>
      <c r="W103" s="3"/>
      <c r="X103" s="9"/>
      <c r="Y103" s="3"/>
      <c r="Z103" s="3"/>
      <c r="AA103" s="9"/>
      <c r="AB103" s="3"/>
      <c r="AC103" s="3"/>
      <c r="AD103" s="3"/>
      <c r="AE103" s="3"/>
      <c r="AF103" s="9"/>
      <c r="AG103" s="4"/>
      <c r="AH103" s="9"/>
      <c r="AI103" s="3"/>
      <c r="AJ103" s="9"/>
      <c r="AK103" s="9"/>
      <c r="AL103" s="9"/>
      <c r="AM103" s="9"/>
      <c r="AN103" s="9"/>
      <c r="AO103" s="3"/>
      <c r="AP103" s="3"/>
      <c r="AQ103" s="9"/>
      <c r="AR103" s="3"/>
      <c r="AS103" s="9"/>
      <c r="AT103" s="9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9"/>
      <c r="BI103" s="9"/>
      <c r="BJ103" s="9"/>
      <c r="BK103" s="11"/>
      <c r="BL103" s="11"/>
      <c r="BM103" s="9"/>
      <c r="BN103" s="9"/>
      <c r="BO103" s="3"/>
    </row>
    <row r="104" spans="1:67">
      <c r="A104" s="3"/>
      <c r="B104" s="3"/>
      <c r="C104" s="4"/>
      <c r="D104" s="7"/>
      <c r="E104" s="4"/>
      <c r="F104" s="9"/>
      <c r="G104" s="4"/>
      <c r="H104" s="4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9"/>
      <c r="V104" s="9"/>
      <c r="W104" s="3"/>
      <c r="X104" s="9"/>
      <c r="Y104" s="3"/>
      <c r="Z104" s="3"/>
      <c r="AA104" s="9"/>
      <c r="AB104" s="3"/>
      <c r="AC104" s="3"/>
      <c r="AD104" s="3"/>
      <c r="AE104" s="3"/>
      <c r="AF104" s="9"/>
      <c r="AG104" s="4"/>
      <c r="AH104" s="9"/>
      <c r="AI104" s="3"/>
      <c r="AJ104" s="9"/>
      <c r="AK104" s="9"/>
      <c r="AL104" s="9"/>
      <c r="AM104" s="9"/>
      <c r="AN104" s="9"/>
      <c r="AO104" s="3"/>
      <c r="AP104" s="3"/>
      <c r="AQ104" s="9"/>
      <c r="AR104" s="3"/>
      <c r="AS104" s="9"/>
      <c r="AT104" s="9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9"/>
      <c r="BI104" s="9"/>
      <c r="BJ104" s="9"/>
      <c r="BK104" s="11"/>
      <c r="BL104" s="11"/>
      <c r="BM104" s="9"/>
      <c r="BN104" s="9"/>
      <c r="BO104" s="3"/>
    </row>
  </sheetData>
  <mergeCells count="6">
    <mergeCell ref="A4:BO4"/>
    <mergeCell ref="A1:BO1"/>
    <mergeCell ref="A2:AG2"/>
    <mergeCell ref="AH2:AV2"/>
    <mergeCell ref="AW2:BF2"/>
    <mergeCell ref="BG2:B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showGridLines="0" workbookViewId="0"/>
  </sheetViews>
  <sheetFormatPr defaultRowHeight="14.25"/>
  <cols>
    <col min="1" max="1" width="35" customWidth="1"/>
    <col min="2" max="3" width="16" customWidth="1"/>
    <col min="4" max="7" width="20" customWidth="1"/>
    <col min="8" max="8" width="38" customWidth="1"/>
  </cols>
  <sheetData>
    <row r="1" spans="1:8" ht="15">
      <c r="A1" s="1" t="s">
        <v>74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37</v>
      </c>
    </row>
    <row r="2" spans="1:8">
      <c r="A2" s="3" t="s">
        <v>75</v>
      </c>
      <c r="B2" s="3" t="s">
        <v>72</v>
      </c>
      <c r="C2" s="3" t="s">
        <v>73</v>
      </c>
      <c r="D2" s="4"/>
      <c r="E2" s="4"/>
      <c r="F2" s="4"/>
      <c r="G2" s="4"/>
      <c r="H2" s="4"/>
    </row>
    <row r="3" spans="1:8">
      <c r="A3" s="3"/>
      <c r="B3" s="3"/>
      <c r="C3" s="3"/>
      <c r="D3" s="4"/>
      <c r="E3" s="4"/>
      <c r="F3" s="4"/>
      <c r="G3" s="4"/>
      <c r="H3" s="4"/>
    </row>
    <row r="4" spans="1:8">
      <c r="A4" s="3"/>
      <c r="B4" s="3"/>
      <c r="C4" s="3"/>
      <c r="D4" s="4"/>
      <c r="E4" s="4"/>
      <c r="F4" s="4"/>
      <c r="G4" s="4"/>
      <c r="H4" s="4"/>
    </row>
    <row r="5" spans="1:8">
      <c r="A5" s="3"/>
      <c r="B5" s="3"/>
      <c r="C5" s="3"/>
      <c r="D5" s="4"/>
      <c r="E5" s="4"/>
      <c r="F5" s="4"/>
      <c r="G5" s="4"/>
      <c r="H5" s="4"/>
    </row>
    <row r="6" spans="1:8">
      <c r="A6" s="3"/>
      <c r="B6" s="3"/>
      <c r="C6" s="3"/>
      <c r="D6" s="4"/>
      <c r="E6" s="4"/>
      <c r="F6" s="4"/>
      <c r="G6" s="4"/>
      <c r="H6" s="4"/>
    </row>
    <row r="7" spans="1:8">
      <c r="A7" s="3"/>
      <c r="B7" s="3"/>
      <c r="C7" s="3"/>
      <c r="D7" s="4"/>
      <c r="E7" s="4"/>
      <c r="F7" s="4"/>
      <c r="G7" s="4"/>
      <c r="H7" s="4"/>
    </row>
    <row r="8" spans="1:8">
      <c r="A8" s="3"/>
      <c r="B8" s="3"/>
      <c r="C8" s="3"/>
      <c r="D8" s="4"/>
      <c r="E8" s="4"/>
      <c r="F8" s="4"/>
      <c r="G8" s="4"/>
      <c r="H8" s="4"/>
    </row>
    <row r="9" spans="1:8">
      <c r="A9" s="3"/>
      <c r="B9" s="3"/>
      <c r="C9" s="3"/>
      <c r="D9" s="4"/>
      <c r="E9" s="4"/>
      <c r="F9" s="4"/>
      <c r="G9" s="4"/>
      <c r="H9" s="4"/>
    </row>
    <row r="10" spans="1:8">
      <c r="A10" s="3"/>
      <c r="B10" s="3"/>
      <c r="C10" s="3"/>
      <c r="D10" s="4"/>
      <c r="E10" s="4"/>
      <c r="F10" s="4"/>
      <c r="G10" s="4"/>
      <c r="H10" s="4"/>
    </row>
    <row r="11" spans="1:8">
      <c r="A11" s="3"/>
      <c r="B11" s="3"/>
      <c r="C11" s="3"/>
      <c r="D11" s="4"/>
      <c r="E11" s="4"/>
      <c r="F11" s="4"/>
      <c r="G11" s="4"/>
      <c r="H11" s="4"/>
    </row>
    <row r="12" spans="1:8">
      <c r="A12" s="3"/>
      <c r="B12" s="3"/>
      <c r="C12" s="3"/>
      <c r="D12" s="4"/>
      <c r="E12" s="4"/>
      <c r="F12" s="4"/>
      <c r="G12" s="4"/>
      <c r="H12" s="4"/>
    </row>
    <row r="13" spans="1:8">
      <c r="A13" s="3"/>
      <c r="B13" s="3"/>
      <c r="C13" s="3"/>
      <c r="D13" s="4"/>
      <c r="E13" s="4"/>
      <c r="F13" s="4"/>
      <c r="G13" s="4"/>
      <c r="H13" s="4"/>
    </row>
    <row r="14" spans="1:8">
      <c r="A14" s="3"/>
      <c r="B14" s="3"/>
      <c r="C14" s="3"/>
      <c r="D14" s="4"/>
      <c r="E14" s="4"/>
      <c r="F14" s="4"/>
      <c r="G14" s="4"/>
      <c r="H14" s="4"/>
    </row>
    <row r="15" spans="1:8">
      <c r="A15" s="3"/>
      <c r="B15" s="3"/>
      <c r="C15" s="3"/>
      <c r="D15" s="4"/>
      <c r="E15" s="4"/>
      <c r="F15" s="4"/>
      <c r="G15" s="4"/>
      <c r="H15" s="4"/>
    </row>
    <row r="16" spans="1:8">
      <c r="A16" s="3"/>
      <c r="B16" s="3"/>
      <c r="C16" s="3"/>
      <c r="D16" s="4"/>
      <c r="E16" s="4"/>
      <c r="F16" s="4"/>
      <c r="G16" s="4"/>
      <c r="H16" s="4"/>
    </row>
    <row r="17" spans="1:8">
      <c r="A17" s="3"/>
      <c r="B17" s="3"/>
      <c r="C17" s="3"/>
      <c r="D17" s="4"/>
      <c r="E17" s="4"/>
      <c r="F17" s="4"/>
      <c r="G17" s="4"/>
      <c r="H17" s="4"/>
    </row>
    <row r="18" spans="1:8">
      <c r="A18" s="3"/>
      <c r="B18" s="3"/>
      <c r="C18" s="3"/>
      <c r="D18" s="4"/>
      <c r="E18" s="4"/>
      <c r="F18" s="4"/>
      <c r="G18" s="4"/>
      <c r="H18" s="4"/>
    </row>
    <row r="19" spans="1:8">
      <c r="A19" s="3"/>
      <c r="B19" s="3"/>
      <c r="C19" s="3"/>
      <c r="D19" s="4"/>
      <c r="E19" s="4"/>
      <c r="F19" s="4"/>
      <c r="G19" s="4"/>
      <c r="H19" s="4"/>
    </row>
    <row r="20" spans="1:8">
      <c r="A20" s="3"/>
      <c r="B20" s="3"/>
      <c r="C20" s="3"/>
      <c r="D20" s="4"/>
      <c r="E20" s="4"/>
      <c r="F20" s="4"/>
      <c r="G20" s="4"/>
      <c r="H20" s="4"/>
    </row>
    <row r="21" spans="1:8">
      <c r="A21" s="3"/>
      <c r="B21" s="3"/>
      <c r="C21" s="3"/>
      <c r="D21" s="4"/>
      <c r="E21" s="4"/>
      <c r="F21" s="4"/>
      <c r="G21" s="4"/>
      <c r="H21" s="4"/>
    </row>
    <row r="22" spans="1:8">
      <c r="A22" s="3"/>
      <c r="B22" s="3"/>
      <c r="C22" s="3"/>
      <c r="D22" s="4"/>
      <c r="E22" s="4"/>
      <c r="F22" s="4"/>
      <c r="G22" s="4"/>
      <c r="H22" s="4"/>
    </row>
    <row r="23" spans="1:8">
      <c r="A23" s="3"/>
      <c r="B23" s="3"/>
      <c r="C23" s="3"/>
      <c r="D23" s="4"/>
      <c r="E23" s="4"/>
      <c r="F23" s="4"/>
      <c r="G23" s="4"/>
      <c r="H23" s="4"/>
    </row>
    <row r="24" spans="1:8">
      <c r="A24" s="3"/>
      <c r="B24" s="3"/>
      <c r="C24" s="3"/>
      <c r="D24" s="4"/>
      <c r="E24" s="4"/>
      <c r="F24" s="4"/>
      <c r="G24" s="4"/>
      <c r="H24" s="4"/>
    </row>
    <row r="25" spans="1:8">
      <c r="A25" s="3"/>
      <c r="B25" s="3"/>
      <c r="C25" s="3"/>
      <c r="D25" s="4"/>
      <c r="E25" s="4"/>
      <c r="F25" s="4"/>
      <c r="G25" s="4"/>
      <c r="H25" s="4"/>
    </row>
    <row r="26" spans="1:8">
      <c r="A26" s="3"/>
      <c r="B26" s="3"/>
      <c r="C26" s="3"/>
      <c r="D26" s="4"/>
      <c r="E26" s="4"/>
      <c r="F26" s="4"/>
      <c r="G26" s="4"/>
      <c r="H26" s="4"/>
    </row>
    <row r="27" spans="1:8">
      <c r="A27" s="3"/>
      <c r="B27" s="3"/>
      <c r="C27" s="3"/>
      <c r="D27" s="4"/>
      <c r="E27" s="4"/>
      <c r="F27" s="4"/>
      <c r="G27" s="4"/>
      <c r="H27" s="4"/>
    </row>
    <row r="28" spans="1:8">
      <c r="A28" s="3"/>
      <c r="B28" s="3"/>
      <c r="C28" s="3"/>
      <c r="D28" s="4"/>
      <c r="E28" s="4"/>
      <c r="F28" s="4"/>
      <c r="G28" s="4"/>
      <c r="H28" s="4"/>
    </row>
    <row r="29" spans="1:8">
      <c r="A29" s="3"/>
      <c r="B29" s="3"/>
      <c r="C29" s="3"/>
      <c r="D29" s="4"/>
      <c r="E29" s="4"/>
      <c r="F29" s="4"/>
      <c r="G29" s="4"/>
      <c r="H29" s="4"/>
    </row>
    <row r="30" spans="1:8">
      <c r="A30" s="3"/>
      <c r="B30" s="3"/>
      <c r="C30" s="3"/>
      <c r="D30" s="4"/>
      <c r="E30" s="4"/>
      <c r="F30" s="4"/>
      <c r="G30" s="4"/>
      <c r="H30" s="4"/>
    </row>
    <row r="31" spans="1:8">
      <c r="A31" s="3"/>
      <c r="B31" s="3"/>
      <c r="C31" s="3"/>
      <c r="D31" s="4"/>
      <c r="E31" s="4"/>
      <c r="F31" s="4"/>
      <c r="G31" s="4"/>
      <c r="H31" s="4"/>
    </row>
    <row r="32" spans="1:8">
      <c r="A32" s="3"/>
      <c r="B32" s="3"/>
      <c r="C32" s="3"/>
      <c r="D32" s="4"/>
      <c r="E32" s="4"/>
      <c r="F32" s="4"/>
      <c r="G32" s="4"/>
      <c r="H32" s="4"/>
    </row>
    <row r="33" spans="1:8">
      <c r="A33" s="3"/>
      <c r="B33" s="3"/>
      <c r="C33" s="3"/>
      <c r="D33" s="4"/>
      <c r="E33" s="4"/>
      <c r="F33" s="4"/>
      <c r="G33" s="4"/>
      <c r="H33" s="4"/>
    </row>
    <row r="34" spans="1:8">
      <c r="A34" s="3"/>
      <c r="B34" s="3"/>
      <c r="C34" s="3"/>
      <c r="D34" s="4"/>
      <c r="E34" s="4"/>
      <c r="F34" s="4"/>
      <c r="G34" s="4"/>
      <c r="H34" s="4"/>
    </row>
    <row r="35" spans="1:8">
      <c r="A35" s="3"/>
      <c r="B35" s="3"/>
      <c r="C35" s="3"/>
      <c r="D35" s="4"/>
      <c r="E35" s="4"/>
      <c r="F35" s="4"/>
      <c r="G35" s="4"/>
      <c r="H35" s="4"/>
    </row>
    <row r="36" spans="1:8">
      <c r="A36" s="3"/>
      <c r="B36" s="3"/>
      <c r="C36" s="3"/>
      <c r="D36" s="4"/>
      <c r="E36" s="4"/>
      <c r="F36" s="4"/>
      <c r="G36" s="4"/>
      <c r="H36" s="4"/>
    </row>
    <row r="37" spans="1:8">
      <c r="A37" s="3"/>
      <c r="B37" s="3"/>
      <c r="C37" s="3"/>
      <c r="D37" s="4"/>
      <c r="E37" s="4"/>
      <c r="F37" s="4"/>
      <c r="G37" s="4"/>
      <c r="H37" s="4"/>
    </row>
    <row r="38" spans="1:8">
      <c r="A38" s="3"/>
      <c r="B38" s="3"/>
      <c r="C38" s="3"/>
      <c r="D38" s="4"/>
      <c r="E38" s="4"/>
      <c r="F38" s="4"/>
      <c r="G38" s="4"/>
      <c r="H38" s="4"/>
    </row>
    <row r="39" spans="1:8">
      <c r="A39" s="3"/>
      <c r="B39" s="3"/>
      <c r="C39" s="3"/>
      <c r="D39" s="4"/>
      <c r="E39" s="4"/>
      <c r="F39" s="4"/>
      <c r="G39" s="4"/>
      <c r="H39" s="4"/>
    </row>
    <row r="40" spans="1:8">
      <c r="A40" s="3"/>
      <c r="B40" s="3"/>
      <c r="C40" s="3"/>
      <c r="D40" s="4"/>
      <c r="E40" s="4"/>
      <c r="F40" s="4"/>
      <c r="G40" s="4"/>
      <c r="H40" s="4"/>
    </row>
    <row r="41" spans="1:8">
      <c r="A41" s="3"/>
      <c r="B41" s="3"/>
      <c r="C41" s="3"/>
      <c r="D41" s="4"/>
      <c r="E41" s="4"/>
      <c r="F41" s="4"/>
      <c r="G41" s="4"/>
      <c r="H41" s="4"/>
    </row>
    <row r="42" spans="1:8">
      <c r="A42" s="3"/>
      <c r="B42" s="3"/>
      <c r="C42" s="3"/>
      <c r="D42" s="4"/>
      <c r="E42" s="4"/>
      <c r="F42" s="4"/>
      <c r="G42" s="4"/>
      <c r="H42" s="4"/>
    </row>
    <row r="43" spans="1:8">
      <c r="A43" s="3"/>
      <c r="B43" s="3"/>
      <c r="C43" s="3"/>
      <c r="D43" s="4"/>
      <c r="E43" s="4"/>
      <c r="F43" s="4"/>
      <c r="G43" s="4"/>
      <c r="H43" s="4"/>
    </row>
    <row r="44" spans="1:8">
      <c r="A44" s="3"/>
      <c r="B44" s="3"/>
      <c r="C44" s="3"/>
      <c r="D44" s="4"/>
      <c r="E44" s="4"/>
      <c r="F44" s="4"/>
      <c r="G44" s="4"/>
      <c r="H44" s="4"/>
    </row>
    <row r="45" spans="1:8">
      <c r="A45" s="3"/>
      <c r="B45" s="3"/>
      <c r="C45" s="3"/>
      <c r="D45" s="4"/>
      <c r="E45" s="4"/>
      <c r="F45" s="4"/>
      <c r="G45" s="4"/>
      <c r="H45" s="4"/>
    </row>
    <row r="46" spans="1:8">
      <c r="A46" s="3"/>
      <c r="B46" s="3"/>
      <c r="C46" s="3"/>
      <c r="D46" s="4"/>
      <c r="E46" s="4"/>
      <c r="F46" s="4"/>
      <c r="G46" s="4"/>
      <c r="H46" s="4"/>
    </row>
    <row r="47" spans="1:8">
      <c r="A47" s="3"/>
      <c r="B47" s="3"/>
      <c r="C47" s="3"/>
      <c r="D47" s="4"/>
      <c r="E47" s="4"/>
      <c r="F47" s="4"/>
      <c r="G47" s="4"/>
      <c r="H47" s="4"/>
    </row>
    <row r="48" spans="1:8">
      <c r="A48" s="3"/>
      <c r="B48" s="3"/>
      <c r="C48" s="3"/>
      <c r="D48" s="4"/>
      <c r="E48" s="4"/>
      <c r="F48" s="4"/>
      <c r="G48" s="4"/>
      <c r="H48" s="4"/>
    </row>
    <row r="49" spans="1:8">
      <c r="A49" s="3"/>
      <c r="B49" s="3"/>
      <c r="C49" s="3"/>
      <c r="D49" s="4"/>
      <c r="E49" s="4"/>
      <c r="F49" s="4"/>
      <c r="G49" s="4"/>
      <c r="H49" s="4"/>
    </row>
    <row r="50" spans="1:8">
      <c r="A50" s="3"/>
      <c r="B50" s="3"/>
      <c r="C50" s="3"/>
      <c r="D50" s="4"/>
      <c r="E50" s="4"/>
      <c r="F50" s="4"/>
      <c r="G50" s="4"/>
      <c r="H50" s="4"/>
    </row>
    <row r="51" spans="1:8">
      <c r="A51" s="3"/>
      <c r="B51" s="3"/>
      <c r="C51" s="3"/>
      <c r="D51" s="4"/>
      <c r="E51" s="4"/>
      <c r="F51" s="4"/>
      <c r="G51" s="4"/>
      <c r="H51" s="4"/>
    </row>
    <row r="52" spans="1:8">
      <c r="A52" s="3"/>
      <c r="B52" s="3"/>
      <c r="C52" s="3"/>
      <c r="D52" s="4"/>
      <c r="E52" s="4"/>
      <c r="F52" s="4"/>
      <c r="G52" s="4"/>
      <c r="H52" s="4"/>
    </row>
    <row r="53" spans="1:8">
      <c r="A53" s="3"/>
      <c r="B53" s="3"/>
      <c r="C53" s="3"/>
      <c r="D53" s="4"/>
      <c r="E53" s="4"/>
      <c r="F53" s="4"/>
      <c r="G53" s="4"/>
      <c r="H53" s="4"/>
    </row>
    <row r="54" spans="1:8">
      <c r="A54" s="3"/>
      <c r="B54" s="3"/>
      <c r="C54" s="3"/>
      <c r="D54" s="4"/>
      <c r="E54" s="4"/>
      <c r="F54" s="4"/>
      <c r="G54" s="4"/>
      <c r="H54" s="4"/>
    </row>
    <row r="55" spans="1:8">
      <c r="A55" s="3"/>
      <c r="B55" s="3"/>
      <c r="C55" s="3"/>
      <c r="D55" s="4"/>
      <c r="E55" s="4"/>
      <c r="F55" s="4"/>
      <c r="G55" s="4"/>
      <c r="H55" s="4"/>
    </row>
    <row r="56" spans="1:8">
      <c r="A56" s="3"/>
      <c r="B56" s="3"/>
      <c r="C56" s="3"/>
      <c r="D56" s="4"/>
      <c r="E56" s="4"/>
      <c r="F56" s="4"/>
      <c r="G56" s="4"/>
      <c r="H56" s="4"/>
    </row>
    <row r="57" spans="1:8">
      <c r="A57" s="3"/>
      <c r="B57" s="3"/>
      <c r="C57" s="3"/>
      <c r="D57" s="4"/>
      <c r="E57" s="4"/>
      <c r="F57" s="4"/>
      <c r="G57" s="4"/>
      <c r="H57" s="4"/>
    </row>
    <row r="58" spans="1:8">
      <c r="A58" s="3"/>
      <c r="B58" s="3"/>
      <c r="C58" s="3"/>
      <c r="D58" s="4"/>
      <c r="E58" s="4"/>
      <c r="F58" s="4"/>
      <c r="G58" s="4"/>
      <c r="H58" s="4"/>
    </row>
    <row r="59" spans="1:8">
      <c r="A59" s="3"/>
      <c r="B59" s="3"/>
      <c r="C59" s="3"/>
      <c r="D59" s="4"/>
      <c r="E59" s="4"/>
      <c r="F59" s="4"/>
      <c r="G59" s="4"/>
      <c r="H59" s="4"/>
    </row>
    <row r="60" spans="1:8">
      <c r="A60" s="3"/>
      <c r="B60" s="3"/>
      <c r="C60" s="3"/>
      <c r="D60" s="4"/>
      <c r="E60" s="4"/>
      <c r="F60" s="4"/>
      <c r="G60" s="4"/>
      <c r="H60" s="4"/>
    </row>
    <row r="61" spans="1:8">
      <c r="A61" s="3"/>
      <c r="B61" s="3"/>
      <c r="C61" s="3"/>
      <c r="D61" s="4"/>
      <c r="E61" s="4"/>
      <c r="F61" s="4"/>
      <c r="G61" s="4"/>
      <c r="H61" s="4"/>
    </row>
    <row r="62" spans="1:8">
      <c r="A62" s="3"/>
      <c r="B62" s="3"/>
      <c r="C62" s="3"/>
      <c r="D62" s="4"/>
      <c r="E62" s="4"/>
      <c r="F62" s="4"/>
      <c r="G62" s="4"/>
      <c r="H62" s="4"/>
    </row>
    <row r="63" spans="1:8">
      <c r="A63" s="3"/>
      <c r="B63" s="3"/>
      <c r="C63" s="3"/>
      <c r="D63" s="4"/>
      <c r="E63" s="4"/>
      <c r="F63" s="4"/>
      <c r="G63" s="4"/>
      <c r="H63" s="4"/>
    </row>
    <row r="64" spans="1:8">
      <c r="A64" s="3"/>
      <c r="B64" s="3"/>
      <c r="C64" s="3"/>
      <c r="D64" s="4"/>
      <c r="E64" s="4"/>
      <c r="F64" s="4"/>
      <c r="G64" s="4"/>
      <c r="H64" s="4"/>
    </row>
    <row r="65" spans="1:8">
      <c r="A65" s="3"/>
      <c r="B65" s="3"/>
      <c r="C65" s="3"/>
      <c r="D65" s="4"/>
      <c r="E65" s="4"/>
      <c r="F65" s="4"/>
      <c r="G65" s="4"/>
      <c r="H65" s="4"/>
    </row>
    <row r="66" spans="1:8">
      <c r="A66" s="3"/>
      <c r="B66" s="3"/>
      <c r="C66" s="3"/>
      <c r="D66" s="4"/>
      <c r="E66" s="4"/>
      <c r="F66" s="4"/>
      <c r="G66" s="4"/>
      <c r="H66" s="4"/>
    </row>
    <row r="67" spans="1:8">
      <c r="A67" s="3"/>
      <c r="B67" s="3"/>
      <c r="C67" s="3"/>
      <c r="D67" s="4"/>
      <c r="E67" s="4"/>
      <c r="F67" s="4"/>
      <c r="G67" s="4"/>
      <c r="H67" s="4"/>
    </row>
    <row r="68" spans="1:8">
      <c r="A68" s="3"/>
      <c r="B68" s="3"/>
      <c r="C68" s="3"/>
      <c r="D68" s="4"/>
      <c r="E68" s="4"/>
      <c r="F68" s="4"/>
      <c r="G68" s="4"/>
      <c r="H68" s="4"/>
    </row>
    <row r="69" spans="1:8">
      <c r="A69" s="3"/>
      <c r="B69" s="3"/>
      <c r="C69" s="3"/>
      <c r="D69" s="4"/>
      <c r="E69" s="4"/>
      <c r="F69" s="4"/>
      <c r="G69" s="4"/>
      <c r="H69" s="4"/>
    </row>
    <row r="70" spans="1:8">
      <c r="A70" s="3"/>
      <c r="B70" s="3"/>
      <c r="C70" s="3"/>
      <c r="D70" s="4"/>
      <c r="E70" s="4"/>
      <c r="F70" s="4"/>
      <c r="G70" s="4"/>
      <c r="H70" s="4"/>
    </row>
    <row r="71" spans="1:8">
      <c r="A71" s="3"/>
      <c r="B71" s="3"/>
      <c r="C71" s="3"/>
      <c r="D71" s="4"/>
      <c r="E71" s="4"/>
      <c r="F71" s="4"/>
      <c r="G71" s="4"/>
      <c r="H71" s="4"/>
    </row>
    <row r="72" spans="1:8">
      <c r="A72" s="3"/>
      <c r="B72" s="3"/>
      <c r="C72" s="3"/>
      <c r="D72" s="4"/>
      <c r="E72" s="4"/>
      <c r="F72" s="4"/>
      <c r="G72" s="4"/>
      <c r="H72" s="4"/>
    </row>
    <row r="73" spans="1:8">
      <c r="A73" s="3"/>
      <c r="B73" s="3"/>
      <c r="C73" s="3"/>
      <c r="D73" s="4"/>
      <c r="E73" s="4"/>
      <c r="F73" s="4"/>
      <c r="G73" s="4"/>
      <c r="H73" s="4"/>
    </row>
    <row r="74" spans="1:8">
      <c r="A74" s="3"/>
      <c r="B74" s="3"/>
      <c r="C74" s="3"/>
      <c r="D74" s="4"/>
      <c r="E74" s="4"/>
      <c r="F74" s="4"/>
      <c r="G74" s="4"/>
      <c r="H74" s="4"/>
    </row>
    <row r="75" spans="1:8">
      <c r="A75" s="3"/>
      <c r="B75" s="3"/>
      <c r="C75" s="3"/>
      <c r="D75" s="4"/>
      <c r="E75" s="4"/>
      <c r="F75" s="4"/>
      <c r="G75" s="4"/>
      <c r="H75" s="4"/>
    </row>
    <row r="76" spans="1:8">
      <c r="A76" s="3"/>
      <c r="B76" s="3"/>
      <c r="C76" s="3"/>
      <c r="D76" s="4"/>
      <c r="E76" s="4"/>
      <c r="F76" s="4"/>
      <c r="G76" s="4"/>
      <c r="H76" s="4"/>
    </row>
    <row r="77" spans="1:8">
      <c r="A77" s="3"/>
      <c r="B77" s="3"/>
      <c r="C77" s="3"/>
      <c r="D77" s="4"/>
      <c r="E77" s="4"/>
      <c r="F77" s="4"/>
      <c r="G77" s="4"/>
      <c r="H77" s="4"/>
    </row>
    <row r="78" spans="1:8">
      <c r="A78" s="3"/>
      <c r="B78" s="3"/>
      <c r="C78" s="3"/>
      <c r="D78" s="4"/>
      <c r="E78" s="4"/>
      <c r="F78" s="4"/>
      <c r="G78" s="4"/>
      <c r="H78" s="4"/>
    </row>
    <row r="79" spans="1:8">
      <c r="A79" s="3"/>
      <c r="B79" s="3"/>
      <c r="C79" s="3"/>
      <c r="D79" s="4"/>
      <c r="E79" s="4"/>
      <c r="F79" s="4"/>
      <c r="G79" s="4"/>
      <c r="H79" s="4"/>
    </row>
    <row r="80" spans="1:8">
      <c r="A80" s="3"/>
      <c r="B80" s="3"/>
      <c r="C80" s="3"/>
      <c r="D80" s="4"/>
      <c r="E80" s="4"/>
      <c r="F80" s="4"/>
      <c r="G80" s="4"/>
      <c r="H80" s="4"/>
    </row>
    <row r="81" spans="1:8">
      <c r="A81" s="3"/>
      <c r="B81" s="3"/>
      <c r="C81" s="3"/>
      <c r="D81" s="4"/>
      <c r="E81" s="4"/>
      <c r="F81" s="4"/>
      <c r="G81" s="4"/>
      <c r="H81" s="4"/>
    </row>
    <row r="82" spans="1:8">
      <c r="A82" s="3"/>
      <c r="B82" s="3"/>
      <c r="C82" s="3"/>
      <c r="D82" s="4"/>
      <c r="E82" s="4"/>
      <c r="F82" s="4"/>
      <c r="G82" s="4"/>
      <c r="H82" s="4"/>
    </row>
    <row r="83" spans="1:8">
      <c r="A83" s="3"/>
      <c r="B83" s="3"/>
      <c r="C83" s="3"/>
      <c r="D83" s="4"/>
      <c r="E83" s="4"/>
      <c r="F83" s="4"/>
      <c r="G83" s="4"/>
      <c r="H83" s="4"/>
    </row>
    <row r="84" spans="1:8">
      <c r="A84" s="3"/>
      <c r="B84" s="3"/>
      <c r="C84" s="3"/>
      <c r="D84" s="4"/>
      <c r="E84" s="4"/>
      <c r="F84" s="4"/>
      <c r="G84" s="4"/>
      <c r="H84" s="4"/>
    </row>
    <row r="85" spans="1:8">
      <c r="A85" s="3"/>
      <c r="B85" s="3"/>
      <c r="C85" s="3"/>
      <c r="D85" s="4"/>
      <c r="E85" s="4"/>
      <c r="F85" s="4"/>
      <c r="G85" s="4"/>
      <c r="H85" s="4"/>
    </row>
    <row r="86" spans="1:8">
      <c r="A86" s="3"/>
      <c r="B86" s="3"/>
      <c r="C86" s="3"/>
      <c r="D86" s="4"/>
      <c r="E86" s="4"/>
      <c r="F86" s="4"/>
      <c r="G86" s="4"/>
      <c r="H86" s="4"/>
    </row>
    <row r="87" spans="1:8">
      <c r="A87" s="3"/>
      <c r="B87" s="3"/>
      <c r="C87" s="3"/>
      <c r="D87" s="4"/>
      <c r="E87" s="4"/>
      <c r="F87" s="4"/>
      <c r="G87" s="4"/>
      <c r="H87" s="4"/>
    </row>
    <row r="88" spans="1:8">
      <c r="A88" s="3"/>
      <c r="B88" s="3"/>
      <c r="C88" s="3"/>
      <c r="D88" s="4"/>
      <c r="E88" s="4"/>
      <c r="F88" s="4"/>
      <c r="G88" s="4"/>
      <c r="H88" s="4"/>
    </row>
    <row r="89" spans="1:8">
      <c r="A89" s="3"/>
      <c r="B89" s="3"/>
      <c r="C89" s="3"/>
      <c r="D89" s="4"/>
      <c r="E89" s="4"/>
      <c r="F89" s="4"/>
      <c r="G89" s="4"/>
      <c r="H89" s="4"/>
    </row>
    <row r="90" spans="1:8">
      <c r="A90" s="3"/>
      <c r="B90" s="3"/>
      <c r="C90" s="3"/>
      <c r="D90" s="4"/>
      <c r="E90" s="4"/>
      <c r="F90" s="4"/>
      <c r="G90" s="4"/>
      <c r="H90" s="4"/>
    </row>
    <row r="91" spans="1:8">
      <c r="A91" s="3"/>
      <c r="B91" s="3"/>
      <c r="C91" s="3"/>
      <c r="D91" s="4"/>
      <c r="E91" s="4"/>
      <c r="F91" s="4"/>
      <c r="G91" s="4"/>
      <c r="H91" s="4"/>
    </row>
    <row r="92" spans="1:8">
      <c r="A92" s="3"/>
      <c r="B92" s="3"/>
      <c r="C92" s="3"/>
      <c r="D92" s="4"/>
      <c r="E92" s="4"/>
      <c r="F92" s="4"/>
      <c r="G92" s="4"/>
      <c r="H92" s="4"/>
    </row>
    <row r="93" spans="1:8">
      <c r="A93" s="3"/>
      <c r="B93" s="3"/>
      <c r="C93" s="3"/>
      <c r="D93" s="4"/>
      <c r="E93" s="4"/>
      <c r="F93" s="4"/>
      <c r="G93" s="4"/>
      <c r="H93" s="4"/>
    </row>
    <row r="94" spans="1:8">
      <c r="A94" s="3"/>
      <c r="B94" s="3"/>
      <c r="C94" s="3"/>
      <c r="D94" s="4"/>
      <c r="E94" s="4"/>
      <c r="F94" s="4"/>
      <c r="G94" s="4"/>
      <c r="H94" s="4"/>
    </row>
    <row r="95" spans="1:8">
      <c r="A95" s="3"/>
      <c r="B95" s="3"/>
      <c r="C95" s="3"/>
      <c r="D95" s="4"/>
      <c r="E95" s="4"/>
      <c r="F95" s="4"/>
      <c r="G95" s="4"/>
      <c r="H95" s="4"/>
    </row>
    <row r="96" spans="1:8">
      <c r="A96" s="3"/>
      <c r="B96" s="3"/>
      <c r="C96" s="3"/>
      <c r="D96" s="4"/>
      <c r="E96" s="4"/>
      <c r="F96" s="4"/>
      <c r="G96" s="4"/>
      <c r="H96" s="4"/>
    </row>
    <row r="97" spans="1:8">
      <c r="A97" s="3"/>
      <c r="B97" s="3"/>
      <c r="C97" s="3"/>
      <c r="D97" s="4"/>
      <c r="E97" s="4"/>
      <c r="F97" s="4"/>
      <c r="G97" s="4"/>
      <c r="H97" s="4"/>
    </row>
    <row r="98" spans="1:8">
      <c r="A98" s="3"/>
      <c r="B98" s="3"/>
      <c r="C98" s="3"/>
      <c r="D98" s="4"/>
      <c r="E98" s="4"/>
      <c r="F98" s="4"/>
      <c r="G98" s="4"/>
      <c r="H98" s="4"/>
    </row>
    <row r="99" spans="1:8">
      <c r="A99" s="3"/>
      <c r="B99" s="3"/>
      <c r="C99" s="3"/>
      <c r="D99" s="4"/>
      <c r="E99" s="4"/>
      <c r="F99" s="4"/>
      <c r="G99" s="4"/>
      <c r="H99" s="4"/>
    </row>
    <row r="100" spans="1:8">
      <c r="A100" s="3"/>
      <c r="B100" s="3"/>
      <c r="C100" s="3"/>
      <c r="D100" s="4"/>
      <c r="E100" s="4"/>
      <c r="F100" s="4"/>
      <c r="G100" s="4"/>
      <c r="H100" s="4"/>
    </row>
    <row r="101" spans="1:8">
      <c r="A101" s="3"/>
      <c r="B101" s="3"/>
      <c r="C101" s="3"/>
      <c r="D101" s="4"/>
      <c r="E101" s="4"/>
      <c r="F101" s="4"/>
      <c r="G101" s="4"/>
      <c r="H101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1"/>
  <sheetViews>
    <sheetView showGridLines="0" topLeftCell="A1033" workbookViewId="0"/>
  </sheetViews>
  <sheetFormatPr defaultRowHeight="14.25"/>
  <cols>
    <col min="1" max="1" width="17.125" bestFit="1" customWidth="1"/>
    <col min="2" max="2" width="14" bestFit="1" customWidth="1"/>
    <col min="3" max="3" width="10.875" bestFit="1" customWidth="1"/>
    <col min="4" max="4" width="9.25" bestFit="1" customWidth="1"/>
    <col min="5" max="5" width="19.5" bestFit="1" customWidth="1"/>
    <col min="6" max="6" width="12.25" bestFit="1" customWidth="1"/>
    <col min="7" max="7" width="13" bestFit="1" customWidth="1"/>
    <col min="8" max="8" width="14" bestFit="1" customWidth="1"/>
    <col min="9" max="9" width="18.375" bestFit="1" customWidth="1"/>
    <col min="10" max="10" width="11" bestFit="1" customWidth="1"/>
    <col min="11" max="11" width="14.5" bestFit="1" customWidth="1"/>
    <col min="12" max="12" width="11.25" bestFit="1" customWidth="1"/>
    <col min="13" max="13" width="11.625" bestFit="1" customWidth="1"/>
    <col min="14" max="14" width="23.25" bestFit="1" customWidth="1"/>
    <col min="15" max="15" width="15" bestFit="1" customWidth="1"/>
    <col min="16" max="16" width="26.5" bestFit="1" customWidth="1"/>
    <col min="17" max="17" width="18.625" bestFit="1" customWidth="1"/>
    <col min="18" max="18" width="10.375" bestFit="1" customWidth="1"/>
    <col min="19" max="19" width="14.75" bestFit="1" customWidth="1"/>
    <col min="20" max="20" width="16.375" bestFit="1" customWidth="1"/>
    <col min="21" max="21" width="15.75" bestFit="1" customWidth="1"/>
    <col min="22" max="22" width="14.75" bestFit="1" customWidth="1"/>
    <col min="23" max="23" width="18.5" bestFit="1" customWidth="1"/>
    <col min="24" max="24" width="15.375" bestFit="1" customWidth="1"/>
    <col min="25" max="25" width="15.5" bestFit="1" customWidth="1"/>
    <col min="26" max="26" width="17.5" bestFit="1" customWidth="1"/>
    <col min="27" max="27" width="10.875" bestFit="1" customWidth="1"/>
    <col min="28" max="28" width="12.125" bestFit="1" customWidth="1"/>
    <col min="29" max="29" width="16.375" bestFit="1" customWidth="1"/>
    <col min="30" max="30" width="20.75" bestFit="1" customWidth="1"/>
    <col min="31" max="31" width="22.875" bestFit="1" customWidth="1"/>
    <col min="32" max="32" width="13.5" bestFit="1" customWidth="1"/>
    <col min="33" max="33" width="14.25" bestFit="1" customWidth="1"/>
    <col min="34" max="34" width="12.25" bestFit="1" customWidth="1"/>
    <col min="35" max="35" width="9.25" bestFit="1" customWidth="1"/>
    <col min="36" max="36" width="15.25" bestFit="1" customWidth="1"/>
    <col min="37" max="37" width="18" bestFit="1" customWidth="1"/>
    <col min="38" max="38" width="19.375" bestFit="1" customWidth="1"/>
    <col min="39" max="39" width="12" bestFit="1" customWidth="1"/>
    <col min="40" max="40" width="8.125" bestFit="1" customWidth="1"/>
    <col min="41" max="41" width="14.5" bestFit="1" customWidth="1"/>
    <col min="42" max="42" width="6.375" bestFit="1" customWidth="1"/>
    <col min="43" max="43" width="10.625" bestFit="1" customWidth="1"/>
    <col min="44" max="44" width="12.875" bestFit="1" customWidth="1"/>
    <col min="45" max="45" width="11.5" bestFit="1" customWidth="1"/>
    <col min="46" max="46" width="10.75" bestFit="1" customWidth="1"/>
    <col min="47" max="47" width="12.125" bestFit="1" customWidth="1"/>
    <col min="48" max="48" width="25.875" bestFit="1" customWidth="1"/>
    <col min="49" max="49" width="11" bestFit="1" customWidth="1"/>
    <col min="50" max="50" width="22" bestFit="1" customWidth="1"/>
    <col min="51" max="51" width="13.875" bestFit="1" customWidth="1"/>
    <col min="52" max="52" width="13.75" bestFit="1" customWidth="1"/>
    <col min="53" max="53" width="17.875" bestFit="1" customWidth="1"/>
    <col min="54" max="54" width="22" bestFit="1" customWidth="1"/>
    <col min="55" max="55" width="15.875" bestFit="1" customWidth="1"/>
    <col min="56" max="56" width="15.25" bestFit="1" customWidth="1"/>
    <col min="57" max="57" width="19.5" bestFit="1" customWidth="1"/>
    <col min="58" max="58" width="18.5" bestFit="1" customWidth="1"/>
    <col min="59" max="59" width="17.625" bestFit="1" customWidth="1"/>
    <col min="60" max="60" width="19.75" bestFit="1" customWidth="1"/>
    <col min="61" max="61" width="22.5" bestFit="1" customWidth="1"/>
    <col min="62" max="62" width="25.125" bestFit="1" customWidth="1"/>
    <col min="63" max="63" width="15.125" bestFit="1" customWidth="1"/>
    <col min="64" max="64" width="15.75" bestFit="1" customWidth="1"/>
    <col min="65" max="65" width="18.375" bestFit="1" customWidth="1"/>
    <col min="66" max="66" width="16.5" bestFit="1" customWidth="1"/>
    <col min="67" max="67" width="13.5" bestFit="1" customWidth="1"/>
    <col min="68" max="68" width="24.5" bestFit="1" customWidth="1"/>
    <col min="69" max="69" width="22.5" bestFit="1" customWidth="1"/>
    <col min="70" max="70" width="31.75" bestFit="1" customWidth="1"/>
    <col min="71" max="71" width="20.375" bestFit="1" customWidth="1"/>
    <col min="72" max="72" width="9.125" bestFit="1" customWidth="1"/>
    <col min="73" max="73" width="11.125" bestFit="1" customWidth="1"/>
    <col min="74" max="74" width="23" bestFit="1" customWidth="1"/>
    <col min="75" max="75" width="17.75" bestFit="1" customWidth="1"/>
    <col min="76" max="76" width="17.875" bestFit="1" customWidth="1"/>
    <col min="77" max="77" width="24.5" bestFit="1" customWidth="1"/>
    <col min="78" max="78" width="78.375" bestFit="1" customWidth="1"/>
  </cols>
  <sheetData>
    <row r="1" spans="1:78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51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293</v>
      </c>
      <c r="BU1" t="s">
        <v>294</v>
      </c>
      <c r="BV1" t="s">
        <v>146</v>
      </c>
      <c r="BW1" t="s">
        <v>295</v>
      </c>
      <c r="BX1" t="s">
        <v>147</v>
      </c>
      <c r="BY1" t="s">
        <v>148</v>
      </c>
      <c r="BZ1" t="s">
        <v>149</v>
      </c>
    </row>
    <row r="2" spans="1:78">
      <c r="A2" t="s">
        <v>296</v>
      </c>
      <c r="B2" t="s">
        <v>297</v>
      </c>
      <c r="C2">
        <v>740</v>
      </c>
      <c r="D2" t="s">
        <v>298</v>
      </c>
      <c r="E2" t="s">
        <v>298</v>
      </c>
      <c r="F2">
        <v>5</v>
      </c>
      <c r="G2" s="13">
        <v>46266.416666666664</v>
      </c>
      <c r="H2" s="13">
        <v>46302.75</v>
      </c>
      <c r="I2">
        <v>300</v>
      </c>
      <c r="J2" t="s">
        <v>246</v>
      </c>
      <c r="K2">
        <v>1</v>
      </c>
      <c r="L2">
        <v>0.1</v>
      </c>
      <c r="M2">
        <v>0.1</v>
      </c>
      <c r="N2">
        <v>1</v>
      </c>
      <c r="O2">
        <v>0.1</v>
      </c>
      <c r="P2">
        <v>4.5</v>
      </c>
      <c r="Q2">
        <v>8</v>
      </c>
      <c r="R2">
        <v>5</v>
      </c>
      <c r="S2" t="s">
        <v>250</v>
      </c>
      <c r="T2" t="s">
        <v>254</v>
      </c>
      <c r="U2">
        <v>20</v>
      </c>
      <c r="V2">
        <v>1500</v>
      </c>
      <c r="W2">
        <v>1400</v>
      </c>
      <c r="X2">
        <v>1400</v>
      </c>
      <c r="Y2">
        <v>0</v>
      </c>
      <c r="Z2">
        <v>0</v>
      </c>
      <c r="AA2">
        <v>80</v>
      </c>
      <c r="AB2">
        <v>15</v>
      </c>
      <c r="AC2">
        <v>1500</v>
      </c>
      <c r="AD2">
        <v>0</v>
      </c>
      <c r="AE2">
        <v>0</v>
      </c>
      <c r="AF2">
        <v>1503.5</v>
      </c>
      <c r="AG2">
        <v>1503.5</v>
      </c>
      <c r="AH2" s="14">
        <v>46302</v>
      </c>
      <c r="AI2" t="s">
        <v>299</v>
      </c>
      <c r="AJ2" s="13">
        <v>46266.416666666664</v>
      </c>
      <c r="AK2">
        <v>1500</v>
      </c>
      <c r="AL2" t="s">
        <v>248</v>
      </c>
      <c r="AM2" t="s">
        <v>249</v>
      </c>
      <c r="AN2">
        <v>1400</v>
      </c>
      <c r="AO2">
        <v>0</v>
      </c>
      <c r="AP2">
        <v>60</v>
      </c>
      <c r="AQ2">
        <v>110</v>
      </c>
      <c r="AR2">
        <v>200</v>
      </c>
      <c r="AS2">
        <v>3</v>
      </c>
      <c r="AT2">
        <v>23</v>
      </c>
      <c r="AU2">
        <v>0</v>
      </c>
      <c r="AV2">
        <v>10</v>
      </c>
      <c r="AW2">
        <v>25</v>
      </c>
      <c r="AX2">
        <v>0</v>
      </c>
      <c r="AY2">
        <v>3</v>
      </c>
      <c r="AZ2">
        <v>1.5</v>
      </c>
      <c r="BA2">
        <v>1</v>
      </c>
      <c r="BB2">
        <v>1440</v>
      </c>
      <c r="BC2">
        <v>0</v>
      </c>
      <c r="BD2">
        <v>0</v>
      </c>
      <c r="BE2">
        <v>14</v>
      </c>
      <c r="BF2">
        <v>25</v>
      </c>
      <c r="BG2">
        <v>3</v>
      </c>
      <c r="BH2">
        <v>8</v>
      </c>
      <c r="BI2">
        <v>3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60</v>
      </c>
      <c r="BR2">
        <v>0</v>
      </c>
      <c r="BS2">
        <v>3</v>
      </c>
      <c r="BT2" t="s">
        <v>300</v>
      </c>
      <c r="BU2" t="s">
        <v>301</v>
      </c>
      <c r="BV2" t="s">
        <v>296</v>
      </c>
      <c r="BW2" t="s">
        <v>302</v>
      </c>
      <c r="BX2" t="s">
        <v>303</v>
      </c>
      <c r="BY2" t="b">
        <v>0</v>
      </c>
      <c r="BZ2" t="s">
        <v>304</v>
      </c>
    </row>
    <row r="3" spans="1:78">
      <c r="A3" t="s">
        <v>296</v>
      </c>
      <c r="B3" t="s">
        <v>297</v>
      </c>
      <c r="C3">
        <v>741</v>
      </c>
      <c r="D3" t="s">
        <v>298</v>
      </c>
      <c r="E3" t="s">
        <v>298</v>
      </c>
      <c r="F3">
        <v>5</v>
      </c>
      <c r="G3" s="13">
        <v>46266.416666666664</v>
      </c>
      <c r="H3" s="13">
        <v>46302.75</v>
      </c>
      <c r="I3">
        <v>300</v>
      </c>
      <c r="J3" t="s">
        <v>246</v>
      </c>
      <c r="K3">
        <v>1</v>
      </c>
      <c r="L3">
        <v>0.1</v>
      </c>
      <c r="M3">
        <v>0.1</v>
      </c>
      <c r="N3">
        <v>1</v>
      </c>
      <c r="O3">
        <v>0.1</v>
      </c>
      <c r="P3">
        <v>4.5</v>
      </c>
      <c r="Q3">
        <v>8</v>
      </c>
      <c r="R3">
        <v>5</v>
      </c>
      <c r="S3" t="s">
        <v>250</v>
      </c>
      <c r="T3" t="s">
        <v>254</v>
      </c>
      <c r="U3">
        <v>20</v>
      </c>
      <c r="V3">
        <v>1500</v>
      </c>
      <c r="W3">
        <v>1400</v>
      </c>
      <c r="X3">
        <v>1400</v>
      </c>
      <c r="Y3">
        <v>0</v>
      </c>
      <c r="Z3">
        <v>0</v>
      </c>
      <c r="AA3">
        <v>80</v>
      </c>
      <c r="AB3">
        <v>15</v>
      </c>
      <c r="AC3">
        <v>1500</v>
      </c>
      <c r="AD3">
        <v>0</v>
      </c>
      <c r="AE3">
        <v>0</v>
      </c>
      <c r="AF3">
        <v>1503.5</v>
      </c>
      <c r="AG3">
        <v>1503.5</v>
      </c>
      <c r="AH3" s="14">
        <v>46302</v>
      </c>
      <c r="AI3" t="s">
        <v>299</v>
      </c>
      <c r="AJ3" s="13">
        <v>46266.416666666664</v>
      </c>
      <c r="AK3">
        <v>1500</v>
      </c>
      <c r="AL3" t="s">
        <v>248</v>
      </c>
      <c r="AM3" t="s">
        <v>249</v>
      </c>
      <c r="AN3">
        <v>1400</v>
      </c>
      <c r="AO3">
        <v>0</v>
      </c>
      <c r="AP3">
        <v>60</v>
      </c>
      <c r="AQ3">
        <v>110</v>
      </c>
      <c r="AR3">
        <v>200</v>
      </c>
      <c r="AS3">
        <v>3</v>
      </c>
      <c r="AT3">
        <v>23</v>
      </c>
      <c r="AU3">
        <v>0</v>
      </c>
      <c r="AV3">
        <v>10</v>
      </c>
      <c r="AW3">
        <v>25</v>
      </c>
      <c r="AX3">
        <v>0</v>
      </c>
      <c r="AY3">
        <v>3</v>
      </c>
      <c r="AZ3">
        <v>1.5</v>
      </c>
      <c r="BA3">
        <v>1</v>
      </c>
      <c r="BB3">
        <v>1440</v>
      </c>
      <c r="BC3">
        <v>0</v>
      </c>
      <c r="BD3">
        <v>0</v>
      </c>
      <c r="BE3">
        <v>14</v>
      </c>
      <c r="BF3">
        <v>25</v>
      </c>
      <c r="BG3">
        <v>3</v>
      </c>
      <c r="BH3">
        <v>8</v>
      </c>
      <c r="BI3">
        <v>3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0</v>
      </c>
      <c r="BQ3">
        <v>60</v>
      </c>
      <c r="BR3">
        <v>0</v>
      </c>
      <c r="BS3">
        <v>3</v>
      </c>
      <c r="BT3" t="s">
        <v>300</v>
      </c>
      <c r="BU3" t="s">
        <v>301</v>
      </c>
      <c r="BV3" t="s">
        <v>296</v>
      </c>
      <c r="BW3" t="s">
        <v>302</v>
      </c>
      <c r="BX3" t="s">
        <v>303</v>
      </c>
      <c r="BY3" t="b">
        <v>0</v>
      </c>
      <c r="BZ3" t="s">
        <v>304</v>
      </c>
    </row>
    <row r="4" spans="1:78">
      <c r="A4" t="s">
        <v>296</v>
      </c>
      <c r="B4" t="s">
        <v>297</v>
      </c>
      <c r="C4">
        <v>742</v>
      </c>
      <c r="D4" t="s">
        <v>298</v>
      </c>
      <c r="E4" t="s">
        <v>298</v>
      </c>
      <c r="F4">
        <v>5</v>
      </c>
      <c r="G4" s="13">
        <v>46266.416666666664</v>
      </c>
      <c r="H4" s="13">
        <v>46302.75</v>
      </c>
      <c r="I4">
        <v>300</v>
      </c>
      <c r="J4" t="s">
        <v>246</v>
      </c>
      <c r="K4">
        <v>1</v>
      </c>
      <c r="L4">
        <v>0.1</v>
      </c>
      <c r="M4">
        <v>0.1</v>
      </c>
      <c r="N4">
        <v>1</v>
      </c>
      <c r="O4">
        <v>0.1</v>
      </c>
      <c r="P4">
        <v>4.5</v>
      </c>
      <c r="Q4">
        <v>8</v>
      </c>
      <c r="R4">
        <v>5</v>
      </c>
      <c r="S4" t="s">
        <v>250</v>
      </c>
      <c r="T4" t="s">
        <v>254</v>
      </c>
      <c r="U4">
        <v>20</v>
      </c>
      <c r="V4">
        <v>1500</v>
      </c>
      <c r="W4">
        <v>1400</v>
      </c>
      <c r="X4">
        <v>1400</v>
      </c>
      <c r="Y4">
        <v>0</v>
      </c>
      <c r="Z4">
        <v>0</v>
      </c>
      <c r="AA4">
        <v>80</v>
      </c>
      <c r="AB4">
        <v>15</v>
      </c>
      <c r="AC4">
        <v>1500</v>
      </c>
      <c r="AD4">
        <v>0</v>
      </c>
      <c r="AE4">
        <v>0</v>
      </c>
      <c r="AF4">
        <v>1503.5</v>
      </c>
      <c r="AG4">
        <v>1503.5</v>
      </c>
      <c r="AH4" s="14">
        <v>46302</v>
      </c>
      <c r="AI4" t="s">
        <v>299</v>
      </c>
      <c r="AJ4" s="13">
        <v>46266.416666666664</v>
      </c>
      <c r="AK4">
        <v>1500</v>
      </c>
      <c r="AL4" t="s">
        <v>248</v>
      </c>
      <c r="AM4" t="s">
        <v>249</v>
      </c>
      <c r="AN4">
        <v>1400</v>
      </c>
      <c r="AO4">
        <v>0</v>
      </c>
      <c r="AP4">
        <v>60</v>
      </c>
      <c r="AQ4">
        <v>110</v>
      </c>
      <c r="AR4">
        <v>200</v>
      </c>
      <c r="AS4">
        <v>3</v>
      </c>
      <c r="AT4">
        <v>23</v>
      </c>
      <c r="AU4">
        <v>0</v>
      </c>
      <c r="AV4">
        <v>10</v>
      </c>
      <c r="AW4">
        <v>25</v>
      </c>
      <c r="AX4">
        <v>0</v>
      </c>
      <c r="AY4">
        <v>3</v>
      </c>
      <c r="AZ4">
        <v>1.5</v>
      </c>
      <c r="BA4">
        <v>1</v>
      </c>
      <c r="BB4">
        <v>1440</v>
      </c>
      <c r="BC4">
        <v>0</v>
      </c>
      <c r="BD4">
        <v>0</v>
      </c>
      <c r="BE4">
        <v>14</v>
      </c>
      <c r="BF4">
        <v>25</v>
      </c>
      <c r="BG4">
        <v>3</v>
      </c>
      <c r="BH4">
        <v>8</v>
      </c>
      <c r="BI4">
        <v>3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60</v>
      </c>
      <c r="BR4">
        <v>0</v>
      </c>
      <c r="BS4">
        <v>3</v>
      </c>
      <c r="BT4" t="s">
        <v>300</v>
      </c>
      <c r="BU4" t="s">
        <v>301</v>
      </c>
      <c r="BV4" t="s">
        <v>296</v>
      </c>
      <c r="BW4" t="s">
        <v>302</v>
      </c>
      <c r="BX4" t="s">
        <v>303</v>
      </c>
      <c r="BY4" t="b">
        <v>0</v>
      </c>
      <c r="BZ4" t="s">
        <v>304</v>
      </c>
    </row>
    <row r="5" spans="1:78">
      <c r="A5" t="s">
        <v>296</v>
      </c>
      <c r="B5" t="s">
        <v>297</v>
      </c>
      <c r="C5">
        <v>743</v>
      </c>
      <c r="D5" t="s">
        <v>298</v>
      </c>
      <c r="E5" t="s">
        <v>298</v>
      </c>
      <c r="F5">
        <v>5</v>
      </c>
      <c r="G5" s="13">
        <v>46266.416666666664</v>
      </c>
      <c r="H5" s="13">
        <v>46302.75</v>
      </c>
      <c r="I5">
        <v>300</v>
      </c>
      <c r="J5" t="s">
        <v>246</v>
      </c>
      <c r="K5">
        <v>1</v>
      </c>
      <c r="L5">
        <v>0.1</v>
      </c>
      <c r="M5">
        <v>0.1</v>
      </c>
      <c r="N5">
        <v>1</v>
      </c>
      <c r="O5">
        <v>0.1</v>
      </c>
      <c r="P5">
        <v>4.5</v>
      </c>
      <c r="Q5">
        <v>8</v>
      </c>
      <c r="R5">
        <v>5</v>
      </c>
      <c r="S5" t="s">
        <v>250</v>
      </c>
      <c r="T5" t="s">
        <v>254</v>
      </c>
      <c r="U5">
        <v>20</v>
      </c>
      <c r="V5">
        <v>1500</v>
      </c>
      <c r="W5">
        <v>1400</v>
      </c>
      <c r="X5">
        <v>1400</v>
      </c>
      <c r="Y5">
        <v>0</v>
      </c>
      <c r="Z5">
        <v>0</v>
      </c>
      <c r="AA5">
        <v>80</v>
      </c>
      <c r="AB5">
        <v>15</v>
      </c>
      <c r="AC5">
        <v>1500</v>
      </c>
      <c r="AD5">
        <v>0</v>
      </c>
      <c r="AE5">
        <v>0</v>
      </c>
      <c r="AF5">
        <v>1503.5</v>
      </c>
      <c r="AG5">
        <v>1503.5</v>
      </c>
      <c r="AH5" s="14">
        <v>46302</v>
      </c>
      <c r="AI5" t="s">
        <v>299</v>
      </c>
      <c r="AJ5" s="13">
        <v>46266.416666666664</v>
      </c>
      <c r="AK5">
        <v>1500</v>
      </c>
      <c r="AL5" t="s">
        <v>248</v>
      </c>
      <c r="AM5" t="s">
        <v>249</v>
      </c>
      <c r="AN5">
        <v>1400</v>
      </c>
      <c r="AO5">
        <v>0</v>
      </c>
      <c r="AP5">
        <v>60</v>
      </c>
      <c r="AQ5">
        <v>110</v>
      </c>
      <c r="AR5">
        <v>200</v>
      </c>
      <c r="AS5">
        <v>3</v>
      </c>
      <c r="AT5">
        <v>23</v>
      </c>
      <c r="AU5">
        <v>0</v>
      </c>
      <c r="AV5">
        <v>10</v>
      </c>
      <c r="AW5">
        <v>25</v>
      </c>
      <c r="AX5">
        <v>0</v>
      </c>
      <c r="AY5">
        <v>3</v>
      </c>
      <c r="AZ5">
        <v>1.5</v>
      </c>
      <c r="BA5">
        <v>1</v>
      </c>
      <c r="BB5">
        <v>1440</v>
      </c>
      <c r="BC5">
        <v>0</v>
      </c>
      <c r="BD5">
        <v>0</v>
      </c>
      <c r="BE5">
        <v>14</v>
      </c>
      <c r="BF5">
        <v>25</v>
      </c>
      <c r="BG5">
        <v>3</v>
      </c>
      <c r="BH5">
        <v>8</v>
      </c>
      <c r="BI5">
        <v>3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60</v>
      </c>
      <c r="BR5">
        <v>0</v>
      </c>
      <c r="BS5">
        <v>3</v>
      </c>
      <c r="BT5" t="s">
        <v>300</v>
      </c>
      <c r="BU5" t="s">
        <v>301</v>
      </c>
      <c r="BV5" t="s">
        <v>296</v>
      </c>
      <c r="BW5" t="s">
        <v>302</v>
      </c>
      <c r="BX5" t="s">
        <v>303</v>
      </c>
      <c r="BY5" t="b">
        <v>0</v>
      </c>
      <c r="BZ5" t="s">
        <v>304</v>
      </c>
    </row>
    <row r="6" spans="1:78">
      <c r="A6" t="s">
        <v>296</v>
      </c>
      <c r="B6" t="s">
        <v>297</v>
      </c>
      <c r="C6">
        <v>744</v>
      </c>
      <c r="D6" t="s">
        <v>298</v>
      </c>
      <c r="E6" t="s">
        <v>298</v>
      </c>
      <c r="F6">
        <v>5</v>
      </c>
      <c r="G6" s="13">
        <v>46266.416666666664</v>
      </c>
      <c r="H6" s="13">
        <v>46302.75</v>
      </c>
      <c r="I6">
        <v>300</v>
      </c>
      <c r="J6" t="s">
        <v>246</v>
      </c>
      <c r="K6">
        <v>1</v>
      </c>
      <c r="L6">
        <v>0.1</v>
      </c>
      <c r="M6">
        <v>0.1</v>
      </c>
      <c r="N6">
        <v>1</v>
      </c>
      <c r="O6">
        <v>0.1</v>
      </c>
      <c r="P6">
        <v>4.5</v>
      </c>
      <c r="Q6">
        <v>8</v>
      </c>
      <c r="R6">
        <v>5</v>
      </c>
      <c r="S6" t="s">
        <v>250</v>
      </c>
      <c r="T6" t="s">
        <v>254</v>
      </c>
      <c r="U6">
        <v>20</v>
      </c>
      <c r="V6">
        <v>1500</v>
      </c>
      <c r="W6">
        <v>1400</v>
      </c>
      <c r="X6">
        <v>1400</v>
      </c>
      <c r="Y6">
        <v>0</v>
      </c>
      <c r="Z6">
        <v>0</v>
      </c>
      <c r="AA6">
        <v>80</v>
      </c>
      <c r="AB6">
        <v>15</v>
      </c>
      <c r="AC6">
        <v>1500</v>
      </c>
      <c r="AD6">
        <v>0</v>
      </c>
      <c r="AE6">
        <v>0</v>
      </c>
      <c r="AF6">
        <v>1503.5</v>
      </c>
      <c r="AG6">
        <v>1503.5</v>
      </c>
      <c r="AH6" s="14">
        <v>46302</v>
      </c>
      <c r="AI6" t="s">
        <v>299</v>
      </c>
      <c r="AJ6" s="13">
        <v>46266.416666666664</v>
      </c>
      <c r="AK6">
        <v>1500</v>
      </c>
      <c r="AL6" t="s">
        <v>248</v>
      </c>
      <c r="AM6" t="s">
        <v>249</v>
      </c>
      <c r="AN6">
        <v>1400</v>
      </c>
      <c r="AO6">
        <v>0</v>
      </c>
      <c r="AP6">
        <v>60</v>
      </c>
      <c r="AQ6">
        <v>110</v>
      </c>
      <c r="AR6">
        <v>200</v>
      </c>
      <c r="AS6">
        <v>3</v>
      </c>
      <c r="AT6">
        <v>23</v>
      </c>
      <c r="AU6">
        <v>0</v>
      </c>
      <c r="AV6">
        <v>10</v>
      </c>
      <c r="AW6">
        <v>25</v>
      </c>
      <c r="AX6">
        <v>0</v>
      </c>
      <c r="AY6">
        <v>3</v>
      </c>
      <c r="AZ6">
        <v>1.5</v>
      </c>
      <c r="BA6">
        <v>1</v>
      </c>
      <c r="BB6">
        <v>1440</v>
      </c>
      <c r="BC6">
        <v>0</v>
      </c>
      <c r="BD6">
        <v>0</v>
      </c>
      <c r="BE6">
        <v>14</v>
      </c>
      <c r="BF6">
        <v>25</v>
      </c>
      <c r="BG6">
        <v>3</v>
      </c>
      <c r="BH6">
        <v>8</v>
      </c>
      <c r="BI6">
        <v>3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0</v>
      </c>
      <c r="BQ6">
        <v>60</v>
      </c>
      <c r="BR6">
        <v>0</v>
      </c>
      <c r="BS6">
        <v>3</v>
      </c>
      <c r="BT6" t="s">
        <v>300</v>
      </c>
      <c r="BU6" t="s">
        <v>301</v>
      </c>
      <c r="BV6" t="s">
        <v>296</v>
      </c>
      <c r="BW6" t="s">
        <v>302</v>
      </c>
      <c r="BX6" t="s">
        <v>303</v>
      </c>
      <c r="BY6" t="b">
        <v>0</v>
      </c>
      <c r="BZ6" t="s">
        <v>304</v>
      </c>
    </row>
    <row r="7" spans="1:78">
      <c r="A7" t="s">
        <v>296</v>
      </c>
      <c r="B7" t="s">
        <v>297</v>
      </c>
      <c r="C7">
        <v>745</v>
      </c>
      <c r="D7" t="s">
        <v>298</v>
      </c>
      <c r="E7" t="s">
        <v>298</v>
      </c>
      <c r="F7">
        <v>5</v>
      </c>
      <c r="G7" s="13">
        <v>46266.416666666664</v>
      </c>
      <c r="H7" s="13">
        <v>46302.75</v>
      </c>
      <c r="I7">
        <v>300</v>
      </c>
      <c r="J7" t="s">
        <v>246</v>
      </c>
      <c r="K7">
        <v>1</v>
      </c>
      <c r="L7">
        <v>0.1</v>
      </c>
      <c r="M7">
        <v>0.1</v>
      </c>
      <c r="N7">
        <v>1</v>
      </c>
      <c r="O7">
        <v>0.1</v>
      </c>
      <c r="P7">
        <v>4.5</v>
      </c>
      <c r="Q7">
        <v>8</v>
      </c>
      <c r="R7">
        <v>5</v>
      </c>
      <c r="S7" t="s">
        <v>250</v>
      </c>
      <c r="T7" t="s">
        <v>254</v>
      </c>
      <c r="U7">
        <v>20</v>
      </c>
      <c r="V7">
        <v>1500</v>
      </c>
      <c r="W7">
        <v>1400</v>
      </c>
      <c r="X7">
        <v>1400</v>
      </c>
      <c r="Y7">
        <v>0</v>
      </c>
      <c r="Z7">
        <v>0</v>
      </c>
      <c r="AA7">
        <v>80</v>
      </c>
      <c r="AB7">
        <v>15</v>
      </c>
      <c r="AC7">
        <v>1500</v>
      </c>
      <c r="AD7">
        <v>0</v>
      </c>
      <c r="AE7">
        <v>0</v>
      </c>
      <c r="AF7">
        <v>1503.5</v>
      </c>
      <c r="AG7">
        <v>1503.5</v>
      </c>
      <c r="AH7" s="14">
        <v>46302</v>
      </c>
      <c r="AI7" t="s">
        <v>299</v>
      </c>
      <c r="AJ7" s="13">
        <v>46266.416666666664</v>
      </c>
      <c r="AK7">
        <v>1500</v>
      </c>
      <c r="AL7" t="s">
        <v>248</v>
      </c>
      <c r="AM7" t="s">
        <v>249</v>
      </c>
      <c r="AN7">
        <v>1400</v>
      </c>
      <c r="AO7">
        <v>0</v>
      </c>
      <c r="AP7">
        <v>60</v>
      </c>
      <c r="AQ7">
        <v>110</v>
      </c>
      <c r="AR7">
        <v>200</v>
      </c>
      <c r="AS7">
        <v>3</v>
      </c>
      <c r="AT7">
        <v>23</v>
      </c>
      <c r="AU7">
        <v>0</v>
      </c>
      <c r="AV7">
        <v>10</v>
      </c>
      <c r="AW7">
        <v>25</v>
      </c>
      <c r="AX7">
        <v>0</v>
      </c>
      <c r="AY7">
        <v>3</v>
      </c>
      <c r="AZ7">
        <v>1.5</v>
      </c>
      <c r="BA7">
        <v>1</v>
      </c>
      <c r="BB7">
        <v>1440</v>
      </c>
      <c r="BC7">
        <v>0</v>
      </c>
      <c r="BD7">
        <v>0</v>
      </c>
      <c r="BE7">
        <v>14</v>
      </c>
      <c r="BF7">
        <v>25</v>
      </c>
      <c r="BG7">
        <v>3</v>
      </c>
      <c r="BH7">
        <v>8</v>
      </c>
      <c r="BI7">
        <v>3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0</v>
      </c>
      <c r="BQ7">
        <v>60</v>
      </c>
      <c r="BR7">
        <v>0</v>
      </c>
      <c r="BS7">
        <v>3</v>
      </c>
      <c r="BT7" t="s">
        <v>300</v>
      </c>
      <c r="BU7" t="s">
        <v>301</v>
      </c>
      <c r="BV7" t="s">
        <v>296</v>
      </c>
      <c r="BW7" t="s">
        <v>302</v>
      </c>
      <c r="BX7" t="s">
        <v>303</v>
      </c>
      <c r="BY7" t="b">
        <v>0</v>
      </c>
      <c r="BZ7" t="s">
        <v>304</v>
      </c>
    </row>
    <row r="8" spans="1:78">
      <c r="A8" t="s">
        <v>296</v>
      </c>
      <c r="B8" t="s">
        <v>297</v>
      </c>
      <c r="C8">
        <v>746</v>
      </c>
      <c r="D8" t="s">
        <v>298</v>
      </c>
      <c r="E8" t="s">
        <v>298</v>
      </c>
      <c r="F8">
        <v>5</v>
      </c>
      <c r="G8" s="13">
        <v>46266.416666666664</v>
      </c>
      <c r="H8" s="13">
        <v>46302.75</v>
      </c>
      <c r="I8">
        <v>300</v>
      </c>
      <c r="J8" t="s">
        <v>246</v>
      </c>
      <c r="K8">
        <v>1</v>
      </c>
      <c r="L8">
        <v>0.1</v>
      </c>
      <c r="M8">
        <v>0.1</v>
      </c>
      <c r="N8">
        <v>1</v>
      </c>
      <c r="O8">
        <v>0.1</v>
      </c>
      <c r="P8">
        <v>4.5</v>
      </c>
      <c r="Q8">
        <v>8</v>
      </c>
      <c r="R8">
        <v>5</v>
      </c>
      <c r="S8" t="s">
        <v>250</v>
      </c>
      <c r="T8" t="s">
        <v>254</v>
      </c>
      <c r="U8">
        <v>20</v>
      </c>
      <c r="V8">
        <v>1500</v>
      </c>
      <c r="W8">
        <v>1400</v>
      </c>
      <c r="X8">
        <v>1400</v>
      </c>
      <c r="Y8">
        <v>0</v>
      </c>
      <c r="Z8">
        <v>0</v>
      </c>
      <c r="AA8">
        <v>80</v>
      </c>
      <c r="AB8">
        <v>15</v>
      </c>
      <c r="AC8">
        <v>1500</v>
      </c>
      <c r="AD8">
        <v>0</v>
      </c>
      <c r="AE8">
        <v>0</v>
      </c>
      <c r="AF8">
        <v>1503.5</v>
      </c>
      <c r="AG8">
        <v>1503.5</v>
      </c>
      <c r="AH8" s="14">
        <v>46302</v>
      </c>
      <c r="AI8" t="s">
        <v>299</v>
      </c>
      <c r="AJ8" s="13">
        <v>46266.416666666664</v>
      </c>
      <c r="AK8">
        <v>1500</v>
      </c>
      <c r="AL8" t="s">
        <v>248</v>
      </c>
      <c r="AM8" t="s">
        <v>249</v>
      </c>
      <c r="AN8">
        <v>1400</v>
      </c>
      <c r="AO8">
        <v>0</v>
      </c>
      <c r="AP8">
        <v>60</v>
      </c>
      <c r="AQ8">
        <v>110</v>
      </c>
      <c r="AR8">
        <v>200</v>
      </c>
      <c r="AS8">
        <v>3</v>
      </c>
      <c r="AT8">
        <v>23</v>
      </c>
      <c r="AU8">
        <v>0</v>
      </c>
      <c r="AV8">
        <v>10</v>
      </c>
      <c r="AW8">
        <v>25</v>
      </c>
      <c r="AX8">
        <v>0</v>
      </c>
      <c r="AY8">
        <v>3</v>
      </c>
      <c r="AZ8">
        <v>1.5</v>
      </c>
      <c r="BA8">
        <v>1</v>
      </c>
      <c r="BB8">
        <v>1440</v>
      </c>
      <c r="BC8">
        <v>0</v>
      </c>
      <c r="BD8">
        <v>0</v>
      </c>
      <c r="BE8">
        <v>14</v>
      </c>
      <c r="BF8">
        <v>25</v>
      </c>
      <c r="BG8">
        <v>3</v>
      </c>
      <c r="BH8">
        <v>8</v>
      </c>
      <c r="BI8">
        <v>3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0</v>
      </c>
      <c r="BQ8">
        <v>60</v>
      </c>
      <c r="BR8">
        <v>0</v>
      </c>
      <c r="BS8">
        <v>3</v>
      </c>
      <c r="BT8" t="s">
        <v>300</v>
      </c>
      <c r="BU8" t="s">
        <v>301</v>
      </c>
      <c r="BV8" t="s">
        <v>296</v>
      </c>
      <c r="BW8" t="s">
        <v>302</v>
      </c>
      <c r="BX8" t="s">
        <v>303</v>
      </c>
      <c r="BY8" t="b">
        <v>0</v>
      </c>
      <c r="BZ8" t="s">
        <v>304</v>
      </c>
    </row>
    <row r="9" spans="1:78">
      <c r="A9" t="s">
        <v>296</v>
      </c>
      <c r="B9" t="s">
        <v>297</v>
      </c>
      <c r="C9">
        <v>747</v>
      </c>
      <c r="D9" t="s">
        <v>298</v>
      </c>
      <c r="E9" t="s">
        <v>298</v>
      </c>
      <c r="F9">
        <v>5</v>
      </c>
      <c r="G9" s="13">
        <v>46266.416666666664</v>
      </c>
      <c r="H9" s="13">
        <v>46302.75</v>
      </c>
      <c r="I9">
        <v>300</v>
      </c>
      <c r="J9" t="s">
        <v>246</v>
      </c>
      <c r="K9">
        <v>1</v>
      </c>
      <c r="L9">
        <v>0.1</v>
      </c>
      <c r="M9">
        <v>0.1</v>
      </c>
      <c r="N9">
        <v>1</v>
      </c>
      <c r="O9">
        <v>0.1</v>
      </c>
      <c r="P9">
        <v>4.5</v>
      </c>
      <c r="Q9">
        <v>8</v>
      </c>
      <c r="R9">
        <v>5</v>
      </c>
      <c r="S9" t="s">
        <v>250</v>
      </c>
      <c r="T9" t="s">
        <v>254</v>
      </c>
      <c r="U9">
        <v>20</v>
      </c>
      <c r="V9">
        <v>1500</v>
      </c>
      <c r="W9">
        <v>1400</v>
      </c>
      <c r="X9">
        <v>1400</v>
      </c>
      <c r="Y9">
        <v>0</v>
      </c>
      <c r="Z9">
        <v>0</v>
      </c>
      <c r="AA9">
        <v>80</v>
      </c>
      <c r="AB9">
        <v>15</v>
      </c>
      <c r="AC9">
        <v>1500</v>
      </c>
      <c r="AD9">
        <v>0</v>
      </c>
      <c r="AE9">
        <v>0</v>
      </c>
      <c r="AF9">
        <v>1503.5</v>
      </c>
      <c r="AG9">
        <v>1503.5</v>
      </c>
      <c r="AH9" s="14">
        <v>46302</v>
      </c>
      <c r="AI9" t="s">
        <v>299</v>
      </c>
      <c r="AJ9" s="13">
        <v>46266.416666666664</v>
      </c>
      <c r="AK9">
        <v>1500</v>
      </c>
      <c r="AL9" t="s">
        <v>248</v>
      </c>
      <c r="AM9" t="s">
        <v>249</v>
      </c>
      <c r="AN9">
        <v>1400</v>
      </c>
      <c r="AO9">
        <v>0</v>
      </c>
      <c r="AP9">
        <v>60</v>
      </c>
      <c r="AQ9">
        <v>110</v>
      </c>
      <c r="AR9">
        <v>200</v>
      </c>
      <c r="AS9">
        <v>3</v>
      </c>
      <c r="AT9">
        <v>23</v>
      </c>
      <c r="AU9">
        <v>0</v>
      </c>
      <c r="AV9">
        <v>10</v>
      </c>
      <c r="AW9">
        <v>25</v>
      </c>
      <c r="AX9">
        <v>0</v>
      </c>
      <c r="AY9">
        <v>3</v>
      </c>
      <c r="AZ9">
        <v>1.5</v>
      </c>
      <c r="BA9">
        <v>1</v>
      </c>
      <c r="BB9">
        <v>1440</v>
      </c>
      <c r="BC9">
        <v>0</v>
      </c>
      <c r="BD9">
        <v>0</v>
      </c>
      <c r="BE9">
        <v>14</v>
      </c>
      <c r="BF9">
        <v>25</v>
      </c>
      <c r="BG9">
        <v>3</v>
      </c>
      <c r="BH9">
        <v>8</v>
      </c>
      <c r="BI9">
        <v>3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0</v>
      </c>
      <c r="BQ9">
        <v>60</v>
      </c>
      <c r="BR9">
        <v>0</v>
      </c>
      <c r="BS9">
        <v>3</v>
      </c>
      <c r="BT9" t="s">
        <v>300</v>
      </c>
      <c r="BU9" t="s">
        <v>301</v>
      </c>
      <c r="BV9" t="s">
        <v>296</v>
      </c>
      <c r="BW9" t="s">
        <v>302</v>
      </c>
      <c r="BX9" t="s">
        <v>303</v>
      </c>
      <c r="BY9" t="b">
        <v>0</v>
      </c>
      <c r="BZ9" t="s">
        <v>304</v>
      </c>
    </row>
    <row r="10" spans="1:78">
      <c r="A10" t="s">
        <v>296</v>
      </c>
      <c r="B10" t="s">
        <v>297</v>
      </c>
      <c r="C10">
        <v>748</v>
      </c>
      <c r="D10" t="s">
        <v>298</v>
      </c>
      <c r="E10" t="s">
        <v>298</v>
      </c>
      <c r="F10">
        <v>5</v>
      </c>
      <c r="G10" s="13">
        <v>46266.416666666664</v>
      </c>
      <c r="H10" s="13">
        <v>46302.75</v>
      </c>
      <c r="I10">
        <v>300</v>
      </c>
      <c r="J10" t="s">
        <v>246</v>
      </c>
      <c r="K10">
        <v>1</v>
      </c>
      <c r="L10">
        <v>0.1</v>
      </c>
      <c r="M10">
        <v>0.1</v>
      </c>
      <c r="N10">
        <v>1</v>
      </c>
      <c r="O10">
        <v>0.1</v>
      </c>
      <c r="P10">
        <v>4.5</v>
      </c>
      <c r="Q10">
        <v>8</v>
      </c>
      <c r="R10">
        <v>5</v>
      </c>
      <c r="S10" t="s">
        <v>250</v>
      </c>
      <c r="T10" t="s">
        <v>254</v>
      </c>
      <c r="U10">
        <v>20</v>
      </c>
      <c r="V10">
        <v>1500</v>
      </c>
      <c r="W10">
        <v>1400</v>
      </c>
      <c r="X10">
        <v>1400</v>
      </c>
      <c r="Y10">
        <v>0</v>
      </c>
      <c r="Z10">
        <v>0</v>
      </c>
      <c r="AA10">
        <v>80</v>
      </c>
      <c r="AB10">
        <v>15</v>
      </c>
      <c r="AC10">
        <v>1500</v>
      </c>
      <c r="AD10">
        <v>0</v>
      </c>
      <c r="AE10">
        <v>0</v>
      </c>
      <c r="AF10">
        <v>1503.5</v>
      </c>
      <c r="AG10">
        <v>1503.5</v>
      </c>
      <c r="AH10" s="14">
        <v>46302</v>
      </c>
      <c r="AI10" t="s">
        <v>299</v>
      </c>
      <c r="AJ10" s="13">
        <v>46266.416666666664</v>
      </c>
      <c r="AK10">
        <v>1500</v>
      </c>
      <c r="AL10" t="s">
        <v>248</v>
      </c>
      <c r="AM10" t="s">
        <v>249</v>
      </c>
      <c r="AN10">
        <v>1400</v>
      </c>
      <c r="AO10">
        <v>0</v>
      </c>
      <c r="AP10">
        <v>60</v>
      </c>
      <c r="AQ10">
        <v>110</v>
      </c>
      <c r="AR10">
        <v>200</v>
      </c>
      <c r="AS10">
        <v>3</v>
      </c>
      <c r="AT10">
        <v>23</v>
      </c>
      <c r="AU10">
        <v>0</v>
      </c>
      <c r="AV10">
        <v>10</v>
      </c>
      <c r="AW10">
        <v>25</v>
      </c>
      <c r="AX10">
        <v>0</v>
      </c>
      <c r="AY10">
        <v>3</v>
      </c>
      <c r="AZ10">
        <v>1.5</v>
      </c>
      <c r="BA10">
        <v>1</v>
      </c>
      <c r="BB10">
        <v>1440</v>
      </c>
      <c r="BC10">
        <v>0</v>
      </c>
      <c r="BD10">
        <v>0</v>
      </c>
      <c r="BE10">
        <v>14</v>
      </c>
      <c r="BF10">
        <v>25</v>
      </c>
      <c r="BG10">
        <v>3</v>
      </c>
      <c r="BH10">
        <v>8</v>
      </c>
      <c r="BI10">
        <v>3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60</v>
      </c>
      <c r="BR10">
        <v>0</v>
      </c>
      <c r="BS10">
        <v>3</v>
      </c>
      <c r="BT10" t="s">
        <v>300</v>
      </c>
      <c r="BU10" t="s">
        <v>301</v>
      </c>
      <c r="BV10" t="s">
        <v>296</v>
      </c>
      <c r="BW10" t="s">
        <v>302</v>
      </c>
      <c r="BX10" t="s">
        <v>303</v>
      </c>
      <c r="BY10" t="b">
        <v>0</v>
      </c>
      <c r="BZ10" t="s">
        <v>304</v>
      </c>
    </row>
    <row r="11" spans="1:78">
      <c r="A11" t="s">
        <v>296</v>
      </c>
      <c r="B11" t="s">
        <v>297</v>
      </c>
      <c r="C11">
        <v>749</v>
      </c>
      <c r="D11" t="s">
        <v>298</v>
      </c>
      <c r="E11" t="s">
        <v>298</v>
      </c>
      <c r="F11">
        <v>5</v>
      </c>
      <c r="G11" s="13">
        <v>46266.416666666664</v>
      </c>
      <c r="H11" s="13">
        <v>46302.75</v>
      </c>
      <c r="I11">
        <v>300</v>
      </c>
      <c r="J11" t="s">
        <v>246</v>
      </c>
      <c r="K11">
        <v>1</v>
      </c>
      <c r="L11">
        <v>0.1</v>
      </c>
      <c r="M11">
        <v>0.1</v>
      </c>
      <c r="N11">
        <v>1</v>
      </c>
      <c r="O11">
        <v>0.1</v>
      </c>
      <c r="P11">
        <v>4.5</v>
      </c>
      <c r="Q11">
        <v>8</v>
      </c>
      <c r="R11">
        <v>5</v>
      </c>
      <c r="S11" t="s">
        <v>250</v>
      </c>
      <c r="T11" t="s">
        <v>254</v>
      </c>
      <c r="U11">
        <v>20</v>
      </c>
      <c r="V11">
        <v>1500</v>
      </c>
      <c r="W11">
        <v>1400</v>
      </c>
      <c r="X11">
        <v>1400</v>
      </c>
      <c r="Y11">
        <v>0</v>
      </c>
      <c r="Z11">
        <v>0</v>
      </c>
      <c r="AA11">
        <v>80</v>
      </c>
      <c r="AB11">
        <v>15</v>
      </c>
      <c r="AC11">
        <v>1500</v>
      </c>
      <c r="AD11">
        <v>0</v>
      </c>
      <c r="AE11">
        <v>0</v>
      </c>
      <c r="AF11">
        <v>1503.5</v>
      </c>
      <c r="AG11">
        <v>1503.5</v>
      </c>
      <c r="AH11" s="14">
        <v>46302</v>
      </c>
      <c r="AI11" t="s">
        <v>299</v>
      </c>
      <c r="AJ11" s="13">
        <v>46266.416666666664</v>
      </c>
      <c r="AK11">
        <v>1500</v>
      </c>
      <c r="AL11" t="s">
        <v>248</v>
      </c>
      <c r="AM11" t="s">
        <v>249</v>
      </c>
      <c r="AN11">
        <v>1400</v>
      </c>
      <c r="AO11">
        <v>0</v>
      </c>
      <c r="AP11">
        <v>60</v>
      </c>
      <c r="AQ11">
        <v>110</v>
      </c>
      <c r="AR11">
        <v>200</v>
      </c>
      <c r="AS11">
        <v>3</v>
      </c>
      <c r="AT11">
        <v>23</v>
      </c>
      <c r="AU11">
        <v>0</v>
      </c>
      <c r="AV11">
        <v>10</v>
      </c>
      <c r="AW11">
        <v>25</v>
      </c>
      <c r="AX11">
        <v>0</v>
      </c>
      <c r="AY11">
        <v>3</v>
      </c>
      <c r="AZ11">
        <v>1.5</v>
      </c>
      <c r="BA11">
        <v>1</v>
      </c>
      <c r="BB11">
        <v>1440</v>
      </c>
      <c r="BC11">
        <v>0</v>
      </c>
      <c r="BD11">
        <v>0</v>
      </c>
      <c r="BE11">
        <v>14</v>
      </c>
      <c r="BF11">
        <v>25</v>
      </c>
      <c r="BG11">
        <v>3</v>
      </c>
      <c r="BH11">
        <v>8</v>
      </c>
      <c r="BI11">
        <v>3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60</v>
      </c>
      <c r="BR11">
        <v>0</v>
      </c>
      <c r="BS11">
        <v>3</v>
      </c>
      <c r="BT11" t="s">
        <v>300</v>
      </c>
      <c r="BU11" t="s">
        <v>301</v>
      </c>
      <c r="BV11" t="s">
        <v>296</v>
      </c>
      <c r="BW11" t="s">
        <v>302</v>
      </c>
      <c r="BX11" t="s">
        <v>303</v>
      </c>
      <c r="BY11" t="b">
        <v>0</v>
      </c>
      <c r="BZ11" t="s">
        <v>304</v>
      </c>
    </row>
    <row r="12" spans="1:78">
      <c r="A12" t="s">
        <v>296</v>
      </c>
      <c r="B12" t="s">
        <v>297</v>
      </c>
      <c r="C12">
        <v>750</v>
      </c>
      <c r="D12" t="s">
        <v>298</v>
      </c>
      <c r="E12" t="s">
        <v>298</v>
      </c>
      <c r="F12">
        <v>5</v>
      </c>
      <c r="G12" s="13">
        <v>46266.416666666664</v>
      </c>
      <c r="H12" s="13">
        <v>46302.75</v>
      </c>
      <c r="I12">
        <v>300</v>
      </c>
      <c r="J12" t="s">
        <v>246</v>
      </c>
      <c r="K12">
        <v>1</v>
      </c>
      <c r="L12">
        <v>0.1</v>
      </c>
      <c r="M12">
        <v>0.1</v>
      </c>
      <c r="N12">
        <v>1</v>
      </c>
      <c r="O12">
        <v>0.1</v>
      </c>
      <c r="P12">
        <v>4.5</v>
      </c>
      <c r="Q12">
        <v>8</v>
      </c>
      <c r="R12">
        <v>5</v>
      </c>
      <c r="S12" t="s">
        <v>250</v>
      </c>
      <c r="T12" t="s">
        <v>254</v>
      </c>
      <c r="U12">
        <v>20</v>
      </c>
      <c r="V12">
        <v>1500</v>
      </c>
      <c r="W12">
        <v>1400</v>
      </c>
      <c r="X12">
        <v>1400</v>
      </c>
      <c r="Y12">
        <v>0</v>
      </c>
      <c r="Z12">
        <v>0</v>
      </c>
      <c r="AA12">
        <v>80</v>
      </c>
      <c r="AB12">
        <v>15</v>
      </c>
      <c r="AC12">
        <v>1500</v>
      </c>
      <c r="AD12">
        <v>0</v>
      </c>
      <c r="AE12">
        <v>0</v>
      </c>
      <c r="AF12">
        <v>1503.5</v>
      </c>
      <c r="AG12">
        <v>1503.5</v>
      </c>
      <c r="AH12" s="14">
        <v>46302</v>
      </c>
      <c r="AI12" t="s">
        <v>299</v>
      </c>
      <c r="AJ12" s="13">
        <v>46266.416666666664</v>
      </c>
      <c r="AK12">
        <v>1500</v>
      </c>
      <c r="AL12" t="s">
        <v>248</v>
      </c>
      <c r="AM12" t="s">
        <v>249</v>
      </c>
      <c r="AN12">
        <v>1400</v>
      </c>
      <c r="AO12">
        <v>0</v>
      </c>
      <c r="AP12">
        <v>60</v>
      </c>
      <c r="AQ12">
        <v>110</v>
      </c>
      <c r="AR12">
        <v>200</v>
      </c>
      <c r="AS12">
        <v>3</v>
      </c>
      <c r="AT12">
        <v>23</v>
      </c>
      <c r="AU12">
        <v>0</v>
      </c>
      <c r="AV12">
        <v>10</v>
      </c>
      <c r="AW12">
        <v>25</v>
      </c>
      <c r="AX12">
        <v>0</v>
      </c>
      <c r="AY12">
        <v>3</v>
      </c>
      <c r="AZ12">
        <v>1.5</v>
      </c>
      <c r="BA12">
        <v>1</v>
      </c>
      <c r="BB12">
        <v>1440</v>
      </c>
      <c r="BC12">
        <v>0</v>
      </c>
      <c r="BD12">
        <v>0</v>
      </c>
      <c r="BE12">
        <v>14</v>
      </c>
      <c r="BF12">
        <v>25</v>
      </c>
      <c r="BG12">
        <v>3</v>
      </c>
      <c r="BH12">
        <v>8</v>
      </c>
      <c r="BI12">
        <v>3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60</v>
      </c>
      <c r="BR12">
        <v>0</v>
      </c>
      <c r="BS12">
        <v>3</v>
      </c>
      <c r="BT12" t="s">
        <v>300</v>
      </c>
      <c r="BU12" t="s">
        <v>301</v>
      </c>
      <c r="BV12" t="s">
        <v>296</v>
      </c>
      <c r="BW12" t="s">
        <v>302</v>
      </c>
      <c r="BX12" t="s">
        <v>303</v>
      </c>
      <c r="BY12" t="b">
        <v>0</v>
      </c>
      <c r="BZ12" t="s">
        <v>304</v>
      </c>
    </row>
    <row r="13" spans="1:78">
      <c r="A13" t="s">
        <v>296</v>
      </c>
      <c r="B13" t="s">
        <v>297</v>
      </c>
      <c r="C13">
        <v>751</v>
      </c>
      <c r="D13" t="s">
        <v>298</v>
      </c>
      <c r="E13" t="s">
        <v>298</v>
      </c>
      <c r="F13">
        <v>5</v>
      </c>
      <c r="G13" s="13">
        <v>46266.416666666664</v>
      </c>
      <c r="H13" s="13">
        <v>46302.75</v>
      </c>
      <c r="I13">
        <v>300</v>
      </c>
      <c r="J13" t="s">
        <v>246</v>
      </c>
      <c r="K13">
        <v>1</v>
      </c>
      <c r="L13">
        <v>0.1</v>
      </c>
      <c r="M13">
        <v>0.1</v>
      </c>
      <c r="N13">
        <v>1</v>
      </c>
      <c r="O13">
        <v>0.1</v>
      </c>
      <c r="P13">
        <v>4.5</v>
      </c>
      <c r="Q13">
        <v>8</v>
      </c>
      <c r="R13">
        <v>5</v>
      </c>
      <c r="S13" t="s">
        <v>250</v>
      </c>
      <c r="T13" t="s">
        <v>254</v>
      </c>
      <c r="U13">
        <v>20</v>
      </c>
      <c r="V13">
        <v>1500</v>
      </c>
      <c r="W13">
        <v>1400</v>
      </c>
      <c r="X13">
        <v>1400</v>
      </c>
      <c r="Y13">
        <v>0</v>
      </c>
      <c r="Z13">
        <v>0</v>
      </c>
      <c r="AA13">
        <v>80</v>
      </c>
      <c r="AB13">
        <v>15</v>
      </c>
      <c r="AC13">
        <v>1500</v>
      </c>
      <c r="AD13">
        <v>0</v>
      </c>
      <c r="AE13">
        <v>0</v>
      </c>
      <c r="AF13">
        <v>1503.5</v>
      </c>
      <c r="AG13">
        <v>1503.5</v>
      </c>
      <c r="AH13" s="14">
        <v>46302</v>
      </c>
      <c r="AI13" t="s">
        <v>299</v>
      </c>
      <c r="AJ13" s="13">
        <v>46266.416666666664</v>
      </c>
      <c r="AK13">
        <v>1500</v>
      </c>
      <c r="AL13" t="s">
        <v>248</v>
      </c>
      <c r="AM13" t="s">
        <v>249</v>
      </c>
      <c r="AN13">
        <v>1400</v>
      </c>
      <c r="AO13">
        <v>0</v>
      </c>
      <c r="AP13">
        <v>60</v>
      </c>
      <c r="AQ13">
        <v>110</v>
      </c>
      <c r="AR13">
        <v>200</v>
      </c>
      <c r="AS13">
        <v>3</v>
      </c>
      <c r="AT13">
        <v>23</v>
      </c>
      <c r="AU13">
        <v>0</v>
      </c>
      <c r="AV13">
        <v>10</v>
      </c>
      <c r="AW13">
        <v>25</v>
      </c>
      <c r="AX13">
        <v>0</v>
      </c>
      <c r="AY13">
        <v>3</v>
      </c>
      <c r="AZ13">
        <v>1.5</v>
      </c>
      <c r="BA13">
        <v>1</v>
      </c>
      <c r="BB13">
        <v>1440</v>
      </c>
      <c r="BC13">
        <v>0</v>
      </c>
      <c r="BD13">
        <v>0</v>
      </c>
      <c r="BE13">
        <v>14</v>
      </c>
      <c r="BF13">
        <v>25</v>
      </c>
      <c r="BG13">
        <v>3</v>
      </c>
      <c r="BH13">
        <v>8</v>
      </c>
      <c r="BI13">
        <v>3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60</v>
      </c>
      <c r="BR13">
        <v>0</v>
      </c>
      <c r="BS13">
        <v>3</v>
      </c>
      <c r="BT13" t="s">
        <v>300</v>
      </c>
      <c r="BU13" t="s">
        <v>301</v>
      </c>
      <c r="BV13" t="s">
        <v>296</v>
      </c>
      <c r="BW13" t="s">
        <v>302</v>
      </c>
      <c r="BX13" t="s">
        <v>303</v>
      </c>
      <c r="BY13" t="b">
        <v>0</v>
      </c>
      <c r="BZ13" t="s">
        <v>304</v>
      </c>
    </row>
    <row r="14" spans="1:78">
      <c r="A14" t="s">
        <v>296</v>
      </c>
      <c r="B14" t="s">
        <v>297</v>
      </c>
      <c r="C14">
        <v>752</v>
      </c>
      <c r="D14" t="s">
        <v>298</v>
      </c>
      <c r="E14" t="s">
        <v>298</v>
      </c>
      <c r="F14">
        <v>5</v>
      </c>
      <c r="G14" s="13">
        <v>46266.416666666664</v>
      </c>
      <c r="H14" s="13">
        <v>46302.75</v>
      </c>
      <c r="I14">
        <v>300</v>
      </c>
      <c r="J14" t="s">
        <v>246</v>
      </c>
      <c r="K14">
        <v>1</v>
      </c>
      <c r="L14">
        <v>0.1</v>
      </c>
      <c r="M14">
        <v>0.1</v>
      </c>
      <c r="N14">
        <v>1</v>
      </c>
      <c r="O14">
        <v>0.1</v>
      </c>
      <c r="P14">
        <v>4.5</v>
      </c>
      <c r="Q14">
        <v>8</v>
      </c>
      <c r="R14">
        <v>5</v>
      </c>
      <c r="S14" t="s">
        <v>250</v>
      </c>
      <c r="T14" t="s">
        <v>254</v>
      </c>
      <c r="U14">
        <v>20</v>
      </c>
      <c r="V14">
        <v>1500</v>
      </c>
      <c r="W14">
        <v>1400</v>
      </c>
      <c r="X14">
        <v>1400</v>
      </c>
      <c r="Y14">
        <v>0</v>
      </c>
      <c r="Z14">
        <v>0</v>
      </c>
      <c r="AA14">
        <v>80</v>
      </c>
      <c r="AB14">
        <v>15</v>
      </c>
      <c r="AC14">
        <v>1500</v>
      </c>
      <c r="AD14">
        <v>0</v>
      </c>
      <c r="AE14">
        <v>0</v>
      </c>
      <c r="AF14">
        <v>1503.5</v>
      </c>
      <c r="AG14">
        <v>1503.5</v>
      </c>
      <c r="AH14" s="14">
        <v>46302</v>
      </c>
      <c r="AI14" t="s">
        <v>299</v>
      </c>
      <c r="AJ14" s="13">
        <v>46266.416666666664</v>
      </c>
      <c r="AK14">
        <v>1500</v>
      </c>
      <c r="AL14" t="s">
        <v>248</v>
      </c>
      <c r="AM14" t="s">
        <v>249</v>
      </c>
      <c r="AN14">
        <v>1400</v>
      </c>
      <c r="AO14">
        <v>0</v>
      </c>
      <c r="AP14">
        <v>60</v>
      </c>
      <c r="AQ14">
        <v>110</v>
      </c>
      <c r="AR14">
        <v>200</v>
      </c>
      <c r="AS14">
        <v>3</v>
      </c>
      <c r="AT14">
        <v>23</v>
      </c>
      <c r="AU14">
        <v>0</v>
      </c>
      <c r="AV14">
        <v>10</v>
      </c>
      <c r="AW14">
        <v>25</v>
      </c>
      <c r="AX14">
        <v>0</v>
      </c>
      <c r="AY14">
        <v>3</v>
      </c>
      <c r="AZ14">
        <v>1.5</v>
      </c>
      <c r="BA14">
        <v>1</v>
      </c>
      <c r="BB14">
        <v>1440</v>
      </c>
      <c r="BC14">
        <v>0</v>
      </c>
      <c r="BD14">
        <v>0</v>
      </c>
      <c r="BE14">
        <v>14</v>
      </c>
      <c r="BF14">
        <v>25</v>
      </c>
      <c r="BG14">
        <v>3</v>
      </c>
      <c r="BH14">
        <v>8</v>
      </c>
      <c r="BI14">
        <v>3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60</v>
      </c>
      <c r="BR14">
        <v>0</v>
      </c>
      <c r="BS14">
        <v>3</v>
      </c>
      <c r="BT14" t="s">
        <v>300</v>
      </c>
      <c r="BU14" t="s">
        <v>301</v>
      </c>
      <c r="BV14" t="s">
        <v>296</v>
      </c>
      <c r="BW14" t="s">
        <v>302</v>
      </c>
      <c r="BX14" t="s">
        <v>303</v>
      </c>
      <c r="BY14" t="b">
        <v>0</v>
      </c>
      <c r="BZ14" t="s">
        <v>304</v>
      </c>
    </row>
    <row r="15" spans="1:78">
      <c r="A15" t="s">
        <v>296</v>
      </c>
      <c r="B15" t="s">
        <v>297</v>
      </c>
      <c r="C15">
        <v>753</v>
      </c>
      <c r="D15" t="s">
        <v>298</v>
      </c>
      <c r="E15" t="s">
        <v>298</v>
      </c>
      <c r="F15">
        <v>5</v>
      </c>
      <c r="G15" s="13">
        <v>46266.416666666664</v>
      </c>
      <c r="H15" s="13">
        <v>46302.75</v>
      </c>
      <c r="I15">
        <v>300</v>
      </c>
      <c r="J15" t="s">
        <v>246</v>
      </c>
      <c r="K15">
        <v>1</v>
      </c>
      <c r="L15">
        <v>0.1</v>
      </c>
      <c r="M15">
        <v>0.1</v>
      </c>
      <c r="N15">
        <v>1</v>
      </c>
      <c r="O15">
        <v>0.1</v>
      </c>
      <c r="P15">
        <v>4.5</v>
      </c>
      <c r="Q15">
        <v>8</v>
      </c>
      <c r="R15">
        <v>5</v>
      </c>
      <c r="S15" t="s">
        <v>250</v>
      </c>
      <c r="T15" t="s">
        <v>254</v>
      </c>
      <c r="U15">
        <v>20</v>
      </c>
      <c r="V15">
        <v>1500</v>
      </c>
      <c r="W15">
        <v>1400</v>
      </c>
      <c r="X15">
        <v>1400</v>
      </c>
      <c r="Y15">
        <v>0</v>
      </c>
      <c r="Z15">
        <v>0</v>
      </c>
      <c r="AA15">
        <v>80</v>
      </c>
      <c r="AB15">
        <v>15</v>
      </c>
      <c r="AC15">
        <v>1500</v>
      </c>
      <c r="AD15">
        <v>0</v>
      </c>
      <c r="AE15">
        <v>0</v>
      </c>
      <c r="AF15">
        <v>1503.5</v>
      </c>
      <c r="AG15">
        <v>1503.5</v>
      </c>
      <c r="AH15" s="14">
        <v>46302</v>
      </c>
      <c r="AI15" t="s">
        <v>299</v>
      </c>
      <c r="AJ15" s="13">
        <v>46266.416666666664</v>
      </c>
      <c r="AK15">
        <v>1500</v>
      </c>
      <c r="AL15" t="s">
        <v>248</v>
      </c>
      <c r="AM15" t="s">
        <v>249</v>
      </c>
      <c r="AN15">
        <v>1400</v>
      </c>
      <c r="AO15">
        <v>0</v>
      </c>
      <c r="AP15">
        <v>60</v>
      </c>
      <c r="AQ15">
        <v>110</v>
      </c>
      <c r="AR15">
        <v>200</v>
      </c>
      <c r="AS15">
        <v>3</v>
      </c>
      <c r="AT15">
        <v>23</v>
      </c>
      <c r="AU15">
        <v>0</v>
      </c>
      <c r="AV15">
        <v>10</v>
      </c>
      <c r="AW15">
        <v>25</v>
      </c>
      <c r="AX15">
        <v>0</v>
      </c>
      <c r="AY15">
        <v>3</v>
      </c>
      <c r="AZ15">
        <v>1.5</v>
      </c>
      <c r="BA15">
        <v>1</v>
      </c>
      <c r="BB15">
        <v>1440</v>
      </c>
      <c r="BC15">
        <v>0</v>
      </c>
      <c r="BD15">
        <v>0</v>
      </c>
      <c r="BE15">
        <v>14</v>
      </c>
      <c r="BF15">
        <v>25</v>
      </c>
      <c r="BG15">
        <v>3</v>
      </c>
      <c r="BH15">
        <v>8</v>
      </c>
      <c r="BI15">
        <v>3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60</v>
      </c>
      <c r="BR15">
        <v>0</v>
      </c>
      <c r="BS15">
        <v>3</v>
      </c>
      <c r="BT15" t="s">
        <v>300</v>
      </c>
      <c r="BU15" t="s">
        <v>301</v>
      </c>
      <c r="BV15" t="s">
        <v>296</v>
      </c>
      <c r="BW15" t="s">
        <v>302</v>
      </c>
      <c r="BX15" t="s">
        <v>303</v>
      </c>
      <c r="BY15" t="b">
        <v>0</v>
      </c>
      <c r="BZ15" t="s">
        <v>304</v>
      </c>
    </row>
    <row r="16" spans="1:78">
      <c r="A16" t="s">
        <v>296</v>
      </c>
      <c r="B16" t="s">
        <v>297</v>
      </c>
      <c r="C16">
        <v>754</v>
      </c>
      <c r="D16" t="s">
        <v>298</v>
      </c>
      <c r="E16" t="s">
        <v>298</v>
      </c>
      <c r="F16">
        <v>5</v>
      </c>
      <c r="G16" s="13">
        <v>46266.416666666664</v>
      </c>
      <c r="H16" s="13">
        <v>46302.75</v>
      </c>
      <c r="I16">
        <v>300</v>
      </c>
      <c r="J16" t="s">
        <v>246</v>
      </c>
      <c r="K16">
        <v>1</v>
      </c>
      <c r="L16">
        <v>0.1</v>
      </c>
      <c r="M16">
        <v>0.1</v>
      </c>
      <c r="N16">
        <v>1</v>
      </c>
      <c r="O16">
        <v>0.1</v>
      </c>
      <c r="P16">
        <v>4.5</v>
      </c>
      <c r="Q16">
        <v>8</v>
      </c>
      <c r="R16">
        <v>5</v>
      </c>
      <c r="S16" t="s">
        <v>250</v>
      </c>
      <c r="T16" t="s">
        <v>254</v>
      </c>
      <c r="U16">
        <v>20</v>
      </c>
      <c r="V16">
        <v>1500</v>
      </c>
      <c r="W16">
        <v>1400</v>
      </c>
      <c r="X16">
        <v>1400</v>
      </c>
      <c r="Y16">
        <v>0</v>
      </c>
      <c r="Z16">
        <v>0</v>
      </c>
      <c r="AA16">
        <v>80</v>
      </c>
      <c r="AB16">
        <v>15</v>
      </c>
      <c r="AC16">
        <v>1500</v>
      </c>
      <c r="AD16">
        <v>0</v>
      </c>
      <c r="AE16">
        <v>0</v>
      </c>
      <c r="AF16">
        <v>1503.5</v>
      </c>
      <c r="AG16">
        <v>1503.5</v>
      </c>
      <c r="AH16" s="14">
        <v>46302</v>
      </c>
      <c r="AI16" t="s">
        <v>299</v>
      </c>
      <c r="AJ16" s="13">
        <v>46266.416666666664</v>
      </c>
      <c r="AK16">
        <v>1500</v>
      </c>
      <c r="AL16" t="s">
        <v>248</v>
      </c>
      <c r="AM16" t="s">
        <v>249</v>
      </c>
      <c r="AN16">
        <v>1400</v>
      </c>
      <c r="AO16">
        <v>0</v>
      </c>
      <c r="AP16">
        <v>60</v>
      </c>
      <c r="AQ16">
        <v>110</v>
      </c>
      <c r="AR16">
        <v>200</v>
      </c>
      <c r="AS16">
        <v>3</v>
      </c>
      <c r="AT16">
        <v>23</v>
      </c>
      <c r="AU16">
        <v>0</v>
      </c>
      <c r="AV16">
        <v>10</v>
      </c>
      <c r="AW16">
        <v>25</v>
      </c>
      <c r="AX16">
        <v>0</v>
      </c>
      <c r="AY16">
        <v>3</v>
      </c>
      <c r="AZ16">
        <v>1.5</v>
      </c>
      <c r="BA16">
        <v>1</v>
      </c>
      <c r="BB16">
        <v>1440</v>
      </c>
      <c r="BC16">
        <v>0</v>
      </c>
      <c r="BD16">
        <v>0</v>
      </c>
      <c r="BE16">
        <v>14</v>
      </c>
      <c r="BF16">
        <v>25</v>
      </c>
      <c r="BG16">
        <v>3</v>
      </c>
      <c r="BH16">
        <v>8</v>
      </c>
      <c r="BI16">
        <v>3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0</v>
      </c>
      <c r="BQ16">
        <v>60</v>
      </c>
      <c r="BR16">
        <v>0</v>
      </c>
      <c r="BS16">
        <v>3</v>
      </c>
      <c r="BT16" t="s">
        <v>300</v>
      </c>
      <c r="BU16" t="s">
        <v>301</v>
      </c>
      <c r="BV16" t="s">
        <v>296</v>
      </c>
      <c r="BW16" t="s">
        <v>302</v>
      </c>
      <c r="BX16" t="s">
        <v>303</v>
      </c>
      <c r="BY16" t="b">
        <v>0</v>
      </c>
      <c r="BZ16" t="s">
        <v>304</v>
      </c>
    </row>
    <row r="17" spans="1:78">
      <c r="A17" t="s">
        <v>296</v>
      </c>
      <c r="B17" t="s">
        <v>297</v>
      </c>
      <c r="C17">
        <v>755</v>
      </c>
      <c r="D17" t="s">
        <v>298</v>
      </c>
      <c r="E17" t="s">
        <v>298</v>
      </c>
      <c r="F17">
        <v>5</v>
      </c>
      <c r="G17" s="13">
        <v>46266.416666666664</v>
      </c>
      <c r="H17" s="13">
        <v>46302.75</v>
      </c>
      <c r="I17">
        <v>300</v>
      </c>
      <c r="J17" t="s">
        <v>246</v>
      </c>
      <c r="K17">
        <v>1</v>
      </c>
      <c r="L17">
        <v>0.1</v>
      </c>
      <c r="M17">
        <v>0.1</v>
      </c>
      <c r="N17">
        <v>1</v>
      </c>
      <c r="O17">
        <v>0.1</v>
      </c>
      <c r="P17">
        <v>4.5</v>
      </c>
      <c r="Q17">
        <v>8</v>
      </c>
      <c r="R17">
        <v>5</v>
      </c>
      <c r="S17" t="s">
        <v>250</v>
      </c>
      <c r="T17" t="s">
        <v>254</v>
      </c>
      <c r="U17">
        <v>20</v>
      </c>
      <c r="V17">
        <v>1500</v>
      </c>
      <c r="W17">
        <v>1400</v>
      </c>
      <c r="X17">
        <v>1400</v>
      </c>
      <c r="Y17">
        <v>0</v>
      </c>
      <c r="Z17">
        <v>0</v>
      </c>
      <c r="AA17">
        <v>80</v>
      </c>
      <c r="AB17">
        <v>15</v>
      </c>
      <c r="AC17">
        <v>1500</v>
      </c>
      <c r="AD17">
        <v>0</v>
      </c>
      <c r="AE17">
        <v>0</v>
      </c>
      <c r="AF17">
        <v>1503.5</v>
      </c>
      <c r="AG17">
        <v>1503.5</v>
      </c>
      <c r="AH17" s="14">
        <v>46302</v>
      </c>
      <c r="AI17" t="s">
        <v>299</v>
      </c>
      <c r="AJ17" s="13">
        <v>46266.416666666664</v>
      </c>
      <c r="AK17">
        <v>1500</v>
      </c>
      <c r="AL17" t="s">
        <v>248</v>
      </c>
      <c r="AM17" t="s">
        <v>249</v>
      </c>
      <c r="AN17">
        <v>1400</v>
      </c>
      <c r="AO17">
        <v>0</v>
      </c>
      <c r="AP17">
        <v>60</v>
      </c>
      <c r="AQ17">
        <v>110</v>
      </c>
      <c r="AR17">
        <v>200</v>
      </c>
      <c r="AS17">
        <v>3</v>
      </c>
      <c r="AT17">
        <v>23</v>
      </c>
      <c r="AU17">
        <v>0</v>
      </c>
      <c r="AV17">
        <v>10</v>
      </c>
      <c r="AW17">
        <v>25</v>
      </c>
      <c r="AX17">
        <v>0</v>
      </c>
      <c r="AY17">
        <v>3</v>
      </c>
      <c r="AZ17">
        <v>1.5</v>
      </c>
      <c r="BA17">
        <v>1</v>
      </c>
      <c r="BB17">
        <v>1440</v>
      </c>
      <c r="BC17">
        <v>0</v>
      </c>
      <c r="BD17">
        <v>0</v>
      </c>
      <c r="BE17">
        <v>14</v>
      </c>
      <c r="BF17">
        <v>25</v>
      </c>
      <c r="BG17">
        <v>3</v>
      </c>
      <c r="BH17">
        <v>8</v>
      </c>
      <c r="BI17">
        <v>3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60</v>
      </c>
      <c r="BR17">
        <v>0</v>
      </c>
      <c r="BS17">
        <v>3</v>
      </c>
      <c r="BT17" t="s">
        <v>300</v>
      </c>
      <c r="BU17" t="s">
        <v>301</v>
      </c>
      <c r="BV17" t="s">
        <v>296</v>
      </c>
      <c r="BW17" t="s">
        <v>302</v>
      </c>
      <c r="BX17" t="s">
        <v>303</v>
      </c>
      <c r="BY17" t="b">
        <v>0</v>
      </c>
      <c r="BZ17" t="s">
        <v>304</v>
      </c>
    </row>
    <row r="18" spans="1:78">
      <c r="A18" t="s">
        <v>296</v>
      </c>
      <c r="B18" t="s">
        <v>297</v>
      </c>
      <c r="C18">
        <v>756</v>
      </c>
      <c r="D18" t="s">
        <v>298</v>
      </c>
      <c r="E18" t="s">
        <v>298</v>
      </c>
      <c r="F18">
        <v>5</v>
      </c>
      <c r="G18" s="13">
        <v>46266.416666666664</v>
      </c>
      <c r="H18" s="13">
        <v>46302.75</v>
      </c>
      <c r="I18">
        <v>300</v>
      </c>
      <c r="J18" t="s">
        <v>246</v>
      </c>
      <c r="K18">
        <v>1</v>
      </c>
      <c r="L18">
        <v>0.1</v>
      </c>
      <c r="M18">
        <v>0.1</v>
      </c>
      <c r="N18">
        <v>1</v>
      </c>
      <c r="O18">
        <v>0.1</v>
      </c>
      <c r="P18">
        <v>4.5</v>
      </c>
      <c r="Q18">
        <v>8</v>
      </c>
      <c r="R18">
        <v>5</v>
      </c>
      <c r="S18" t="s">
        <v>250</v>
      </c>
      <c r="T18" t="s">
        <v>254</v>
      </c>
      <c r="U18">
        <v>20</v>
      </c>
      <c r="V18">
        <v>1500</v>
      </c>
      <c r="W18">
        <v>1400</v>
      </c>
      <c r="X18">
        <v>1400</v>
      </c>
      <c r="Y18">
        <v>0</v>
      </c>
      <c r="Z18">
        <v>0</v>
      </c>
      <c r="AA18">
        <v>80</v>
      </c>
      <c r="AB18">
        <v>15</v>
      </c>
      <c r="AC18">
        <v>1500</v>
      </c>
      <c r="AD18">
        <v>0</v>
      </c>
      <c r="AE18">
        <v>0</v>
      </c>
      <c r="AF18">
        <v>1503.5</v>
      </c>
      <c r="AG18">
        <v>1503.5</v>
      </c>
      <c r="AH18" s="14">
        <v>46302</v>
      </c>
      <c r="AI18" t="s">
        <v>299</v>
      </c>
      <c r="AJ18" s="13">
        <v>46266.416666666664</v>
      </c>
      <c r="AK18">
        <v>1500</v>
      </c>
      <c r="AL18" t="s">
        <v>248</v>
      </c>
      <c r="AM18" t="s">
        <v>249</v>
      </c>
      <c r="AN18">
        <v>1400</v>
      </c>
      <c r="AO18">
        <v>0</v>
      </c>
      <c r="AP18">
        <v>60</v>
      </c>
      <c r="AQ18">
        <v>110</v>
      </c>
      <c r="AR18">
        <v>200</v>
      </c>
      <c r="AS18">
        <v>3</v>
      </c>
      <c r="AT18">
        <v>23</v>
      </c>
      <c r="AU18">
        <v>0</v>
      </c>
      <c r="AV18">
        <v>10</v>
      </c>
      <c r="AW18">
        <v>25</v>
      </c>
      <c r="AX18">
        <v>0</v>
      </c>
      <c r="AY18">
        <v>3</v>
      </c>
      <c r="AZ18">
        <v>1.5</v>
      </c>
      <c r="BA18">
        <v>1</v>
      </c>
      <c r="BB18">
        <v>1440</v>
      </c>
      <c r="BC18">
        <v>0</v>
      </c>
      <c r="BD18">
        <v>0</v>
      </c>
      <c r="BE18">
        <v>14</v>
      </c>
      <c r="BF18">
        <v>25</v>
      </c>
      <c r="BG18">
        <v>3</v>
      </c>
      <c r="BH18">
        <v>8</v>
      </c>
      <c r="BI18">
        <v>3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0</v>
      </c>
      <c r="BQ18">
        <v>60</v>
      </c>
      <c r="BR18">
        <v>0</v>
      </c>
      <c r="BS18">
        <v>3</v>
      </c>
      <c r="BT18" t="s">
        <v>300</v>
      </c>
      <c r="BU18" t="s">
        <v>301</v>
      </c>
      <c r="BV18" t="s">
        <v>296</v>
      </c>
      <c r="BW18" t="s">
        <v>302</v>
      </c>
      <c r="BX18" t="s">
        <v>303</v>
      </c>
      <c r="BY18" t="b">
        <v>0</v>
      </c>
      <c r="BZ18" t="s">
        <v>304</v>
      </c>
    </row>
    <row r="19" spans="1:78">
      <c r="A19" t="s">
        <v>296</v>
      </c>
      <c r="B19" t="s">
        <v>297</v>
      </c>
      <c r="C19">
        <v>757</v>
      </c>
      <c r="D19" t="s">
        <v>298</v>
      </c>
      <c r="E19" t="s">
        <v>298</v>
      </c>
      <c r="F19">
        <v>5</v>
      </c>
      <c r="G19" s="13">
        <v>46266.416666666664</v>
      </c>
      <c r="H19" s="13">
        <v>46302.75</v>
      </c>
      <c r="I19">
        <v>300</v>
      </c>
      <c r="J19" t="s">
        <v>246</v>
      </c>
      <c r="K19">
        <v>1</v>
      </c>
      <c r="L19">
        <v>0.1</v>
      </c>
      <c r="M19">
        <v>0.1</v>
      </c>
      <c r="N19">
        <v>1</v>
      </c>
      <c r="O19">
        <v>0.1</v>
      </c>
      <c r="P19">
        <v>4.5</v>
      </c>
      <c r="Q19">
        <v>8</v>
      </c>
      <c r="R19">
        <v>5</v>
      </c>
      <c r="S19" t="s">
        <v>250</v>
      </c>
      <c r="T19" t="s">
        <v>254</v>
      </c>
      <c r="U19">
        <v>20</v>
      </c>
      <c r="V19">
        <v>1500</v>
      </c>
      <c r="W19">
        <v>1400</v>
      </c>
      <c r="X19">
        <v>1400</v>
      </c>
      <c r="Y19">
        <v>0</v>
      </c>
      <c r="Z19">
        <v>0</v>
      </c>
      <c r="AA19">
        <v>80</v>
      </c>
      <c r="AB19">
        <v>15</v>
      </c>
      <c r="AC19">
        <v>1500</v>
      </c>
      <c r="AD19">
        <v>0</v>
      </c>
      <c r="AE19">
        <v>0</v>
      </c>
      <c r="AF19">
        <v>1503.5</v>
      </c>
      <c r="AG19">
        <v>1503.5</v>
      </c>
      <c r="AH19" s="14">
        <v>46302</v>
      </c>
      <c r="AI19" t="s">
        <v>299</v>
      </c>
      <c r="AJ19" s="13">
        <v>46266.416666666664</v>
      </c>
      <c r="AK19">
        <v>1500</v>
      </c>
      <c r="AL19" t="s">
        <v>248</v>
      </c>
      <c r="AM19" t="s">
        <v>249</v>
      </c>
      <c r="AN19">
        <v>1400</v>
      </c>
      <c r="AO19">
        <v>0</v>
      </c>
      <c r="AP19">
        <v>60</v>
      </c>
      <c r="AQ19">
        <v>110</v>
      </c>
      <c r="AR19">
        <v>200</v>
      </c>
      <c r="AS19">
        <v>3</v>
      </c>
      <c r="AT19">
        <v>23</v>
      </c>
      <c r="AU19">
        <v>0</v>
      </c>
      <c r="AV19">
        <v>10</v>
      </c>
      <c r="AW19">
        <v>25</v>
      </c>
      <c r="AX19">
        <v>0</v>
      </c>
      <c r="AY19">
        <v>3</v>
      </c>
      <c r="AZ19">
        <v>1.5</v>
      </c>
      <c r="BA19">
        <v>1</v>
      </c>
      <c r="BB19">
        <v>1440</v>
      </c>
      <c r="BC19">
        <v>0</v>
      </c>
      <c r="BD19">
        <v>0</v>
      </c>
      <c r="BE19">
        <v>14</v>
      </c>
      <c r="BF19">
        <v>25</v>
      </c>
      <c r="BG19">
        <v>3</v>
      </c>
      <c r="BH19">
        <v>8</v>
      </c>
      <c r="BI19">
        <v>3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0</v>
      </c>
      <c r="BQ19">
        <v>60</v>
      </c>
      <c r="BR19">
        <v>0</v>
      </c>
      <c r="BS19">
        <v>3</v>
      </c>
      <c r="BT19" t="s">
        <v>300</v>
      </c>
      <c r="BU19" t="s">
        <v>301</v>
      </c>
      <c r="BV19" t="s">
        <v>296</v>
      </c>
      <c r="BW19" t="s">
        <v>302</v>
      </c>
      <c r="BX19" t="s">
        <v>303</v>
      </c>
      <c r="BY19" t="b">
        <v>0</v>
      </c>
      <c r="BZ19" t="s">
        <v>304</v>
      </c>
    </row>
    <row r="20" spans="1:78">
      <c r="A20" t="s">
        <v>296</v>
      </c>
      <c r="B20" t="s">
        <v>297</v>
      </c>
      <c r="C20">
        <v>758</v>
      </c>
      <c r="D20" t="s">
        <v>298</v>
      </c>
      <c r="E20" t="s">
        <v>298</v>
      </c>
      <c r="F20">
        <v>5</v>
      </c>
      <c r="G20" s="13">
        <v>46266.416666666664</v>
      </c>
      <c r="H20" s="13">
        <v>46302.75</v>
      </c>
      <c r="I20">
        <v>300</v>
      </c>
      <c r="J20" t="s">
        <v>246</v>
      </c>
      <c r="K20">
        <v>1</v>
      </c>
      <c r="L20">
        <v>0.1</v>
      </c>
      <c r="M20">
        <v>0.1</v>
      </c>
      <c r="N20">
        <v>1</v>
      </c>
      <c r="O20">
        <v>0.1</v>
      </c>
      <c r="P20">
        <v>4.5</v>
      </c>
      <c r="Q20">
        <v>8</v>
      </c>
      <c r="R20">
        <v>5</v>
      </c>
      <c r="S20" t="s">
        <v>250</v>
      </c>
      <c r="T20" t="s">
        <v>254</v>
      </c>
      <c r="U20">
        <v>20</v>
      </c>
      <c r="V20">
        <v>1500</v>
      </c>
      <c r="W20">
        <v>1400</v>
      </c>
      <c r="X20">
        <v>1400</v>
      </c>
      <c r="Y20">
        <v>0</v>
      </c>
      <c r="Z20">
        <v>0</v>
      </c>
      <c r="AA20">
        <v>80</v>
      </c>
      <c r="AB20">
        <v>15</v>
      </c>
      <c r="AC20">
        <v>1500</v>
      </c>
      <c r="AD20">
        <v>0</v>
      </c>
      <c r="AE20">
        <v>0</v>
      </c>
      <c r="AF20">
        <v>1503.5</v>
      </c>
      <c r="AG20">
        <v>1503.5</v>
      </c>
      <c r="AH20" s="14">
        <v>46302</v>
      </c>
      <c r="AI20" t="s">
        <v>299</v>
      </c>
      <c r="AJ20" s="13">
        <v>46266.416666666664</v>
      </c>
      <c r="AK20">
        <v>1500</v>
      </c>
      <c r="AL20" t="s">
        <v>248</v>
      </c>
      <c r="AM20" t="s">
        <v>249</v>
      </c>
      <c r="AN20">
        <v>1400</v>
      </c>
      <c r="AO20">
        <v>0</v>
      </c>
      <c r="AP20">
        <v>60</v>
      </c>
      <c r="AQ20">
        <v>110</v>
      </c>
      <c r="AR20">
        <v>200</v>
      </c>
      <c r="AS20">
        <v>3</v>
      </c>
      <c r="AT20">
        <v>23</v>
      </c>
      <c r="AU20">
        <v>0</v>
      </c>
      <c r="AV20">
        <v>10</v>
      </c>
      <c r="AW20">
        <v>25</v>
      </c>
      <c r="AX20">
        <v>0</v>
      </c>
      <c r="AY20">
        <v>3</v>
      </c>
      <c r="AZ20">
        <v>1.5</v>
      </c>
      <c r="BA20">
        <v>1</v>
      </c>
      <c r="BB20">
        <v>1440</v>
      </c>
      <c r="BC20">
        <v>0</v>
      </c>
      <c r="BD20">
        <v>0</v>
      </c>
      <c r="BE20">
        <v>14</v>
      </c>
      <c r="BF20">
        <v>25</v>
      </c>
      <c r="BG20">
        <v>3</v>
      </c>
      <c r="BH20">
        <v>8</v>
      </c>
      <c r="BI20">
        <v>3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60</v>
      </c>
      <c r="BR20">
        <v>0</v>
      </c>
      <c r="BS20">
        <v>3</v>
      </c>
      <c r="BT20" t="s">
        <v>300</v>
      </c>
      <c r="BU20" t="s">
        <v>301</v>
      </c>
      <c r="BV20" t="s">
        <v>296</v>
      </c>
      <c r="BW20" t="s">
        <v>302</v>
      </c>
      <c r="BX20" t="s">
        <v>303</v>
      </c>
      <c r="BY20" t="b">
        <v>0</v>
      </c>
      <c r="BZ20" t="s">
        <v>304</v>
      </c>
    </row>
    <row r="21" spans="1:78">
      <c r="A21" t="s">
        <v>296</v>
      </c>
      <c r="B21" t="s">
        <v>297</v>
      </c>
      <c r="C21">
        <v>759</v>
      </c>
      <c r="D21" t="s">
        <v>298</v>
      </c>
      <c r="E21" t="s">
        <v>298</v>
      </c>
      <c r="F21">
        <v>5</v>
      </c>
      <c r="G21" s="13">
        <v>46266.416666666664</v>
      </c>
      <c r="H21" s="13">
        <v>46302.75</v>
      </c>
      <c r="I21">
        <v>300</v>
      </c>
      <c r="J21" t="s">
        <v>246</v>
      </c>
      <c r="K21">
        <v>1</v>
      </c>
      <c r="L21">
        <v>0.1</v>
      </c>
      <c r="M21">
        <v>0.1</v>
      </c>
      <c r="N21">
        <v>1</v>
      </c>
      <c r="O21">
        <v>0.1</v>
      </c>
      <c r="P21">
        <v>4.5</v>
      </c>
      <c r="Q21">
        <v>8</v>
      </c>
      <c r="R21">
        <v>5</v>
      </c>
      <c r="S21" t="s">
        <v>250</v>
      </c>
      <c r="T21" t="s">
        <v>254</v>
      </c>
      <c r="U21">
        <v>20</v>
      </c>
      <c r="V21">
        <v>1500</v>
      </c>
      <c r="W21">
        <v>1400</v>
      </c>
      <c r="X21">
        <v>1400</v>
      </c>
      <c r="Y21">
        <v>0</v>
      </c>
      <c r="Z21">
        <v>0</v>
      </c>
      <c r="AA21">
        <v>80</v>
      </c>
      <c r="AB21">
        <v>15</v>
      </c>
      <c r="AC21">
        <v>1500</v>
      </c>
      <c r="AD21">
        <v>0</v>
      </c>
      <c r="AE21">
        <v>0</v>
      </c>
      <c r="AF21">
        <v>1503.5</v>
      </c>
      <c r="AG21">
        <v>1503.5</v>
      </c>
      <c r="AH21" s="14">
        <v>46302</v>
      </c>
      <c r="AI21" t="s">
        <v>299</v>
      </c>
      <c r="AJ21" s="13">
        <v>46266.416666666664</v>
      </c>
      <c r="AK21">
        <v>1500</v>
      </c>
      <c r="AL21" t="s">
        <v>248</v>
      </c>
      <c r="AM21" t="s">
        <v>249</v>
      </c>
      <c r="AN21">
        <v>1400</v>
      </c>
      <c r="AO21">
        <v>0</v>
      </c>
      <c r="AP21">
        <v>60</v>
      </c>
      <c r="AQ21">
        <v>110</v>
      </c>
      <c r="AR21">
        <v>200</v>
      </c>
      <c r="AS21">
        <v>3</v>
      </c>
      <c r="AT21">
        <v>23</v>
      </c>
      <c r="AU21">
        <v>0</v>
      </c>
      <c r="AV21">
        <v>10</v>
      </c>
      <c r="AW21">
        <v>25</v>
      </c>
      <c r="AX21">
        <v>0</v>
      </c>
      <c r="AY21">
        <v>3</v>
      </c>
      <c r="AZ21">
        <v>1.5</v>
      </c>
      <c r="BA21">
        <v>1</v>
      </c>
      <c r="BB21">
        <v>1440</v>
      </c>
      <c r="BC21">
        <v>0</v>
      </c>
      <c r="BD21">
        <v>0</v>
      </c>
      <c r="BE21">
        <v>14</v>
      </c>
      <c r="BF21">
        <v>25</v>
      </c>
      <c r="BG21">
        <v>3</v>
      </c>
      <c r="BH21">
        <v>8</v>
      </c>
      <c r="BI21">
        <v>3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0</v>
      </c>
      <c r="BQ21">
        <v>60</v>
      </c>
      <c r="BR21">
        <v>0</v>
      </c>
      <c r="BS21">
        <v>3</v>
      </c>
      <c r="BT21" t="s">
        <v>300</v>
      </c>
      <c r="BU21" t="s">
        <v>301</v>
      </c>
      <c r="BV21" t="s">
        <v>296</v>
      </c>
      <c r="BW21" t="s">
        <v>302</v>
      </c>
      <c r="BX21" t="s">
        <v>303</v>
      </c>
      <c r="BY21" t="b">
        <v>0</v>
      </c>
      <c r="BZ21" t="s">
        <v>304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/>
  </sheetViews>
  <sheetFormatPr defaultRowHeight="14.25"/>
  <cols>
    <col min="1" max="1" width="28" customWidth="1"/>
    <col min="2" max="2" width="20" customWidth="1"/>
    <col min="3" max="3" width="100" customWidth="1"/>
  </cols>
  <sheetData>
    <row r="1" spans="1:3" ht="15">
      <c r="A1" s="1" t="s">
        <v>150</v>
      </c>
      <c r="B1" s="1" t="s">
        <v>269</v>
      </c>
      <c r="C1" s="1" t="s">
        <v>270</v>
      </c>
    </row>
    <row r="2" spans="1:3">
      <c r="A2" s="2" t="s">
        <v>271</v>
      </c>
      <c r="B2" s="2">
        <f>COUNTA(BasketDataTable[AccountNumber])</f>
        <v>20</v>
      </c>
      <c r="C2" s="3" t="s">
        <v>272</v>
      </c>
    </row>
    <row r="3" spans="1:3">
      <c r="A3" s="2" t="s">
        <v>152</v>
      </c>
      <c r="B3" s="2" t="str">
        <f>IF(COUNT(BasketDataTable[CsvSchemaVersion])=0,"No data",IF(COUNTIF(BasketDataTable[CsvSchemaVersion],3)=COUNT(BasketDataTable[CsvSchemaVersion]),"Schema v3","Mixed or older schema"))</f>
        <v>Schema v3</v>
      </c>
      <c r="C3" s="3" t="s">
        <v>273</v>
      </c>
    </row>
    <row r="4" spans="1:3">
      <c r="A4" s="2" t="s">
        <v>274</v>
      </c>
      <c r="B4" s="2">
        <f>COUNTIF('Account Analysis'!$A$5:$A$104,"&lt;&gt;")</f>
        <v>4</v>
      </c>
      <c r="C4" s="3" t="s">
        <v>285</v>
      </c>
    </row>
    <row r="5" spans="1:3">
      <c r="A5" s="2" t="s">
        <v>153</v>
      </c>
      <c r="B5" s="2">
        <f>COUNTIF(BasketDataTable[FolderAccountMismatch],TRUE)</f>
        <v>0</v>
      </c>
      <c r="C5" s="3" t="s">
        <v>275</v>
      </c>
    </row>
    <row r="6" spans="1:3">
      <c r="A6" s="2" t="s">
        <v>154</v>
      </c>
      <c r="B6" s="2" t="s">
        <v>155</v>
      </c>
      <c r="C6" s="3" t="s">
        <v>276</v>
      </c>
    </row>
    <row r="7" spans="1:3">
      <c r="A7" s="2" t="s">
        <v>277</v>
      </c>
      <c r="B7" s="2">
        <f>COUNTA(SyncStatusTable[AccountNumber])</f>
        <v>1</v>
      </c>
      <c r="C7" s="3" t="s">
        <v>278</v>
      </c>
    </row>
    <row r="8" spans="1:3">
      <c r="A8" s="2" t="s">
        <v>279</v>
      </c>
      <c r="B8" s="2">
        <f>COUNTIF(SyncStatusTable[IsFresh],TRUE)</f>
        <v>1</v>
      </c>
      <c r="C8" s="3" t="s">
        <v>280</v>
      </c>
    </row>
    <row r="9" spans="1:3">
      <c r="A9" s="2" t="s">
        <v>156</v>
      </c>
      <c r="B9" s="2" t="s">
        <v>281</v>
      </c>
      <c r="C9" s="3" t="s">
        <v>282</v>
      </c>
    </row>
    <row r="10" spans="1:3">
      <c r="A10" t="s">
        <v>286</v>
      </c>
      <c r="B10" t="str" cm="1">
        <f t="array" ref="B10">IF(SUMPRODUCT((BasketDataTable[AccountNumber]&lt;&gt;"")*(COUNTIFS('Account Analysis'!$A$5:$A$104,BasketDataTable[AccountNumber],'Account Analysis'!$B$5:$B$104,BasketDataTable[RunID])=0))&gt;0,"INCOMPLETE ANALYSIS - add account/run","OK")</f>
        <v>INCOMPLETE ANALYSIS - add account/run</v>
      </c>
      <c r="C10" t="s">
        <v>287</v>
      </c>
    </row>
    <row r="11" spans="1:3">
      <c r="A11" t="s">
        <v>288</v>
      </c>
      <c r="B11" t="str" cm="1">
        <f t="array" ref="B11">IF(SUMPRODUCT(('Account Analysis'!$A$5:$A$104&lt;&gt;"")*(COUNTIFS('Account Analysis'!$A$5:$A$104,'Account Analysis'!$A$5:$A$104,'Account Analysis'!$B$5:$B$104,'Account Analysis'!$B$5:$B$104)&gt;1))&gt;0,"DUPLICATE ACCOUNT/RUN","OK")</f>
        <v>OK</v>
      </c>
      <c r="C11" t="s">
        <v>289</v>
      </c>
    </row>
    <row r="12" spans="1:3">
      <c r="A12" t="s">
        <v>290</v>
      </c>
      <c r="B12" t="s">
        <v>291</v>
      </c>
      <c r="C12" t="s">
        <v>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4"/>
  <sheetViews>
    <sheetView showGridLines="0" zoomScale="85" zoomScaleNormal="85" workbookViewId="0">
      <selection sqref="A1:F1"/>
    </sheetView>
  </sheetViews>
  <sheetFormatPr defaultRowHeight="14.25"/>
  <cols>
    <col min="1" max="1" width="120" customWidth="1"/>
    <col min="2" max="2" width="45" customWidth="1"/>
  </cols>
  <sheetData>
    <row r="1" spans="1:6" ht="20.25">
      <c r="A1" s="24" t="s">
        <v>157</v>
      </c>
      <c r="B1" s="24"/>
      <c r="C1" s="24"/>
      <c r="D1" s="24"/>
      <c r="E1" s="24"/>
      <c r="F1" s="24"/>
    </row>
    <row r="3" spans="1:6" ht="15">
      <c r="A3" s="1" t="s">
        <v>158</v>
      </c>
      <c r="B3" s="1" t="s">
        <v>159</v>
      </c>
    </row>
    <row r="4" spans="1:6">
      <c r="A4" s="2" t="s">
        <v>160</v>
      </c>
      <c r="B4" s="12" t="s">
        <v>307</v>
      </c>
    </row>
    <row r="5" spans="1:6">
      <c r="A5" s="2" t="s">
        <v>161</v>
      </c>
      <c r="B5" s="2" t="s">
        <v>308</v>
      </c>
    </row>
    <row r="6" spans="1:6">
      <c r="A6" s="2" t="s">
        <v>170</v>
      </c>
      <c r="B6" s="2" t="s">
        <v>171</v>
      </c>
    </row>
    <row r="8" spans="1:6">
      <c r="A8" s="26" t="s">
        <v>172</v>
      </c>
      <c r="B8" s="26"/>
      <c r="C8" s="26"/>
      <c r="D8" s="26"/>
      <c r="E8" s="26"/>
      <c r="F8" s="26"/>
    </row>
    <row r="10" spans="1:6">
      <c r="A10" s="15" t="s">
        <v>173</v>
      </c>
    </row>
    <row r="11" spans="1:6">
      <c r="A11" s="15" t="s">
        <v>174</v>
      </c>
    </row>
    <row r="12" spans="1:6">
      <c r="A12" s="15" t="s">
        <v>175</v>
      </c>
    </row>
    <row r="13" spans="1:6">
      <c r="A13" s="15" t="s">
        <v>176</v>
      </c>
    </row>
    <row r="14" spans="1:6">
      <c r="A14" s="15" t="s">
        <v>177</v>
      </c>
    </row>
    <row r="15" spans="1:6">
      <c r="A15" s="15" t="s">
        <v>178</v>
      </c>
    </row>
    <row r="16" spans="1:6">
      <c r="A16" s="15" t="s">
        <v>179</v>
      </c>
    </row>
    <row r="17" spans="1:1">
      <c r="A17" s="15" t="s">
        <v>180</v>
      </c>
    </row>
    <row r="18" spans="1:1">
      <c r="A18" s="15" t="s">
        <v>181</v>
      </c>
    </row>
    <row r="19" spans="1:1">
      <c r="A19" s="15" t="s">
        <v>182</v>
      </c>
    </row>
    <row r="20" spans="1:1">
      <c r="A20" s="15" t="s">
        <v>183</v>
      </c>
    </row>
    <row r="21" spans="1:1">
      <c r="A21" s="15" t="s">
        <v>184</v>
      </c>
    </row>
    <row r="22" spans="1:1">
      <c r="A22" s="15" t="s">
        <v>185</v>
      </c>
    </row>
    <row r="23" spans="1:1">
      <c r="A23" s="15" t="s">
        <v>186</v>
      </c>
    </row>
    <row r="24" spans="1:1">
      <c r="A24" s="15" t="s">
        <v>178</v>
      </c>
    </row>
    <row r="25" spans="1:1">
      <c r="A25" s="15" t="s">
        <v>187</v>
      </c>
    </row>
    <row r="26" spans="1:1">
      <c r="A26" s="15" t="s">
        <v>188</v>
      </c>
    </row>
    <row r="27" spans="1:1">
      <c r="A27" s="15" t="s">
        <v>189</v>
      </c>
    </row>
    <row r="28" spans="1:1">
      <c r="A28" s="15" t="s">
        <v>190</v>
      </c>
    </row>
    <row r="29" spans="1:1">
      <c r="A29" s="15" t="s">
        <v>191</v>
      </c>
    </row>
    <row r="30" spans="1:1">
      <c r="A30" s="15" t="s">
        <v>192</v>
      </c>
    </row>
    <row r="31" spans="1:1">
      <c r="A31" s="15" t="s">
        <v>193</v>
      </c>
    </row>
    <row r="32" spans="1:1">
      <c r="A32" s="15" t="s">
        <v>194</v>
      </c>
    </row>
    <row r="33" spans="1:1">
      <c r="A33" s="16" t="s">
        <v>195</v>
      </c>
    </row>
    <row r="34" spans="1:1">
      <c r="A34" s="16" t="s">
        <v>196</v>
      </c>
    </row>
    <row r="35" spans="1:1">
      <c r="A35" s="16" t="s">
        <v>197</v>
      </c>
    </row>
    <row r="36" spans="1:1">
      <c r="A36" s="16" t="s">
        <v>198</v>
      </c>
    </row>
    <row r="37" spans="1:1">
      <c r="A37" s="16" t="s">
        <v>199</v>
      </c>
    </row>
    <row r="38" spans="1:1">
      <c r="A38" s="16" t="s">
        <v>200</v>
      </c>
    </row>
    <row r="39" spans="1:1">
      <c r="A39" s="16" t="s">
        <v>201</v>
      </c>
    </row>
    <row r="40" spans="1:1">
      <c r="A40" s="16" t="s">
        <v>202</v>
      </c>
    </row>
    <row r="41" spans="1:1">
      <c r="A41" s="16" t="s">
        <v>203</v>
      </c>
    </row>
    <row r="42" spans="1:1">
      <c r="A42" s="16" t="s">
        <v>204</v>
      </c>
    </row>
    <row r="43" spans="1:1">
      <c r="A43" s="16" t="s">
        <v>205</v>
      </c>
    </row>
    <row r="44" spans="1:1">
      <c r="A44" s="16" t="s">
        <v>206</v>
      </c>
    </row>
    <row r="45" spans="1:1">
      <c r="A45" s="16" t="s">
        <v>207</v>
      </c>
    </row>
    <row r="46" spans="1:1">
      <c r="A46" s="16" t="s">
        <v>208</v>
      </c>
    </row>
    <row r="47" spans="1:1">
      <c r="A47" s="16" t="s">
        <v>209</v>
      </c>
    </row>
    <row r="48" spans="1:1">
      <c r="A48" s="16" t="s">
        <v>210</v>
      </c>
    </row>
    <row r="49" spans="1:1">
      <c r="A49" s="16" t="s">
        <v>211</v>
      </c>
    </row>
    <row r="50" spans="1:1">
      <c r="A50" s="16" t="s">
        <v>212</v>
      </c>
    </row>
    <row r="51" spans="1:1">
      <c r="A51" s="16" t="s">
        <v>213</v>
      </c>
    </row>
    <row r="52" spans="1:1">
      <c r="A52" s="16" t="s">
        <v>214</v>
      </c>
    </row>
    <row r="53" spans="1:1">
      <c r="A53" s="16" t="s">
        <v>215</v>
      </c>
    </row>
    <row r="54" spans="1:1">
      <c r="A54" s="16" t="s">
        <v>216</v>
      </c>
    </row>
    <row r="55" spans="1:1">
      <c r="A55" s="16" t="s">
        <v>217</v>
      </c>
    </row>
    <row r="56" spans="1:1">
      <c r="A56" s="16" t="s">
        <v>218</v>
      </c>
    </row>
    <row r="57" spans="1:1">
      <c r="A57" s="16" t="s">
        <v>219</v>
      </c>
    </row>
    <row r="58" spans="1:1">
      <c r="A58" s="16" t="s">
        <v>220</v>
      </c>
    </row>
    <row r="59" spans="1:1">
      <c r="A59" s="16" t="s">
        <v>221</v>
      </c>
    </row>
    <row r="60" spans="1:1">
      <c r="A60" s="16" t="s">
        <v>222</v>
      </c>
    </row>
    <row r="61" spans="1:1">
      <c r="A61" s="16" t="s">
        <v>223</v>
      </c>
    </row>
    <row r="62" spans="1:1">
      <c r="A62" s="16" t="s">
        <v>224</v>
      </c>
    </row>
    <row r="63" spans="1:1">
      <c r="A63" s="16" t="s">
        <v>225</v>
      </c>
    </row>
    <row r="64" spans="1:1">
      <c r="A64" s="16" t="s">
        <v>226</v>
      </c>
    </row>
    <row r="65" spans="1:1">
      <c r="A65" s="16" t="s">
        <v>227</v>
      </c>
    </row>
    <row r="66" spans="1:1">
      <c r="A66" s="16" t="s">
        <v>228</v>
      </c>
    </row>
    <row r="68" spans="1:1">
      <c r="A68" s="16" t="s">
        <v>229</v>
      </c>
    </row>
    <row r="69" spans="1:1">
      <c r="A69" s="16" t="s">
        <v>174</v>
      </c>
    </row>
    <row r="70" spans="1:1">
      <c r="A70" s="16" t="s">
        <v>175</v>
      </c>
    </row>
    <row r="71" spans="1:1">
      <c r="A71" s="16" t="s">
        <v>230</v>
      </c>
    </row>
    <row r="72" spans="1:1">
      <c r="A72" s="16" t="s">
        <v>187</v>
      </c>
    </row>
    <row r="73" spans="1:1">
      <c r="A73" s="16" t="s">
        <v>188</v>
      </c>
    </row>
    <row r="74" spans="1:1">
      <c r="A74" s="16" t="s">
        <v>189</v>
      </c>
    </row>
    <row r="75" spans="1:1">
      <c r="A75" s="16" t="s">
        <v>190</v>
      </c>
    </row>
    <row r="76" spans="1:1">
      <c r="A76" s="16" t="s">
        <v>191</v>
      </c>
    </row>
    <row r="77" spans="1:1">
      <c r="A77" s="16" t="s">
        <v>192</v>
      </c>
    </row>
    <row r="78" spans="1:1">
      <c r="A78" s="16" t="s">
        <v>193</v>
      </c>
    </row>
    <row r="79" spans="1:1">
      <c r="A79" s="16" t="s">
        <v>194</v>
      </c>
    </row>
    <row r="80" spans="1:1">
      <c r="A80" s="16" t="s">
        <v>195</v>
      </c>
    </row>
    <row r="81" spans="1:1">
      <c r="A81" s="16" t="s">
        <v>231</v>
      </c>
    </row>
    <row r="82" spans="1:1">
      <c r="A82" s="16" t="s">
        <v>232</v>
      </c>
    </row>
    <row r="83" spans="1:1">
      <c r="A83" s="16" t="s">
        <v>198</v>
      </c>
    </row>
    <row r="84" spans="1:1">
      <c r="A84" s="16" t="s">
        <v>199</v>
      </c>
    </row>
    <row r="85" spans="1:1">
      <c r="A85" s="16" t="s">
        <v>233</v>
      </c>
    </row>
    <row r="86" spans="1:1">
      <c r="A86" s="16" t="s">
        <v>234</v>
      </c>
    </row>
    <row r="87" spans="1:1">
      <c r="A87" s="16" t="s">
        <v>235</v>
      </c>
    </row>
    <row r="88" spans="1:1">
      <c r="A88" s="16" t="s">
        <v>236</v>
      </c>
    </row>
    <row r="89" spans="1:1">
      <c r="A89" s="16" t="s">
        <v>237</v>
      </c>
    </row>
    <row r="90" spans="1:1">
      <c r="A90" s="16" t="s">
        <v>238</v>
      </c>
    </row>
    <row r="91" spans="1:1">
      <c r="A91" s="16" t="s">
        <v>239</v>
      </c>
    </row>
    <row r="92" spans="1:1">
      <c r="A92" s="16" t="s">
        <v>240</v>
      </c>
    </row>
    <row r="93" spans="1:1">
      <c r="A93" s="16" t="s">
        <v>227</v>
      </c>
    </row>
    <row r="94" spans="1:1">
      <c r="A94" s="16" t="s">
        <v>228</v>
      </c>
    </row>
  </sheetData>
  <mergeCells count="2">
    <mergeCell ref="A1:F1"/>
    <mergeCell ref="A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83B49-DD63-46EA-A13D-E917E4CC1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VPS Verification</vt:lpstr>
      <vt:lpstr>Sync Status</vt:lpstr>
      <vt:lpstr>Account Analysis</vt:lpstr>
      <vt:lpstr>Manual Fields</vt:lpstr>
      <vt:lpstr>Basket Data</vt:lpstr>
      <vt:lpstr>Data Quality</vt:lpstr>
      <vt:lpstr>Power Query Setup</vt:lpstr>
      <vt:lpstr>OneDriveRoot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Mesalm</cp:lastModifiedBy>
  <dcterms:modified xsi:type="dcterms:W3CDTF">2026-10-08T12:25:32Z</dcterms:modified>
</cp:coreProperties>
</file>